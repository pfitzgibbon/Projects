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tzg\Documents\"/>
    </mc:Choice>
  </mc:AlternateContent>
  <xr:revisionPtr revIDLastSave="0" documentId="13_ncr:1_{8DB5CBDE-9664-480F-9359-01C9109EE835}" xr6:coauthVersionLast="45" xr6:coauthVersionMax="45" xr10:uidLastSave="{00000000-0000-0000-0000-000000000000}"/>
  <bookViews>
    <workbookView xWindow="-120" yWindow="-120" windowWidth="29040" windowHeight="15840" activeTab="1" xr2:uid="{103D0FCA-3119-44CB-A7CE-DA7DE18558F8}"/>
  </bookViews>
  <sheets>
    <sheet name="Sheet1" sheetId="1" r:id="rId1"/>
    <sheet name="Sheet2" sheetId="2" r:id="rId2"/>
  </sheets>
  <definedNames>
    <definedName name="OpenSolver_ChosenSolver" localSheetId="1" hidden="1">NeosCou</definedName>
    <definedName name="OpenSolver_DualsNewSheet" localSheetId="1" hidden="1">0</definedName>
    <definedName name="OpenSolver_LinearityCheck" localSheetId="1" hidden="1">1</definedName>
    <definedName name="OpenSolver_UpdateSensitivity" localSheetId="1" hidden="1">1</definedName>
    <definedName name="solver_adj" localSheetId="1" hidden="1">Sheet2!$L$12:$N$12</definedName>
    <definedName name="solver_cvg" localSheetId="1" hidden="1">0.001</definedName>
    <definedName name="solver_drv" localSheetId="1" hidden="1">2</definedName>
    <definedName name="solver_eng" localSheetId="1" hidden="1">3</definedName>
    <definedName name="solver_est" localSheetId="1" hidden="1">1</definedName>
    <definedName name="solver_itr" localSheetId="1" hidden="1">2147483647</definedName>
    <definedName name="solver_lhs0" localSheetId="1" hidden="1">Sheet2!$K$12</definedName>
    <definedName name="solver_lhs1" localSheetId="1" hidden="1">Sheet2!$AF$12</definedName>
    <definedName name="solver_lhs10" localSheetId="1" hidden="1">Sheet2!$L$12:$N$12</definedName>
    <definedName name="solver_lhs11" localSheetId="1" hidden="1">Sheet2!$X$12</definedName>
    <definedName name="solver_lhs12" localSheetId="1" hidden="1">Sheet2!$X$12</definedName>
    <definedName name="solver_lhs13" localSheetId="1" hidden="1">Sheet2!$Y$12</definedName>
    <definedName name="solver_lhs14" localSheetId="1" hidden="1">Sheet2!$Y$12</definedName>
    <definedName name="solver_lhs15" localSheetId="1" hidden="1">Sheet2!$Y$12</definedName>
    <definedName name="solver_lhs16" localSheetId="1" hidden="1">Sheet2!$Y$12</definedName>
    <definedName name="solver_lhs17" localSheetId="1" hidden="1">Sheet2!$Y$12</definedName>
    <definedName name="solver_lhs2" localSheetId="1" hidden="1">Sheet2!$AF$12</definedName>
    <definedName name="solver_lhs3" localSheetId="1" hidden="1">Sheet2!$AG$12</definedName>
    <definedName name="solver_lhs4" localSheetId="1" hidden="1">Sheet2!$AG$12</definedName>
    <definedName name="solver_lhs5" localSheetId="1" hidden="1">Sheet2!$AI$12</definedName>
    <definedName name="solver_lhs6" localSheetId="1" hidden="1">Sheet2!$K$12</definedName>
    <definedName name="solver_lhs7" localSheetId="1" hidden="1">Sheet2!$K$12</definedName>
    <definedName name="solver_lhs8" localSheetId="1" hidden="1">Sheet2!$L$12:$N$12</definedName>
    <definedName name="solver_lhs9" localSheetId="1" hidden="1">Sheet2!$L$12:$N$12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14</definedName>
    <definedName name="solver_nwt" localSheetId="1" hidden="1">1</definedName>
    <definedName name="solver_opt" localSheetId="1" hidden="1">Sheet2!$AI$12</definedName>
    <definedName name="solver_pre" localSheetId="1" hidden="1">0.000001</definedName>
    <definedName name="solver_rbv" localSheetId="1" hidden="1">2</definedName>
    <definedName name="solver_rel0" localSheetId="1" hidden="1">1</definedName>
    <definedName name="solver_rel1" localSheetId="1" hidden="1">1</definedName>
    <definedName name="solver_rel10" localSheetId="1" hidden="1">3</definedName>
    <definedName name="solver_rel11" localSheetId="1" hidden="1">1</definedName>
    <definedName name="solver_rel12" localSheetId="1" hidden="1">3</definedName>
    <definedName name="solver_rel13" localSheetId="1" hidden="1">1</definedName>
    <definedName name="solver_rel14" localSheetId="1" hidden="1">3</definedName>
    <definedName name="solver_rel15" localSheetId="1" hidden="1">1</definedName>
    <definedName name="solver_rel16" localSheetId="1" hidden="1">3</definedName>
    <definedName name="solver_rel17" localSheetId="1" hidden="1">3</definedName>
    <definedName name="solver_rel2" localSheetId="1" hidden="1">3</definedName>
    <definedName name="solver_rel3" localSheetId="1" hidden="1">1</definedName>
    <definedName name="solver_rel4" localSheetId="1" hidden="1">3</definedName>
    <definedName name="solver_rel5" localSheetId="1" hidden="1">3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4</definedName>
    <definedName name="solver_rhs0" localSheetId="1" hidden="1">Sheet2!$D$12</definedName>
    <definedName name="solver_rhs1" localSheetId="1" hidden="1">369.6</definedName>
    <definedName name="solver_rhs10" localSheetId="1" hidden="1">1</definedName>
    <definedName name="solver_rhs11" localSheetId="1" hidden="1">369.6</definedName>
    <definedName name="solver_rhs12" localSheetId="1" hidden="1">20</definedName>
    <definedName name="solver_rhs13" localSheetId="1" hidden="1">80</definedName>
    <definedName name="solver_rhs14" localSheetId="1" hidden="1">20</definedName>
    <definedName name="solver_rhs15" localSheetId="1" hidden="1">80</definedName>
    <definedName name="solver_rhs16" localSheetId="1" hidden="1">20</definedName>
    <definedName name="solver_rhs17" localSheetId="1" hidden="1">20</definedName>
    <definedName name="solver_rhs2" localSheetId="1" hidden="1">20</definedName>
    <definedName name="solver_rhs3" localSheetId="1" hidden="1">80</definedName>
    <definedName name="solver_rhs4" localSheetId="1" hidden="1">20</definedName>
    <definedName name="solver_rhs5" localSheetId="1" hidden="1">1</definedName>
    <definedName name="solver_rhs6" localSheetId="1" hidden="1">Sheet2!$D$12</definedName>
    <definedName name="solver_rhs7" localSheetId="1" hidden="1">Sheet2!$E$12</definedName>
    <definedName name="solver_rhs8" localSheetId="1" hidden="1">4</definedName>
    <definedName name="solver_rhs9" localSheetId="1" hidden="1">integer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I12" i="2" l="1"/>
  <c r="O12" i="2"/>
  <c r="I4" i="2"/>
  <c r="O13" i="2"/>
  <c r="P13" i="2"/>
  <c r="Q13" i="2"/>
  <c r="O14" i="2"/>
  <c r="P14" i="2"/>
  <c r="Q14" i="2"/>
  <c r="O15" i="2"/>
  <c r="P15" i="2"/>
  <c r="Q15" i="2"/>
  <c r="O16" i="2"/>
  <c r="P16" i="2"/>
  <c r="Q16" i="2"/>
  <c r="O17" i="2"/>
  <c r="P17" i="2"/>
  <c r="Q17" i="2"/>
  <c r="O18" i="2"/>
  <c r="P18" i="2"/>
  <c r="Q18" i="2"/>
  <c r="O19" i="2"/>
  <c r="P19" i="2"/>
  <c r="Q19" i="2"/>
  <c r="O20" i="2"/>
  <c r="P20" i="2"/>
  <c r="Q20" i="2"/>
  <c r="O21" i="2"/>
  <c r="P21" i="2"/>
  <c r="Q21" i="2"/>
  <c r="O22" i="2"/>
  <c r="P22" i="2"/>
  <c r="Q22" i="2"/>
  <c r="O23" i="2"/>
  <c r="P23" i="2"/>
  <c r="Q23" i="2"/>
  <c r="O24" i="2"/>
  <c r="P24" i="2"/>
  <c r="Q24" i="2"/>
  <c r="O25" i="2"/>
  <c r="P25" i="2"/>
  <c r="Q25" i="2"/>
  <c r="O26" i="2"/>
  <c r="P26" i="2"/>
  <c r="Q26" i="2"/>
  <c r="O27" i="2"/>
  <c r="P27" i="2"/>
  <c r="Q27" i="2"/>
  <c r="O28" i="2"/>
  <c r="P28" i="2"/>
  <c r="Q28" i="2"/>
  <c r="O29" i="2"/>
  <c r="P29" i="2"/>
  <c r="Q29" i="2"/>
  <c r="O30" i="2"/>
  <c r="P30" i="2"/>
  <c r="Q30" i="2"/>
  <c r="O31" i="2"/>
  <c r="P31" i="2"/>
  <c r="Q31" i="2"/>
  <c r="O32" i="2"/>
  <c r="P32" i="2"/>
  <c r="Q32" i="2"/>
  <c r="O33" i="2"/>
  <c r="P33" i="2"/>
  <c r="Q33" i="2"/>
  <c r="O34" i="2"/>
  <c r="P34" i="2"/>
  <c r="Q34" i="2"/>
  <c r="O35" i="2"/>
  <c r="P35" i="2"/>
  <c r="Q35" i="2"/>
  <c r="O36" i="2"/>
  <c r="P36" i="2"/>
  <c r="Q36" i="2"/>
  <c r="O37" i="2"/>
  <c r="P37" i="2"/>
  <c r="Q37" i="2"/>
  <c r="P12" i="2"/>
  <c r="Q12" i="2"/>
  <c r="P38" i="2"/>
  <c r="Q38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R18" i="2"/>
  <c r="S18" i="2"/>
  <c r="T18" i="2"/>
  <c r="V18" i="2"/>
  <c r="X18" i="2"/>
  <c r="Z18" i="2"/>
  <c r="AA18" i="2"/>
  <c r="AB18" i="2"/>
  <c r="AD18" i="2"/>
  <c r="AF18" i="2"/>
  <c r="AI18" i="2"/>
  <c r="R19" i="2"/>
  <c r="S19" i="2"/>
  <c r="T19" i="2"/>
  <c r="V19" i="2"/>
  <c r="X19" i="2"/>
  <c r="Z19" i="2"/>
  <c r="AA19" i="2"/>
  <c r="AB19" i="2"/>
  <c r="AD19" i="2"/>
  <c r="AF19" i="2"/>
  <c r="AI19" i="2"/>
  <c r="R20" i="2"/>
  <c r="S20" i="2"/>
  <c r="T20" i="2"/>
  <c r="V20" i="2"/>
  <c r="X20" i="2"/>
  <c r="Z20" i="2"/>
  <c r="AA20" i="2"/>
  <c r="AB20" i="2"/>
  <c r="AD20" i="2"/>
  <c r="AF20" i="2"/>
  <c r="AI20" i="2"/>
  <c r="R21" i="2"/>
  <c r="S21" i="2"/>
  <c r="T21" i="2"/>
  <c r="V21" i="2"/>
  <c r="X21" i="2"/>
  <c r="Z21" i="2"/>
  <c r="AA21" i="2"/>
  <c r="AB21" i="2"/>
  <c r="AD21" i="2"/>
  <c r="AF21" i="2"/>
  <c r="AI21" i="2"/>
  <c r="R22" i="2"/>
  <c r="S22" i="2"/>
  <c r="T22" i="2"/>
  <c r="V22" i="2"/>
  <c r="X22" i="2"/>
  <c r="Z22" i="2"/>
  <c r="AA22" i="2"/>
  <c r="AB22" i="2"/>
  <c r="AD22" i="2"/>
  <c r="AF22" i="2"/>
  <c r="AI22" i="2"/>
  <c r="R23" i="2"/>
  <c r="S23" i="2"/>
  <c r="T23" i="2"/>
  <c r="V23" i="2"/>
  <c r="X23" i="2"/>
  <c r="Z23" i="2"/>
  <c r="AA23" i="2"/>
  <c r="AB23" i="2"/>
  <c r="AD23" i="2"/>
  <c r="AF23" i="2"/>
  <c r="AI23" i="2"/>
  <c r="R24" i="2"/>
  <c r="S24" i="2"/>
  <c r="T24" i="2"/>
  <c r="V24" i="2"/>
  <c r="X24" i="2"/>
  <c r="Z24" i="2"/>
  <c r="AA24" i="2"/>
  <c r="AB24" i="2"/>
  <c r="AD24" i="2"/>
  <c r="AF24" i="2"/>
  <c r="AI24" i="2"/>
  <c r="R25" i="2"/>
  <c r="S25" i="2"/>
  <c r="T25" i="2"/>
  <c r="V25" i="2"/>
  <c r="X25" i="2"/>
  <c r="Z25" i="2"/>
  <c r="AA25" i="2"/>
  <c r="AB25" i="2"/>
  <c r="AD25" i="2"/>
  <c r="AF25" i="2"/>
  <c r="AI25" i="2"/>
  <c r="R26" i="2"/>
  <c r="S26" i="2"/>
  <c r="T26" i="2"/>
  <c r="V26" i="2"/>
  <c r="X26" i="2"/>
  <c r="Z26" i="2"/>
  <c r="AA26" i="2"/>
  <c r="AB26" i="2"/>
  <c r="AD26" i="2"/>
  <c r="AF26" i="2"/>
  <c r="AI26" i="2"/>
  <c r="R27" i="2"/>
  <c r="S27" i="2"/>
  <c r="T27" i="2"/>
  <c r="V27" i="2"/>
  <c r="X27" i="2"/>
  <c r="Z27" i="2"/>
  <c r="AA27" i="2"/>
  <c r="AB27" i="2"/>
  <c r="AD27" i="2"/>
  <c r="AF27" i="2"/>
  <c r="AI27" i="2"/>
  <c r="R28" i="2"/>
  <c r="S28" i="2"/>
  <c r="T28" i="2"/>
  <c r="V28" i="2"/>
  <c r="X28" i="2"/>
  <c r="Z28" i="2"/>
  <c r="AA28" i="2"/>
  <c r="AB28" i="2"/>
  <c r="AD28" i="2"/>
  <c r="AF28" i="2"/>
  <c r="AI28" i="2"/>
  <c r="R29" i="2"/>
  <c r="S29" i="2"/>
  <c r="T29" i="2"/>
  <c r="V29" i="2"/>
  <c r="X29" i="2"/>
  <c r="Z29" i="2"/>
  <c r="AA29" i="2"/>
  <c r="AB29" i="2"/>
  <c r="AD29" i="2"/>
  <c r="AF29" i="2"/>
  <c r="AI29" i="2"/>
  <c r="R30" i="2"/>
  <c r="S30" i="2"/>
  <c r="T30" i="2"/>
  <c r="V30" i="2"/>
  <c r="X30" i="2"/>
  <c r="Z30" i="2"/>
  <c r="AA30" i="2"/>
  <c r="AB30" i="2"/>
  <c r="AD30" i="2"/>
  <c r="AF30" i="2"/>
  <c r="AI30" i="2"/>
  <c r="R31" i="2"/>
  <c r="S31" i="2"/>
  <c r="T31" i="2"/>
  <c r="V31" i="2"/>
  <c r="X31" i="2"/>
  <c r="Z31" i="2"/>
  <c r="AA31" i="2"/>
  <c r="AB31" i="2"/>
  <c r="AD31" i="2"/>
  <c r="AF31" i="2"/>
  <c r="AI31" i="2"/>
  <c r="R32" i="2"/>
  <c r="S32" i="2"/>
  <c r="T32" i="2"/>
  <c r="V32" i="2"/>
  <c r="X32" i="2"/>
  <c r="Z32" i="2"/>
  <c r="AA32" i="2"/>
  <c r="AB32" i="2"/>
  <c r="AD32" i="2"/>
  <c r="AF32" i="2"/>
  <c r="AI32" i="2"/>
  <c r="R33" i="2"/>
  <c r="W33" i="2" s="1"/>
  <c r="Y33" i="2" s="1"/>
  <c r="S33" i="2"/>
  <c r="T33" i="2"/>
  <c r="V33" i="2"/>
  <c r="X33" i="2"/>
  <c r="Z33" i="2"/>
  <c r="AA33" i="2"/>
  <c r="AB33" i="2"/>
  <c r="AD33" i="2"/>
  <c r="AF33" i="2"/>
  <c r="AI33" i="2"/>
  <c r="R34" i="2"/>
  <c r="S34" i="2"/>
  <c r="T34" i="2"/>
  <c r="V34" i="2"/>
  <c r="X34" i="2"/>
  <c r="Z34" i="2"/>
  <c r="AA34" i="2"/>
  <c r="AB34" i="2"/>
  <c r="AD34" i="2"/>
  <c r="AF34" i="2"/>
  <c r="AI34" i="2"/>
  <c r="R35" i="2"/>
  <c r="S35" i="2"/>
  <c r="T35" i="2"/>
  <c r="V35" i="2"/>
  <c r="X35" i="2"/>
  <c r="Z35" i="2"/>
  <c r="AA35" i="2"/>
  <c r="AB35" i="2"/>
  <c r="AD35" i="2"/>
  <c r="AF35" i="2"/>
  <c r="AI35" i="2"/>
  <c r="R36" i="2"/>
  <c r="S36" i="2"/>
  <c r="T36" i="2"/>
  <c r="V36" i="2"/>
  <c r="X36" i="2"/>
  <c r="Z36" i="2"/>
  <c r="AA36" i="2"/>
  <c r="AB36" i="2"/>
  <c r="AD36" i="2"/>
  <c r="AF36" i="2"/>
  <c r="AI36" i="2"/>
  <c r="R37" i="2"/>
  <c r="S37" i="2"/>
  <c r="T37" i="2"/>
  <c r="V37" i="2"/>
  <c r="X37" i="2"/>
  <c r="Z37" i="2"/>
  <c r="AA37" i="2"/>
  <c r="AB37" i="2"/>
  <c r="AD37" i="2"/>
  <c r="AF37" i="2"/>
  <c r="AI37" i="2"/>
  <c r="AD13" i="2"/>
  <c r="AD14" i="2"/>
  <c r="AD15" i="2"/>
  <c r="AD16" i="2"/>
  <c r="AD17" i="2"/>
  <c r="Z12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D18" i="2"/>
  <c r="W18" i="2" s="1"/>
  <c r="E18" i="2"/>
  <c r="D19" i="2"/>
  <c r="E19" i="2"/>
  <c r="D20" i="2"/>
  <c r="W20" i="2" s="1"/>
  <c r="E20" i="2"/>
  <c r="D21" i="2"/>
  <c r="W21" i="2" s="1"/>
  <c r="Y21" i="2" s="1"/>
  <c r="E21" i="2"/>
  <c r="D22" i="2"/>
  <c r="W22" i="2" s="1"/>
  <c r="E22" i="2"/>
  <c r="D23" i="2"/>
  <c r="W23" i="2" s="1"/>
  <c r="Y23" i="2" s="1"/>
  <c r="E23" i="2"/>
  <c r="D24" i="2"/>
  <c r="W24" i="2" s="1"/>
  <c r="E24" i="2"/>
  <c r="D25" i="2"/>
  <c r="E25" i="2"/>
  <c r="D26" i="2"/>
  <c r="W26" i="2" s="1"/>
  <c r="E26" i="2"/>
  <c r="D27" i="2"/>
  <c r="W27" i="2" s="1"/>
  <c r="Y27" i="2" s="1"/>
  <c r="E27" i="2"/>
  <c r="D28" i="2"/>
  <c r="W28" i="2" s="1"/>
  <c r="E28" i="2"/>
  <c r="D29" i="2"/>
  <c r="E29" i="2"/>
  <c r="D30" i="2"/>
  <c r="E30" i="2"/>
  <c r="D31" i="2"/>
  <c r="W31" i="2" s="1"/>
  <c r="Y31" i="2" s="1"/>
  <c r="E31" i="2"/>
  <c r="D32" i="2"/>
  <c r="W32" i="2" s="1"/>
  <c r="E32" i="2"/>
  <c r="D33" i="2"/>
  <c r="E33" i="2"/>
  <c r="D34" i="2"/>
  <c r="E34" i="2"/>
  <c r="D35" i="2"/>
  <c r="E35" i="2"/>
  <c r="D36" i="2"/>
  <c r="W36" i="2" s="1"/>
  <c r="E36" i="2"/>
  <c r="D37" i="2"/>
  <c r="W37" i="2" s="1"/>
  <c r="Y37" i="2" s="1"/>
  <c r="E37" i="2"/>
  <c r="O7" i="1"/>
  <c r="P7" i="1"/>
  <c r="Q7" i="1"/>
  <c r="R7" i="1"/>
  <c r="S7" i="1"/>
  <c r="T7" i="1"/>
  <c r="U7" i="1"/>
  <c r="V7" i="1"/>
  <c r="O8" i="1"/>
  <c r="P8" i="1"/>
  <c r="Q8" i="1"/>
  <c r="R8" i="1"/>
  <c r="S8" i="1"/>
  <c r="T8" i="1"/>
  <c r="U8" i="1"/>
  <c r="V8" i="1"/>
  <c r="O9" i="1"/>
  <c r="P9" i="1"/>
  <c r="Q9" i="1"/>
  <c r="R9" i="1"/>
  <c r="S9" i="1"/>
  <c r="T9" i="1"/>
  <c r="U9" i="1"/>
  <c r="V9" i="1"/>
  <c r="O10" i="1"/>
  <c r="P10" i="1"/>
  <c r="Q10" i="1"/>
  <c r="R10" i="1"/>
  <c r="S10" i="1"/>
  <c r="T10" i="1"/>
  <c r="U10" i="1"/>
  <c r="V10" i="1"/>
  <c r="V17" i="1"/>
  <c r="Y20" i="2" l="1"/>
  <c r="Y28" i="2"/>
  <c r="Y24" i="2"/>
  <c r="W35" i="2"/>
  <c r="Y35" i="2" s="1"/>
  <c r="W19" i="2"/>
  <c r="Y19" i="2" s="1"/>
  <c r="Y32" i="2"/>
  <c r="W34" i="2"/>
  <c r="Y34" i="2" s="1"/>
  <c r="W30" i="2"/>
  <c r="Y30" i="2" s="1"/>
  <c r="Y18" i="2"/>
  <c r="Y36" i="2"/>
  <c r="W29" i="2"/>
  <c r="Y29" i="2" s="1"/>
  <c r="W25" i="2"/>
  <c r="Y25" i="2" s="1"/>
  <c r="Y22" i="2"/>
  <c r="Y26" i="2"/>
  <c r="R13" i="2"/>
  <c r="R14" i="2"/>
  <c r="R15" i="2"/>
  <c r="R16" i="2"/>
  <c r="R17" i="2"/>
  <c r="R12" i="2"/>
  <c r="AK12" i="2" l="1"/>
  <c r="Z13" i="2"/>
  <c r="Z14" i="2"/>
  <c r="Z15" i="2"/>
  <c r="Z16" i="2"/>
  <c r="Z17" i="2"/>
  <c r="AL52" i="2" l="1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L126" i="2"/>
  <c r="AL127" i="2"/>
  <c r="AL128" i="2"/>
  <c r="AL129" i="2"/>
  <c r="AL130" i="2"/>
  <c r="AL131" i="2"/>
  <c r="AL132" i="2"/>
  <c r="AL133" i="2"/>
  <c r="AL134" i="2"/>
  <c r="AL135" i="2"/>
  <c r="AL136" i="2"/>
  <c r="AL137" i="2"/>
  <c r="AL138" i="2"/>
  <c r="AL139" i="2"/>
  <c r="AL140" i="2"/>
  <c r="AL141" i="2"/>
  <c r="AL142" i="2"/>
  <c r="AL143" i="2"/>
  <c r="AL144" i="2"/>
  <c r="AL145" i="2"/>
  <c r="AL146" i="2"/>
  <c r="AL147" i="2"/>
  <c r="AL148" i="2"/>
  <c r="AL149" i="2"/>
  <c r="AL150" i="2"/>
  <c r="AL151" i="2"/>
  <c r="AL152" i="2"/>
  <c r="AL153" i="2"/>
  <c r="AL154" i="2"/>
  <c r="AL155" i="2"/>
  <c r="AL156" i="2"/>
  <c r="AL157" i="2"/>
  <c r="AL158" i="2"/>
  <c r="AL159" i="2"/>
  <c r="AL160" i="2"/>
  <c r="AL161" i="2"/>
  <c r="AL162" i="2"/>
  <c r="AL163" i="2"/>
  <c r="AL164" i="2"/>
  <c r="AL165" i="2"/>
  <c r="AL166" i="2"/>
  <c r="AL167" i="2"/>
  <c r="AL168" i="2"/>
  <c r="AL169" i="2"/>
  <c r="AL170" i="2"/>
  <c r="AL171" i="2"/>
  <c r="AL172" i="2"/>
  <c r="AL173" i="2"/>
  <c r="AL174" i="2"/>
  <c r="AL175" i="2"/>
  <c r="AL176" i="2"/>
  <c r="AL177" i="2"/>
  <c r="AL178" i="2"/>
  <c r="AL179" i="2"/>
  <c r="AL180" i="2"/>
  <c r="AL181" i="2"/>
  <c r="AL182" i="2"/>
  <c r="AL183" i="2"/>
  <c r="AL184" i="2"/>
  <c r="AL185" i="2"/>
  <c r="AL186" i="2"/>
  <c r="AL187" i="2"/>
  <c r="AL188" i="2"/>
  <c r="AL189" i="2"/>
  <c r="AL190" i="2"/>
  <c r="AL191" i="2"/>
  <c r="AL192" i="2"/>
  <c r="AL193" i="2"/>
  <c r="AL194" i="2"/>
  <c r="AL195" i="2"/>
  <c r="AL196" i="2"/>
  <c r="AL197" i="2"/>
  <c r="AL198" i="2"/>
  <c r="AL199" i="2"/>
  <c r="AL200" i="2"/>
  <c r="AL201" i="2"/>
  <c r="AL202" i="2"/>
  <c r="AL203" i="2"/>
  <c r="AL204" i="2"/>
  <c r="AL205" i="2"/>
  <c r="AL206" i="2"/>
  <c r="AL207" i="2"/>
  <c r="AL208" i="2"/>
  <c r="AL209" i="2"/>
  <c r="AL210" i="2"/>
  <c r="AL211" i="2"/>
  <c r="AL212" i="2"/>
  <c r="AL213" i="2"/>
  <c r="AL214" i="2"/>
  <c r="AL215" i="2"/>
  <c r="AL216" i="2"/>
  <c r="AL217" i="2"/>
  <c r="AL218" i="2"/>
  <c r="AL219" i="2"/>
  <c r="AL220" i="2"/>
  <c r="AL221" i="2"/>
  <c r="AL222" i="2"/>
  <c r="AL223" i="2"/>
  <c r="AL224" i="2"/>
  <c r="AL225" i="2"/>
  <c r="AL226" i="2"/>
  <c r="AL227" i="2"/>
  <c r="AL228" i="2"/>
  <c r="AL229" i="2"/>
  <c r="AL230" i="2"/>
  <c r="AL231" i="2"/>
  <c r="AL232" i="2"/>
  <c r="AL233" i="2"/>
  <c r="AL234" i="2"/>
  <c r="AL235" i="2"/>
  <c r="AL236" i="2"/>
  <c r="AL237" i="2"/>
  <c r="AL238" i="2"/>
  <c r="AL239" i="2"/>
  <c r="AL240" i="2"/>
  <c r="AL241" i="2"/>
  <c r="AL242" i="2"/>
  <c r="AL243" i="2"/>
  <c r="AL244" i="2"/>
  <c r="AL245" i="2"/>
  <c r="AL246" i="2"/>
  <c r="AL247" i="2"/>
  <c r="AL248" i="2"/>
  <c r="AL249" i="2"/>
  <c r="AL250" i="2"/>
  <c r="AL251" i="2"/>
  <c r="AL252" i="2"/>
  <c r="AL253" i="2"/>
  <c r="AL254" i="2"/>
  <c r="AL255" i="2"/>
  <c r="AL256" i="2"/>
  <c r="AL257" i="2"/>
  <c r="AL258" i="2"/>
  <c r="AL259" i="2"/>
  <c r="AL260" i="2"/>
  <c r="AL261" i="2"/>
  <c r="AL262" i="2"/>
  <c r="AL263" i="2"/>
  <c r="AL264" i="2"/>
  <c r="AL265" i="2"/>
  <c r="AL266" i="2"/>
  <c r="AL267" i="2"/>
  <c r="AL268" i="2"/>
  <c r="AL269" i="2"/>
  <c r="AL270" i="2"/>
  <c r="AL271" i="2"/>
  <c r="AL272" i="2"/>
  <c r="AL273" i="2"/>
  <c r="AL274" i="2"/>
  <c r="AL275" i="2"/>
  <c r="AL276" i="2"/>
  <c r="AL277" i="2"/>
  <c r="AL278" i="2"/>
  <c r="AL279" i="2"/>
  <c r="AL280" i="2"/>
  <c r="AL281" i="2"/>
  <c r="AL282" i="2"/>
  <c r="AL283" i="2"/>
  <c r="AL284" i="2"/>
  <c r="AL285" i="2"/>
  <c r="AL286" i="2"/>
  <c r="AL287" i="2"/>
  <c r="AL288" i="2"/>
  <c r="AL289" i="2"/>
  <c r="AL290" i="2"/>
  <c r="AL291" i="2"/>
  <c r="AL292" i="2"/>
  <c r="AL293" i="2"/>
  <c r="AL294" i="2"/>
  <c r="AL295" i="2"/>
  <c r="AL296" i="2"/>
  <c r="AL297" i="2"/>
  <c r="AL298" i="2"/>
  <c r="AL299" i="2"/>
  <c r="AL300" i="2"/>
  <c r="AL301" i="2"/>
  <c r="AL302" i="2"/>
  <c r="AL303" i="2"/>
  <c r="AL304" i="2"/>
  <c r="AL305" i="2"/>
  <c r="AL306" i="2"/>
  <c r="F7" i="2"/>
  <c r="F6" i="2"/>
  <c r="F5" i="2"/>
  <c r="F4" i="2"/>
  <c r="F3" i="2"/>
  <c r="F2" i="2"/>
  <c r="AC19" i="2" l="1"/>
  <c r="AE19" i="2" s="1"/>
  <c r="AG19" i="2" s="1"/>
  <c r="AH19" i="2" s="1"/>
  <c r="U26" i="2"/>
  <c r="U31" i="2"/>
  <c r="U37" i="2"/>
  <c r="AC37" i="2"/>
  <c r="AE37" i="2" s="1"/>
  <c r="AG37" i="2" s="1"/>
  <c r="AH37" i="2" s="1"/>
  <c r="U19" i="2"/>
  <c r="U25" i="2"/>
  <c r="AC25" i="2"/>
  <c r="AE25" i="2" s="1"/>
  <c r="AG25" i="2" s="1"/>
  <c r="AH25" i="2" s="1"/>
  <c r="AC30" i="2"/>
  <c r="AE30" i="2" s="1"/>
  <c r="AG30" i="2" s="1"/>
  <c r="AH30" i="2" s="1"/>
  <c r="U36" i="2"/>
  <c r="AC36" i="2"/>
  <c r="AE36" i="2" s="1"/>
  <c r="AG36" i="2" s="1"/>
  <c r="AH36" i="2" s="1"/>
  <c r="AC18" i="2"/>
  <c r="AE18" i="2" s="1"/>
  <c r="AG18" i="2" s="1"/>
  <c r="AH18" i="2" s="1"/>
  <c r="U24" i="2"/>
  <c r="AC24" i="2"/>
  <c r="AE24" i="2" s="1"/>
  <c r="AG24" i="2" s="1"/>
  <c r="AH24" i="2" s="1"/>
  <c r="U30" i="2"/>
  <c r="AC35" i="2"/>
  <c r="AE35" i="2" s="1"/>
  <c r="AG35" i="2" s="1"/>
  <c r="AH35" i="2" s="1"/>
  <c r="U18" i="2"/>
  <c r="AC23" i="2"/>
  <c r="AE23" i="2" s="1"/>
  <c r="AG23" i="2" s="1"/>
  <c r="AH23" i="2" s="1"/>
  <c r="U29" i="2"/>
  <c r="AC29" i="2"/>
  <c r="AE29" i="2" s="1"/>
  <c r="AG29" i="2" s="1"/>
  <c r="AH29" i="2" s="1"/>
  <c r="U35" i="2"/>
  <c r="AC22" i="2"/>
  <c r="AE22" i="2" s="1"/>
  <c r="AG22" i="2" s="1"/>
  <c r="AH22" i="2" s="1"/>
  <c r="U23" i="2"/>
  <c r="U28" i="2"/>
  <c r="AC28" i="2"/>
  <c r="AE28" i="2" s="1"/>
  <c r="AG28" i="2" s="1"/>
  <c r="AH28" i="2" s="1"/>
  <c r="U34" i="2"/>
  <c r="AC34" i="2"/>
  <c r="AE34" i="2" s="1"/>
  <c r="AG34" i="2" s="1"/>
  <c r="AH34" i="2" s="1"/>
  <c r="U22" i="2"/>
  <c r="AC27" i="2"/>
  <c r="AE27" i="2" s="1"/>
  <c r="AG27" i="2" s="1"/>
  <c r="AH27" i="2" s="1"/>
  <c r="U33" i="2"/>
  <c r="AC33" i="2"/>
  <c r="AE33" i="2" s="1"/>
  <c r="AG33" i="2" s="1"/>
  <c r="AH33" i="2" s="1"/>
  <c r="U21" i="2"/>
  <c r="AC21" i="2"/>
  <c r="AE21" i="2" s="1"/>
  <c r="AG21" i="2" s="1"/>
  <c r="AH21" i="2" s="1"/>
  <c r="U27" i="2"/>
  <c r="U32" i="2"/>
  <c r="AC32" i="2"/>
  <c r="AE32" i="2" s="1"/>
  <c r="AG32" i="2" s="1"/>
  <c r="AH32" i="2" s="1"/>
  <c r="U20" i="2"/>
  <c r="AC20" i="2"/>
  <c r="AE20" i="2" s="1"/>
  <c r="AG20" i="2" s="1"/>
  <c r="AH20" i="2" s="1"/>
  <c r="AC26" i="2"/>
  <c r="AE26" i="2" s="1"/>
  <c r="AG26" i="2" s="1"/>
  <c r="AH26" i="2" s="1"/>
  <c r="AC31" i="2"/>
  <c r="AE31" i="2" s="1"/>
  <c r="AG31" i="2" s="1"/>
  <c r="AH31" i="2" s="1"/>
  <c r="R3" i="2"/>
  <c r="P3" i="2"/>
  <c r="U3" i="2"/>
  <c r="T3" i="2"/>
  <c r="L3" i="2"/>
  <c r="W3" i="2"/>
  <c r="J3" i="2"/>
  <c r="O3" i="2"/>
  <c r="K3" i="2"/>
  <c r="V3" i="2"/>
  <c r="I3" i="2"/>
  <c r="Q3" i="2"/>
  <c r="N3" i="2"/>
  <c r="S3" i="2"/>
  <c r="AB13" i="2"/>
  <c r="T13" i="2"/>
  <c r="AA13" i="2"/>
  <c r="S13" i="2"/>
  <c r="T16" i="2"/>
  <c r="AB16" i="2"/>
  <c r="AA16" i="2"/>
  <c r="S16" i="2"/>
  <c r="AB15" i="2"/>
  <c r="T15" i="2"/>
  <c r="S15" i="2"/>
  <c r="AA15" i="2"/>
  <c r="T14" i="2"/>
  <c r="AB14" i="2"/>
  <c r="AA14" i="2"/>
  <c r="S14" i="2"/>
  <c r="D13" i="2" l="1"/>
  <c r="D14" i="2"/>
  <c r="D15" i="2"/>
  <c r="D16" i="2"/>
  <c r="D17" i="2"/>
  <c r="E13" i="2"/>
  <c r="E14" i="2"/>
  <c r="E15" i="2"/>
  <c r="E16" i="2"/>
  <c r="E17" i="2"/>
  <c r="E12" i="2"/>
  <c r="H16" i="2"/>
  <c r="H17" i="2"/>
  <c r="J4" i="1"/>
  <c r="J14" i="2" l="1"/>
  <c r="I14" i="2" s="1"/>
  <c r="J13" i="2"/>
  <c r="W16" i="2"/>
  <c r="V16" i="2"/>
  <c r="X16" i="2" s="1"/>
  <c r="AF15" i="2"/>
  <c r="W15" i="2"/>
  <c r="Y15" i="2" s="1"/>
  <c r="V15" i="2"/>
  <c r="X15" i="2" s="1"/>
  <c r="J17" i="2"/>
  <c r="I17" i="2" s="1"/>
  <c r="V14" i="2"/>
  <c r="X14" i="2" s="1"/>
  <c r="W14" i="2"/>
  <c r="Y14" i="2" s="1"/>
  <c r="Y16" i="2"/>
  <c r="J16" i="2"/>
  <c r="I16" i="2" s="1"/>
  <c r="V13" i="2"/>
  <c r="X13" i="2" s="1"/>
  <c r="W13" i="2"/>
  <c r="Y13" i="2" s="1"/>
  <c r="AF13" i="2"/>
  <c r="AF16" i="2"/>
  <c r="AF14" i="2"/>
  <c r="D12" i="2"/>
  <c r="O11" i="1"/>
  <c r="P11" i="1"/>
  <c r="Q11" i="1"/>
  <c r="R11" i="1"/>
  <c r="T11" i="1"/>
  <c r="U11" i="1"/>
  <c r="V11" i="1"/>
  <c r="P12" i="1"/>
  <c r="Q12" i="1"/>
  <c r="R12" i="1"/>
  <c r="S12" i="1"/>
  <c r="T12" i="1"/>
  <c r="U12" i="1"/>
  <c r="V12" i="1"/>
  <c r="R13" i="1"/>
  <c r="S13" i="1"/>
  <c r="T13" i="1"/>
  <c r="U13" i="1"/>
  <c r="V13" i="1"/>
  <c r="S14" i="1"/>
  <c r="T14" i="1"/>
  <c r="U14" i="1"/>
  <c r="V14" i="1"/>
  <c r="S15" i="1"/>
  <c r="T15" i="1"/>
  <c r="U15" i="1"/>
  <c r="V15" i="1"/>
  <c r="U16" i="1"/>
  <c r="V16" i="1"/>
  <c r="H15" i="2" s="1"/>
  <c r="J15" i="2" s="1"/>
  <c r="I15" i="2" s="1"/>
  <c r="V18" i="1"/>
  <c r="N9" i="1"/>
  <c r="M8" i="1"/>
  <c r="N8" i="1"/>
  <c r="L7" i="1"/>
  <c r="M7" i="1"/>
  <c r="N7" i="1"/>
  <c r="K6" i="1"/>
  <c r="L6" i="1"/>
  <c r="M6" i="1"/>
  <c r="N6" i="1"/>
  <c r="O6" i="1"/>
  <c r="P6" i="1"/>
  <c r="Q6" i="1"/>
  <c r="R6" i="1"/>
  <c r="S6" i="1"/>
  <c r="T6" i="1"/>
  <c r="U6" i="1"/>
  <c r="V6" i="1"/>
  <c r="H13" i="2"/>
  <c r="H14" i="2"/>
  <c r="K4" i="1"/>
  <c r="L4" i="1"/>
  <c r="M4" i="1"/>
  <c r="N4" i="1"/>
  <c r="O4" i="1"/>
  <c r="P4" i="1"/>
  <c r="Q4" i="1"/>
  <c r="R4" i="1"/>
  <c r="S4" i="1"/>
  <c r="T4" i="1"/>
  <c r="U4" i="1"/>
  <c r="V4" i="1"/>
  <c r="I4" i="1"/>
  <c r="J3" i="1"/>
  <c r="K3" i="1"/>
  <c r="L3" i="1"/>
  <c r="M3" i="1"/>
  <c r="N3" i="1"/>
  <c r="O3" i="1"/>
  <c r="P3" i="1"/>
  <c r="Q3" i="1"/>
  <c r="R3" i="1"/>
  <c r="S3" i="1"/>
  <c r="T3" i="1"/>
  <c r="U3" i="1"/>
  <c r="V3" i="1"/>
  <c r="I3" i="1"/>
  <c r="H12" i="2" s="1"/>
  <c r="J12" i="2" s="1"/>
  <c r="I12" i="2" s="1"/>
  <c r="I13" i="2" l="1"/>
  <c r="AC12" i="2"/>
  <c r="T17" i="2"/>
  <c r="W17" i="2" s="1"/>
  <c r="Y17" i="2" s="1"/>
  <c r="AB17" i="2"/>
  <c r="S12" i="2"/>
  <c r="V12" i="2" s="1"/>
  <c r="X12" i="2" s="1"/>
  <c r="AA17" i="2"/>
  <c r="AF17" i="2" s="1"/>
  <c r="S17" i="2"/>
  <c r="V17" i="2" s="1"/>
  <c r="X17" i="2" s="1"/>
  <c r="U16" i="2"/>
  <c r="U15" i="2"/>
  <c r="U17" i="2"/>
  <c r="AB12" i="2" l="1"/>
  <c r="AE12" i="2" s="1"/>
  <c r="T12" i="2"/>
  <c r="W12" i="2" s="1"/>
  <c r="Y12" i="2" s="1"/>
  <c r="AG12" i="2" l="1"/>
  <c r="U14" i="2"/>
  <c r="U13" i="2"/>
  <c r="AA12" i="2" l="1"/>
  <c r="AD12" i="2" s="1"/>
  <c r="AF12" i="2" s="1"/>
  <c r="AH12" i="2" s="1"/>
  <c r="AC14" i="2" l="1"/>
  <c r="AC13" i="2"/>
  <c r="AC15" i="2"/>
  <c r="AE15" i="2" s="1"/>
  <c r="AE13" i="2" l="1"/>
  <c r="AG13" i="2" s="1"/>
  <c r="AE14" i="2"/>
  <c r="AG14" i="2" s="1"/>
  <c r="AG15" i="2"/>
  <c r="AC16" i="2"/>
  <c r="AE16" i="2" s="1"/>
  <c r="AI15" i="2" l="1"/>
  <c r="AH15" i="2"/>
  <c r="AI14" i="2"/>
  <c r="AH14" i="2"/>
  <c r="AI13" i="2"/>
  <c r="AH13" i="2"/>
  <c r="AG16" i="2"/>
  <c r="AC17" i="2"/>
  <c r="AI16" i="2" l="1"/>
  <c r="AH16" i="2"/>
  <c r="AE17" i="2"/>
  <c r="AG17" i="2" s="1"/>
  <c r="AI17" i="2" l="1"/>
  <c r="I1" i="2" s="1"/>
  <c r="AH17" i="2"/>
</calcChain>
</file>

<file path=xl/sharedStrings.xml><?xml version="1.0" encoding="utf-8"?>
<sst xmlns="http://schemas.openxmlformats.org/spreadsheetml/2006/main" count="72" uniqueCount="50">
  <si>
    <t xml:space="preserve">Reach </t>
  </si>
  <si>
    <t>HGL @ Station 1</t>
  </si>
  <si>
    <t>Station 1</t>
  </si>
  <si>
    <t>Station 2</t>
  </si>
  <si>
    <t>House #</t>
  </si>
  <si>
    <t>Elevation (ft)</t>
  </si>
  <si>
    <t>Distance from tank (ft)</t>
  </si>
  <si>
    <t>HGL @ Station 2</t>
  </si>
  <si>
    <t>Cost</t>
  </si>
  <si>
    <t>Use Reach? (Y = 1, N=  0)</t>
  </si>
  <si>
    <t>Tank</t>
  </si>
  <si>
    <t>BPT</t>
  </si>
  <si>
    <t>BPT Between S1 and S2? (&gt; 0 = Y, 0 = N)</t>
  </si>
  <si>
    <t>Residual Head at Station 2</t>
  </si>
  <si>
    <t>Flow</t>
  </si>
  <si>
    <t>Max Flow (gal./min.)</t>
  </si>
  <si>
    <t>Static Flow (gal./min.)</t>
  </si>
  <si>
    <t xml:space="preserve">Pipe Length S1 to BPT (ft) </t>
  </si>
  <si>
    <t xml:space="preserve">Pipe Length BPT to S2 (ft) </t>
  </si>
  <si>
    <t>Pipe Diameter S1 to S2 (in.)</t>
  </si>
  <si>
    <t>Pipe Diameter S1 to BPT (in.)</t>
  </si>
  <si>
    <t>Pipe Diameter BPT to S2 (in.)</t>
  </si>
  <si>
    <t>Head Loss between S1 and S2</t>
  </si>
  <si>
    <t>Head Loss between S1 and BPT</t>
  </si>
  <si>
    <t>Head Loss between BPT and S2</t>
  </si>
  <si>
    <t>HGL @ BPT</t>
  </si>
  <si>
    <t>Max Flow</t>
  </si>
  <si>
    <t>Static Flow</t>
  </si>
  <si>
    <t>Reach Length(s)</t>
  </si>
  <si>
    <t>Pipe SDR</t>
  </si>
  <si>
    <t>Pipe Size</t>
  </si>
  <si>
    <t>Sum of Cost:</t>
  </si>
  <si>
    <t>Station</t>
  </si>
  <si>
    <t>Reached</t>
  </si>
  <si>
    <t>Station Reached</t>
  </si>
  <si>
    <t>Pipe Length S1 to S2 (ft)</t>
  </si>
  <si>
    <t>Residual Head Right before BPT</t>
  </si>
  <si>
    <t>Min Head</t>
  </si>
  <si>
    <t>Max Head</t>
  </si>
  <si>
    <t>Route Feasible? (0 = Yes, 1000000 = No)</t>
  </si>
  <si>
    <t>Cost/FT $</t>
  </si>
  <si>
    <t>SDR S1 to S2 (0 = 13.5, 1 = 26)</t>
  </si>
  <si>
    <t>SDR S1 to BPT (0 = 13.5, 1 = 26)</t>
  </si>
  <si>
    <t>SDR BPT to S2 (0 = 13.5, 1 = 26)</t>
  </si>
  <si>
    <t>Diameter In. X SDR</t>
  </si>
  <si>
    <t>Product of Reached:</t>
  </si>
  <si>
    <t>From:</t>
  </si>
  <si>
    <t>To:</t>
  </si>
  <si>
    <t>SDR</t>
  </si>
  <si>
    <t>SDR NUM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</si>
</sst>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0" fillId="0" borderId="0" xfId="0" applyFill="1"/>
    <xf numFmtId="0" fontId="1" fillId="0" borderId="0" xfId="0" applyFont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4" borderId="1" xfId="0" applyFill="1" applyBorder="1" applyAlignment="1">
      <alignment wrapText="1"/>
    </xf>
    <xf numFmtId="0" fontId="0" fillId="3" borderId="4" xfId="0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5" borderId="5" xfId="0" applyFill="1" applyBorder="1" applyAlignment="1">
      <alignment wrapText="1"/>
    </xf>
    <xf numFmtId="0" fontId="0" fillId="6" borderId="7" xfId="0" applyFill="1" applyBorder="1" applyAlignment="1">
      <alignment wrapText="1"/>
    </xf>
    <xf numFmtId="164" fontId="0" fillId="0" borderId="0" xfId="0" applyNumberFormat="1"/>
    <xf numFmtId="49" fontId="0" fillId="0" borderId="0" xfId="0" applyNumberFormat="1"/>
    <xf numFmtId="0" fontId="2" fillId="4" borderId="1" xfId="0" applyFont="1" applyFill="1" applyBorder="1" applyAlignment="1">
      <alignment wrapText="1"/>
    </xf>
    <xf numFmtId="0" fontId="2" fillId="3" borderId="4" xfId="0" applyFont="1" applyFill="1" applyBorder="1" applyAlignment="1">
      <alignment wrapText="1"/>
    </xf>
    <xf numFmtId="0" fontId="2" fillId="7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6" borderId="6" xfId="0" applyFont="1" applyFill="1" applyBorder="1" applyAlignment="1">
      <alignment wrapText="1"/>
    </xf>
    <xf numFmtId="0" fontId="0" fillId="0" borderId="0" xfId="0" applyNumberFormat="1"/>
    <xf numFmtId="1" fontId="0" fillId="0" borderId="0" xfId="0" applyNumberFormat="1"/>
    <xf numFmtId="0" fontId="0" fillId="0" borderId="0" xfId="0" applyFill="1" applyBorder="1"/>
    <xf numFmtId="0" fontId="1" fillId="2" borderId="6" xfId="0" applyFont="1" applyFill="1" applyBorder="1" applyAlignment="1">
      <alignment horizontal="center"/>
    </xf>
    <xf numFmtId="0" fontId="0" fillId="6" borderId="3" xfId="0" applyFill="1" applyBorder="1" applyAlignment="1">
      <alignment wrapText="1"/>
    </xf>
    <xf numFmtId="0" fontId="0" fillId="2" borderId="3" xfId="0" applyFill="1" applyBorder="1"/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0" xfId="0" applyBorder="1"/>
    <xf numFmtId="0" fontId="0" fillId="0" borderId="15" xfId="0" applyBorder="1"/>
    <xf numFmtId="0" fontId="0" fillId="0" borderId="14" xfId="0" applyBorder="1"/>
    <xf numFmtId="0" fontId="0" fillId="0" borderId="1" xfId="0" applyBorder="1"/>
    <xf numFmtId="0" fontId="0" fillId="0" borderId="4" xfId="0" applyBorder="1"/>
    <xf numFmtId="0" fontId="0" fillId="0" borderId="2" xfId="0" applyBorder="1"/>
    <xf numFmtId="0" fontId="0" fillId="8" borderId="12" xfId="0" applyFill="1" applyBorder="1"/>
    <xf numFmtId="0" fontId="0" fillId="8" borderId="0" xfId="0" applyFill="1" applyBorder="1"/>
    <xf numFmtId="0" fontId="0" fillId="8" borderId="15" xfId="0" applyFill="1" applyBorder="1"/>
    <xf numFmtId="0" fontId="0" fillId="8" borderId="4" xfId="0" applyFill="1" applyBorder="1"/>
    <xf numFmtId="0" fontId="1" fillId="0" borderId="0" xfId="0" applyFont="1" applyBorder="1"/>
    <xf numFmtId="0" fontId="1" fillId="0" borderId="5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164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600074</xdr:colOff>
      <xdr:row>18</xdr:row>
      <xdr:rowOff>123825</xdr:rowOff>
    </xdr:from>
    <xdr:to>
      <xdr:col>16</xdr:col>
      <xdr:colOff>142875</xdr:colOff>
      <xdr:row>56</xdr:row>
      <xdr:rowOff>123382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CF7181-70C4-4B7D-8689-5EE52F6A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8574" y="3581400"/>
          <a:ext cx="6858001" cy="72385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43D6D-527F-439B-8660-50219A1FF091}">
  <sheetPr codeName="Sheet1"/>
  <dimension ref="A1:V67"/>
  <sheetViews>
    <sheetView topLeftCell="C1" workbookViewId="0">
      <selection activeCell="H2" sqref="H2:V2"/>
    </sheetView>
  </sheetViews>
  <sheetFormatPr defaultRowHeight="15" x14ac:dyDescent="0.25"/>
  <cols>
    <col min="3" max="3" width="21.140625" bestFit="1" customWidth="1"/>
  </cols>
  <sheetData>
    <row r="1" spans="1:22" ht="15.75" thickBot="1" x14ac:dyDescent="0.3">
      <c r="G1" s="4" t="s">
        <v>47</v>
      </c>
    </row>
    <row r="2" spans="1:22" ht="15.75" thickBot="1" x14ac:dyDescent="0.3">
      <c r="A2" t="s">
        <v>4</v>
      </c>
      <c r="B2" t="s">
        <v>5</v>
      </c>
      <c r="C2" t="s">
        <v>6</v>
      </c>
      <c r="G2" s="36" t="s">
        <v>10</v>
      </c>
      <c r="H2" s="37">
        <v>6</v>
      </c>
      <c r="I2" s="37">
        <v>59</v>
      </c>
      <c r="J2" s="37">
        <v>25</v>
      </c>
      <c r="K2" s="37">
        <v>29</v>
      </c>
      <c r="L2" s="37">
        <v>33</v>
      </c>
      <c r="M2" s="37">
        <v>34</v>
      </c>
      <c r="N2" s="37" t="s">
        <v>11</v>
      </c>
      <c r="O2" s="37">
        <v>36</v>
      </c>
      <c r="P2" s="37">
        <v>72</v>
      </c>
      <c r="Q2" s="37">
        <v>43</v>
      </c>
      <c r="R2" s="37">
        <v>69</v>
      </c>
      <c r="S2" s="37">
        <v>44</v>
      </c>
      <c r="T2" s="37">
        <v>52</v>
      </c>
      <c r="U2" s="37">
        <v>55</v>
      </c>
      <c r="V2" s="38">
        <v>58</v>
      </c>
    </row>
    <row r="3" spans="1:22" x14ac:dyDescent="0.25">
      <c r="A3" s="2" t="s">
        <v>10</v>
      </c>
      <c r="B3" s="2">
        <v>1219</v>
      </c>
      <c r="C3" s="2">
        <v>0</v>
      </c>
      <c r="E3" s="4" t="s">
        <v>46</v>
      </c>
      <c r="F3" s="33" t="s">
        <v>10</v>
      </c>
      <c r="G3" s="39">
        <v>0</v>
      </c>
      <c r="H3" s="49">
        <v>940</v>
      </c>
      <c r="I3" s="40">
        <f>VLOOKUP(I2, $A$3:$C$31, 3, FALSE)</f>
        <v>4108</v>
      </c>
      <c r="J3" s="40">
        <f>VLOOKUP(J2, $A$3:$C$31, 3, FALSE)</f>
        <v>3901</v>
      </c>
      <c r="K3" s="40">
        <f>VLOOKUP(K2, $A$3:$C$31, 3, FALSE)</f>
        <v>4750</v>
      </c>
      <c r="L3" s="40">
        <f>VLOOKUP(L2, $A$3:$C$31, 3, FALSE)</f>
        <v>5345</v>
      </c>
      <c r="M3" s="40">
        <f>VLOOKUP(M2, $A$3:$C$31, 3, FALSE)</f>
        <v>5982</v>
      </c>
      <c r="N3" s="40">
        <f>VLOOKUP(N2, $A$3:$C$31, 3, FALSE)</f>
        <v>6719</v>
      </c>
      <c r="O3" s="40">
        <f>VLOOKUP(O2, $A$3:$C$31, 3, FALSE)</f>
        <v>7378</v>
      </c>
      <c r="P3" s="40">
        <f>VLOOKUP(P2, $A$3:$C$31, 3, FALSE)</f>
        <v>8188</v>
      </c>
      <c r="Q3" s="40">
        <f>VLOOKUP(Q2, $A$3:$C$31, 3, FALSE)</f>
        <v>9284</v>
      </c>
      <c r="R3" s="40">
        <f>VLOOKUP(R2, $A$3:$C$31, 3, FALSE)</f>
        <v>10110</v>
      </c>
      <c r="S3" s="40">
        <f>VLOOKUP(S2, $A$3:$C$31, 3, FALSE)</f>
        <v>10967</v>
      </c>
      <c r="T3" s="40">
        <f>VLOOKUP(T2, $A$3:$C$31, 3, FALSE)</f>
        <v>11337</v>
      </c>
      <c r="U3" s="40">
        <f>VLOOKUP(U2, $A$3:$C$31, 3, FALSE)</f>
        <v>13502</v>
      </c>
      <c r="V3" s="41">
        <f>VLOOKUP(V2, $A$3:$C$31, 3, FALSE)</f>
        <v>15649</v>
      </c>
    </row>
    <row r="4" spans="1:22" x14ac:dyDescent="0.25">
      <c r="A4" s="3">
        <v>61</v>
      </c>
      <c r="B4">
        <v>1046</v>
      </c>
      <c r="C4">
        <v>924</v>
      </c>
      <c r="F4" s="34">
        <v>6</v>
      </c>
      <c r="G4" s="42">
        <v>0</v>
      </c>
      <c r="H4" s="23">
        <v>0</v>
      </c>
      <c r="I4" s="50">
        <f>VLOOKUP(I$2, $A$3:$C$31, 3, FALSE) - VLOOKUP($F4, $A$3:$C$31, 3, FALSE)</f>
        <v>2166</v>
      </c>
      <c r="J4" s="43">
        <f>VLOOKUP(J$2, $A$3:$C$31, 3, FALSE) - VLOOKUP($F4, $A$3:$C$31, 3, FALSE)</f>
        <v>1959</v>
      </c>
      <c r="K4" s="50">
        <f>VLOOKUP(K$2, $A$3:$C$31, 3, FALSE) - VLOOKUP($F4, $A$3:$C$31, 3, FALSE)</f>
        <v>2808</v>
      </c>
      <c r="L4" s="43">
        <f>VLOOKUP(L$2, $A$3:$C$31, 3, FALSE) - VLOOKUP($F4, $A$3:$C$31, 3, FALSE)</f>
        <v>3403</v>
      </c>
      <c r="M4" s="43">
        <f>VLOOKUP(M$2, $A$3:$C$31, 3, FALSE) - VLOOKUP($F4, $A$3:$C$31, 3, FALSE)</f>
        <v>4040</v>
      </c>
      <c r="N4" s="43">
        <f>VLOOKUP(N$2, $A$3:$C$31, 3, FALSE) - VLOOKUP($F4, $A$3:$C$31, 3, FALSE)</f>
        <v>4777</v>
      </c>
      <c r="O4" s="43">
        <f>VLOOKUP(O$2, $A$3:$C$31, 3, FALSE) - VLOOKUP($F4, $A$3:$C$31, 3, FALSE)</f>
        <v>5436</v>
      </c>
      <c r="P4" s="43">
        <f>VLOOKUP(P$2, $A$3:$C$31, 3, FALSE) - VLOOKUP($F4, $A$3:$C$31, 3, FALSE)</f>
        <v>6246</v>
      </c>
      <c r="Q4" s="43">
        <f>VLOOKUP(Q$2, $A$3:$C$31, 3, FALSE) - VLOOKUP($F4, $A$3:$C$31, 3, FALSE)</f>
        <v>7342</v>
      </c>
      <c r="R4" s="43">
        <f>VLOOKUP(R$2, $A$3:$C$31, 3, FALSE) - VLOOKUP($F4, $A$3:$C$31, 3, FALSE)</f>
        <v>8168</v>
      </c>
      <c r="S4" s="43">
        <f>VLOOKUP(S$2, $A$3:$C$31, 3, FALSE) - VLOOKUP($F4, $A$3:$C$31, 3, FALSE)</f>
        <v>9025</v>
      </c>
      <c r="T4" s="43">
        <f>VLOOKUP(T$2, $A$3:$C$31, 3, FALSE) - VLOOKUP($F4, $A$3:$C$31, 3, FALSE)</f>
        <v>9395</v>
      </c>
      <c r="U4" s="43">
        <f>VLOOKUP(U$2, $A$3:$C$31, 3, FALSE) - VLOOKUP($F4, $A$3:$C$31, 3, FALSE)</f>
        <v>11560</v>
      </c>
      <c r="V4" s="44">
        <f>VLOOKUP(V$2, $A$3:$C$31, 3, FALSE) - VLOOKUP($F4, $A$3:$C$31, 3, FALSE)</f>
        <v>13707</v>
      </c>
    </row>
    <row r="5" spans="1:22" x14ac:dyDescent="0.25">
      <c r="A5" s="3">
        <v>5</v>
      </c>
      <c r="B5">
        <v>954</v>
      </c>
      <c r="C5">
        <v>1765</v>
      </c>
      <c r="F5" s="34">
        <v>59</v>
      </c>
      <c r="G5" s="42">
        <v>0</v>
      </c>
      <c r="H5" s="23">
        <v>0</v>
      </c>
      <c r="I5" s="23">
        <v>0</v>
      </c>
      <c r="J5" s="43">
        <v>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3">
        <v>0</v>
      </c>
      <c r="R5" s="43">
        <v>0</v>
      </c>
      <c r="S5" s="43">
        <v>0</v>
      </c>
      <c r="T5" s="43">
        <v>0</v>
      </c>
      <c r="U5" s="43">
        <v>0</v>
      </c>
      <c r="V5" s="44">
        <v>0</v>
      </c>
    </row>
    <row r="6" spans="1:22" x14ac:dyDescent="0.25">
      <c r="A6" s="2">
        <v>6</v>
      </c>
      <c r="B6" s="2">
        <v>971</v>
      </c>
      <c r="C6" s="2">
        <v>1942</v>
      </c>
      <c r="F6" s="34">
        <v>25</v>
      </c>
      <c r="G6" s="42">
        <v>0</v>
      </c>
      <c r="H6" s="23">
        <v>0</v>
      </c>
      <c r="I6" s="23">
        <v>0</v>
      </c>
      <c r="J6" s="43">
        <v>0</v>
      </c>
      <c r="K6" s="50">
        <f>VLOOKUP(K$2, $A$3:$C$31, 3, FALSE) - VLOOKUP($F6, $A$3:$C$31, 3, FALSE)</f>
        <v>849</v>
      </c>
      <c r="L6" s="43">
        <f>VLOOKUP(L$2, $A$3:$C$31, 3, FALSE) - VLOOKUP($F6, $A$3:$C$31, 3, FALSE)</f>
        <v>1444</v>
      </c>
      <c r="M6" s="43">
        <f>VLOOKUP(M$2, $A$3:$C$31, 3, FALSE) - VLOOKUP($F6, $A$3:$C$31, 3, FALSE)</f>
        <v>2081</v>
      </c>
      <c r="N6" s="43">
        <f>VLOOKUP(N$2, $A$3:$C$31, 3, FALSE) - VLOOKUP($F6, $A$3:$C$31, 3, FALSE)</f>
        <v>2818</v>
      </c>
      <c r="O6" s="43">
        <f>VLOOKUP(O$2, $A$3:$C$31, 3, FALSE) - VLOOKUP($F6, $A$3:$C$31, 3, FALSE)</f>
        <v>3477</v>
      </c>
      <c r="P6" s="43">
        <f>VLOOKUP(P$2, $A$3:$C$31, 3, FALSE) - VLOOKUP($F6, $A$3:$C$31, 3, FALSE)</f>
        <v>4287</v>
      </c>
      <c r="Q6" s="43">
        <f>VLOOKUP(Q$2, $A$3:$C$31, 3, FALSE) - VLOOKUP($F6, $A$3:$C$31, 3, FALSE)</f>
        <v>5383</v>
      </c>
      <c r="R6" s="43">
        <f>VLOOKUP(R$2, $A$3:$C$31, 3, FALSE) - VLOOKUP($F6, $A$3:$C$31, 3, FALSE)</f>
        <v>6209</v>
      </c>
      <c r="S6" s="43">
        <f>VLOOKUP(S$2, $A$3:$C$31, 3, FALSE) - VLOOKUP($F6, $A$3:$C$31, 3, FALSE)</f>
        <v>7066</v>
      </c>
      <c r="T6" s="43">
        <f>VLOOKUP(T$2, $A$3:$C$31, 3, FALSE) - VLOOKUP($F6, $A$3:$C$31, 3, FALSE)</f>
        <v>7436</v>
      </c>
      <c r="U6" s="43">
        <f>VLOOKUP(U$2, $A$3:$C$31, 3, FALSE) - VLOOKUP($F6, $A$3:$C$31, 3, FALSE)</f>
        <v>9601</v>
      </c>
      <c r="V6" s="44">
        <f>VLOOKUP(V$2, $A$3:$C$31, 3, FALSE) - VLOOKUP($F6, $A$3:$C$31, 3, FALSE)</f>
        <v>11748</v>
      </c>
    </row>
    <row r="7" spans="1:22" x14ac:dyDescent="0.25">
      <c r="A7" s="3">
        <v>16</v>
      </c>
      <c r="B7">
        <v>864</v>
      </c>
      <c r="C7">
        <v>2713</v>
      </c>
      <c r="F7" s="34">
        <v>29</v>
      </c>
      <c r="G7" s="45">
        <v>0</v>
      </c>
      <c r="H7" s="43">
        <v>0</v>
      </c>
      <c r="I7" s="43">
        <v>0</v>
      </c>
      <c r="J7" s="43">
        <v>0</v>
      </c>
      <c r="K7" s="43">
        <v>0</v>
      </c>
      <c r="L7" s="50">
        <f>VLOOKUP(L$2, $A$3:$C$31, 3, FALSE) - VLOOKUP($F7, $A$3:$C$31, 3, FALSE)</f>
        <v>595</v>
      </c>
      <c r="M7" s="43">
        <f>VLOOKUP(M$2, $A$3:$C$31, 3, FALSE) - VLOOKUP($F7, $A$3:$C$31, 3, FALSE)</f>
        <v>1232</v>
      </c>
      <c r="N7" s="43">
        <f>VLOOKUP(N$2, $A$3:$C$31, 3, FALSE) - VLOOKUP($F7, $A$3:$C$31, 3, FALSE)</f>
        <v>1969</v>
      </c>
      <c r="O7" s="43">
        <f t="shared" ref="O7:V10" si="0">VLOOKUP(O$2, $A$3:$C$31, 3, FALSE) - VLOOKUP($F7, $A$3:$C$31, 3, FALSE)</f>
        <v>2628</v>
      </c>
      <c r="P7" s="43">
        <f t="shared" si="0"/>
        <v>3438</v>
      </c>
      <c r="Q7" s="43">
        <f t="shared" si="0"/>
        <v>4534</v>
      </c>
      <c r="R7" s="43">
        <f t="shared" si="0"/>
        <v>5360</v>
      </c>
      <c r="S7" s="43">
        <f t="shared" si="0"/>
        <v>6217</v>
      </c>
      <c r="T7" s="43">
        <f t="shared" si="0"/>
        <v>6587</v>
      </c>
      <c r="U7" s="43">
        <f t="shared" si="0"/>
        <v>8752</v>
      </c>
      <c r="V7" s="44">
        <f t="shared" si="0"/>
        <v>10899</v>
      </c>
    </row>
    <row r="8" spans="1:22" x14ac:dyDescent="0.25">
      <c r="A8" s="3">
        <v>15</v>
      </c>
      <c r="B8">
        <v>893</v>
      </c>
      <c r="C8">
        <v>3097</v>
      </c>
      <c r="F8" s="34">
        <v>33</v>
      </c>
      <c r="G8" s="45">
        <v>0</v>
      </c>
      <c r="H8" s="43">
        <v>0</v>
      </c>
      <c r="I8" s="43">
        <v>0</v>
      </c>
      <c r="J8" s="43">
        <v>0</v>
      </c>
      <c r="K8" s="43">
        <v>0</v>
      </c>
      <c r="L8" s="23">
        <v>0</v>
      </c>
      <c r="M8" s="50">
        <f>VLOOKUP(M$2, $A$3:$C$31, 3, FALSE) - VLOOKUP($F8, $A$3:$C$31, 3, FALSE)</f>
        <v>637</v>
      </c>
      <c r="N8" s="50">
        <f>VLOOKUP(N$2, $A$3:$C$31, 3, FALSE) - VLOOKUP($F8, $A$3:$C$31, 3, FALSE)</f>
        <v>1374</v>
      </c>
      <c r="O8" s="50">
        <f t="shared" si="0"/>
        <v>2033</v>
      </c>
      <c r="P8" s="43">
        <f t="shared" si="0"/>
        <v>2843</v>
      </c>
      <c r="Q8" s="43">
        <f t="shared" si="0"/>
        <v>3939</v>
      </c>
      <c r="R8" s="43">
        <f t="shared" si="0"/>
        <v>4765</v>
      </c>
      <c r="S8" s="43">
        <f t="shared" si="0"/>
        <v>5622</v>
      </c>
      <c r="T8" s="43">
        <f t="shared" si="0"/>
        <v>5992</v>
      </c>
      <c r="U8" s="43">
        <f t="shared" si="0"/>
        <v>8157</v>
      </c>
      <c r="V8" s="44">
        <f t="shared" si="0"/>
        <v>10304</v>
      </c>
    </row>
    <row r="9" spans="1:22" x14ac:dyDescent="0.25">
      <c r="A9" s="3">
        <v>18</v>
      </c>
      <c r="B9">
        <v>857</v>
      </c>
      <c r="C9">
        <v>3828</v>
      </c>
      <c r="F9" s="34">
        <v>34</v>
      </c>
      <c r="G9" s="45">
        <v>0</v>
      </c>
      <c r="H9" s="43">
        <v>0</v>
      </c>
      <c r="I9" s="43">
        <v>0</v>
      </c>
      <c r="J9" s="43">
        <v>0</v>
      </c>
      <c r="K9" s="43">
        <v>0</v>
      </c>
      <c r="L9" s="50">
        <v>637</v>
      </c>
      <c r="M9" s="43">
        <v>0</v>
      </c>
      <c r="N9" s="50">
        <f>VLOOKUP(N$2, $A$3:$C$31, 3, FALSE) - VLOOKUP($F9, $A$3:$C$31, 3, FALSE)</f>
        <v>737</v>
      </c>
      <c r="O9" s="50">
        <f t="shared" si="0"/>
        <v>1396</v>
      </c>
      <c r="P9" s="43">
        <f t="shared" si="0"/>
        <v>2206</v>
      </c>
      <c r="Q9" s="43">
        <f t="shared" si="0"/>
        <v>3302</v>
      </c>
      <c r="R9" s="43">
        <f t="shared" si="0"/>
        <v>4128</v>
      </c>
      <c r="S9" s="43">
        <f t="shared" si="0"/>
        <v>4985</v>
      </c>
      <c r="T9" s="43">
        <f t="shared" si="0"/>
        <v>5355</v>
      </c>
      <c r="U9" s="43">
        <f t="shared" si="0"/>
        <v>7520</v>
      </c>
      <c r="V9" s="44">
        <f t="shared" si="0"/>
        <v>9667</v>
      </c>
    </row>
    <row r="10" spans="1:22" x14ac:dyDescent="0.25">
      <c r="A10" s="2">
        <v>59</v>
      </c>
      <c r="B10" s="2">
        <v>885</v>
      </c>
      <c r="C10" s="2">
        <v>4108</v>
      </c>
      <c r="F10" s="34" t="s">
        <v>11</v>
      </c>
      <c r="G10" s="45">
        <v>0</v>
      </c>
      <c r="H10" s="43">
        <v>0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>
        <v>0</v>
      </c>
      <c r="O10" s="50">
        <f t="shared" si="0"/>
        <v>659</v>
      </c>
      <c r="P10" s="43">
        <f t="shared" si="0"/>
        <v>1469</v>
      </c>
      <c r="Q10" s="43">
        <f t="shared" si="0"/>
        <v>2565</v>
      </c>
      <c r="R10" s="43">
        <f t="shared" si="0"/>
        <v>3391</v>
      </c>
      <c r="S10" s="43">
        <f t="shared" si="0"/>
        <v>4248</v>
      </c>
      <c r="T10" s="43">
        <f t="shared" si="0"/>
        <v>4618</v>
      </c>
      <c r="U10" s="43">
        <f t="shared" si="0"/>
        <v>6783</v>
      </c>
      <c r="V10" s="44">
        <f t="shared" si="0"/>
        <v>8930</v>
      </c>
    </row>
    <row r="11" spans="1:22" x14ac:dyDescent="0.25">
      <c r="A11" s="3">
        <v>22</v>
      </c>
      <c r="B11">
        <v>779</v>
      </c>
      <c r="C11">
        <v>3689</v>
      </c>
      <c r="F11" s="34">
        <v>36</v>
      </c>
      <c r="G11" s="45">
        <v>0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>
        <v>0</v>
      </c>
      <c r="O11" s="43">
        <f>VLOOKUP(O$2, $A$3:$C$31, 3, FALSE) - VLOOKUP($F11, $A$3:$C$31, 3, FALSE)</f>
        <v>0</v>
      </c>
      <c r="P11" s="50">
        <f>VLOOKUP(P$2, $A$3:$C$31, 3, FALSE) - VLOOKUP($F11, $A$3:$C$31, 3, FALSE)</f>
        <v>810</v>
      </c>
      <c r="Q11" s="43">
        <f>VLOOKUP(Q$2, $A$3:$C$31, 3, FALSE) - VLOOKUP($F11, $A$3:$C$31, 3, FALSE)</f>
        <v>1906</v>
      </c>
      <c r="R11" s="43">
        <f>VLOOKUP(R$2, $A$3:$C$31, 3, FALSE) - VLOOKUP($F11, $A$3:$C$31, 3, FALSE)</f>
        <v>2732</v>
      </c>
      <c r="S11" s="50">
        <v>2000</v>
      </c>
      <c r="T11" s="43">
        <f>VLOOKUP(T$2, $A$3:$C$31, 3, FALSE) - VLOOKUP($F11, $A$3:$C$31, 3, FALSE)</f>
        <v>3959</v>
      </c>
      <c r="U11" s="43">
        <f>VLOOKUP(U$2, $A$3:$C$31, 3, FALSE) - VLOOKUP($F11, $A$3:$C$31, 3, FALSE)</f>
        <v>6124</v>
      </c>
      <c r="V11" s="44">
        <f>VLOOKUP(V$2, $A$3:$C$31, 3, FALSE) - VLOOKUP($F11, $A$3:$C$31, 3, FALSE)</f>
        <v>8271</v>
      </c>
    </row>
    <row r="12" spans="1:22" x14ac:dyDescent="0.25">
      <c r="A12" s="2">
        <v>25</v>
      </c>
      <c r="B12" s="2">
        <v>813</v>
      </c>
      <c r="C12" s="2">
        <v>3901</v>
      </c>
      <c r="F12" s="34">
        <v>72</v>
      </c>
      <c r="G12" s="45">
        <v>0</v>
      </c>
      <c r="H12" s="43">
        <v>0</v>
      </c>
      <c r="I12" s="43">
        <v>0</v>
      </c>
      <c r="J12" s="43">
        <v>0</v>
      </c>
      <c r="K12" s="43">
        <v>0</v>
      </c>
      <c r="L12" s="43">
        <v>0</v>
      </c>
      <c r="M12" s="43">
        <v>0</v>
      </c>
      <c r="N12" s="43">
        <v>0</v>
      </c>
      <c r="O12" s="43">
        <v>0</v>
      </c>
      <c r="P12" s="43">
        <f>VLOOKUP(P$2, $A$3:$C$31, 3, FALSE) - VLOOKUP($F12, $A$3:$C$31, 3, FALSE)</f>
        <v>0</v>
      </c>
      <c r="Q12" s="50">
        <f>VLOOKUP(Q$2, $A$3:$C$31, 3, FALSE) - VLOOKUP($F12, $A$3:$C$31, 3, FALSE)</f>
        <v>1096</v>
      </c>
      <c r="R12" s="43">
        <f>VLOOKUP(R$2, $A$3:$C$31, 3, FALSE) - VLOOKUP($F12, $A$3:$C$31, 3, FALSE)</f>
        <v>1922</v>
      </c>
      <c r="S12" s="43">
        <f>VLOOKUP(S$2, $A$3:$C$31, 3, FALSE) - VLOOKUP($F12, $A$3:$C$31, 3, FALSE)</f>
        <v>2779</v>
      </c>
      <c r="T12" s="43">
        <f>VLOOKUP(T$2, $A$3:$C$31, 3, FALSE) - VLOOKUP($F12, $A$3:$C$31, 3, FALSE)</f>
        <v>3149</v>
      </c>
      <c r="U12" s="43">
        <f>VLOOKUP(U$2, $A$3:$C$31, 3, FALSE) - VLOOKUP($F12, $A$3:$C$31, 3, FALSE)</f>
        <v>5314</v>
      </c>
      <c r="V12" s="44">
        <f>VLOOKUP(V$2, $A$3:$C$31, 3, FALSE) - VLOOKUP($F12, $A$3:$C$31, 3, FALSE)</f>
        <v>7461</v>
      </c>
    </row>
    <row r="13" spans="1:22" x14ac:dyDescent="0.25">
      <c r="A13" s="2">
        <v>29</v>
      </c>
      <c r="B13" s="2">
        <v>761</v>
      </c>
      <c r="C13" s="2">
        <v>4750</v>
      </c>
      <c r="F13" s="34">
        <v>43</v>
      </c>
      <c r="G13" s="45">
        <v>0</v>
      </c>
      <c r="H13" s="43">
        <v>0</v>
      </c>
      <c r="I13" s="43">
        <v>0</v>
      </c>
      <c r="J13" s="43">
        <v>0</v>
      </c>
      <c r="K13" s="43">
        <v>0</v>
      </c>
      <c r="L13" s="43">
        <v>0</v>
      </c>
      <c r="M13" s="43">
        <v>0</v>
      </c>
      <c r="N13" s="43">
        <v>0</v>
      </c>
      <c r="O13" s="43">
        <v>0</v>
      </c>
      <c r="P13" s="43">
        <v>0</v>
      </c>
      <c r="Q13" s="43">
        <v>0</v>
      </c>
      <c r="R13" s="50">
        <f>VLOOKUP(R$2, $A$3:$C$31, 3, FALSE) - VLOOKUP($F13, $A$3:$C$31, 3, FALSE)</f>
        <v>826</v>
      </c>
      <c r="S13" s="43">
        <f>VLOOKUP(S$2, $A$3:$C$31, 3, FALSE) - VLOOKUP($F13, $A$3:$C$31, 3, FALSE)</f>
        <v>1683</v>
      </c>
      <c r="T13" s="43">
        <f>VLOOKUP(T$2, $A$3:$C$31, 3, FALSE) - VLOOKUP($F13, $A$3:$C$31, 3, FALSE)</f>
        <v>2053</v>
      </c>
      <c r="U13" s="43">
        <f>VLOOKUP(U$2, $A$3:$C$31, 3, FALSE) - VLOOKUP($F13, $A$3:$C$31, 3, FALSE)</f>
        <v>4218</v>
      </c>
      <c r="V13" s="44">
        <f>VLOOKUP(V$2, $A$3:$C$31, 3, FALSE) - VLOOKUP($F13, $A$3:$C$31, 3, FALSE)</f>
        <v>6365</v>
      </c>
    </row>
    <row r="14" spans="1:22" x14ac:dyDescent="0.25">
      <c r="A14" s="2">
        <v>33</v>
      </c>
      <c r="B14" s="2">
        <v>815</v>
      </c>
      <c r="C14" s="2">
        <v>5345</v>
      </c>
      <c r="F14" s="34">
        <v>69</v>
      </c>
      <c r="G14" s="45">
        <v>0</v>
      </c>
      <c r="H14" s="43">
        <v>0</v>
      </c>
      <c r="I14" s="43">
        <v>0</v>
      </c>
      <c r="J14" s="43">
        <v>0</v>
      </c>
      <c r="K14" s="43">
        <v>0</v>
      </c>
      <c r="L14" s="43">
        <v>0</v>
      </c>
      <c r="M14" s="43">
        <v>0</v>
      </c>
      <c r="N14" s="43">
        <v>0</v>
      </c>
      <c r="O14" s="43">
        <v>0</v>
      </c>
      <c r="P14" s="43">
        <v>0</v>
      </c>
      <c r="Q14" s="43">
        <v>0</v>
      </c>
      <c r="R14" s="43">
        <v>0</v>
      </c>
      <c r="S14" s="50">
        <f>VLOOKUP(S$2, $A$3:$C$31, 3, FALSE) - VLOOKUP($F14, $A$3:$C$31, 3, FALSE)</f>
        <v>857</v>
      </c>
      <c r="T14" s="50">
        <f>VLOOKUP(T$2, $A$3:$C$31, 3, FALSE) - VLOOKUP($F14, $A$3:$C$31, 3, FALSE)</f>
        <v>1227</v>
      </c>
      <c r="U14" s="50">
        <f>VLOOKUP(U$2, $A$3:$C$31, 3, FALSE) - VLOOKUP($F14, $A$3:$C$31, 3, FALSE)</f>
        <v>3392</v>
      </c>
      <c r="V14" s="44">
        <f>VLOOKUP(V$2, $A$3:$C$31, 3, FALSE) - VLOOKUP($F14, $A$3:$C$31, 3, FALSE)</f>
        <v>5539</v>
      </c>
    </row>
    <row r="15" spans="1:22" x14ac:dyDescent="0.25">
      <c r="A15" s="2">
        <v>34</v>
      </c>
      <c r="B15" s="2">
        <v>850</v>
      </c>
      <c r="C15" s="2">
        <v>5982</v>
      </c>
      <c r="F15" s="34">
        <v>44</v>
      </c>
      <c r="G15" s="45">
        <v>0</v>
      </c>
      <c r="H15" s="43">
        <v>0</v>
      </c>
      <c r="I15" s="43">
        <v>0</v>
      </c>
      <c r="J15" s="43">
        <v>0</v>
      </c>
      <c r="K15" s="43">
        <v>0</v>
      </c>
      <c r="L15" s="43">
        <v>0</v>
      </c>
      <c r="M15" s="43">
        <v>0</v>
      </c>
      <c r="N15" s="43">
        <v>0</v>
      </c>
      <c r="O15" s="43">
        <v>0</v>
      </c>
      <c r="P15" s="43">
        <v>0</v>
      </c>
      <c r="Q15" s="43">
        <v>0</v>
      </c>
      <c r="R15" s="50">
        <v>857</v>
      </c>
      <c r="S15" s="43">
        <f>VLOOKUP(S$2, $A$3:$C$31, 3, FALSE) - VLOOKUP($F15, $A$3:$C$31, 3, FALSE)</f>
        <v>0</v>
      </c>
      <c r="T15" s="43">
        <f>VLOOKUP(T$2, $A$3:$C$31, 3, FALSE) - VLOOKUP($F15, $A$3:$C$31, 3, FALSE)</f>
        <v>370</v>
      </c>
      <c r="U15" s="43">
        <f>VLOOKUP(U$2, $A$3:$C$31, 3, FALSE) - VLOOKUP($F15, $A$3:$C$31, 3, FALSE)</f>
        <v>2535</v>
      </c>
      <c r="V15" s="44">
        <f>VLOOKUP(V$2, $A$3:$C$31, 3, FALSE) - VLOOKUP($F15, $A$3:$C$31, 3, FALSE)</f>
        <v>4682</v>
      </c>
    </row>
    <row r="16" spans="1:22" x14ac:dyDescent="0.25">
      <c r="A16" s="2" t="s">
        <v>11</v>
      </c>
      <c r="B16" s="2">
        <v>947</v>
      </c>
      <c r="C16" s="2">
        <v>6719</v>
      </c>
      <c r="F16" s="34">
        <v>52</v>
      </c>
      <c r="G16" s="45">
        <v>0</v>
      </c>
      <c r="H16" s="43">
        <v>0</v>
      </c>
      <c r="I16" s="43">
        <v>0</v>
      </c>
      <c r="J16" s="43">
        <v>0</v>
      </c>
      <c r="K16" s="43">
        <v>0</v>
      </c>
      <c r="L16" s="43">
        <v>0</v>
      </c>
      <c r="M16" s="43">
        <v>0</v>
      </c>
      <c r="N16" s="43">
        <v>0</v>
      </c>
      <c r="O16" s="43">
        <v>0</v>
      </c>
      <c r="P16" s="43">
        <v>0</v>
      </c>
      <c r="Q16" s="43">
        <v>0</v>
      </c>
      <c r="R16" s="43">
        <v>0</v>
      </c>
      <c r="S16" s="43">
        <v>0</v>
      </c>
      <c r="T16" s="43">
        <v>0</v>
      </c>
      <c r="U16" s="50">
        <f>VLOOKUP(U$2, $A$3:$C$31, 3, FALSE) - VLOOKUP($F16, $A$3:$C$31, 3, FALSE)</f>
        <v>2165</v>
      </c>
      <c r="V16" s="51">
        <f>VLOOKUP(V$2, $A$3:$C$31, 3, FALSE) - VLOOKUP($F16, $A$3:$C$31, 3, FALSE)</f>
        <v>4312</v>
      </c>
    </row>
    <row r="17" spans="1:22" x14ac:dyDescent="0.25">
      <c r="A17" s="2">
        <v>36</v>
      </c>
      <c r="B17" s="2">
        <v>907</v>
      </c>
      <c r="C17" s="2">
        <v>7378</v>
      </c>
      <c r="F17" s="34">
        <v>55</v>
      </c>
      <c r="G17" s="45">
        <v>0</v>
      </c>
      <c r="H17" s="43">
        <v>0</v>
      </c>
      <c r="I17" s="43">
        <v>0</v>
      </c>
      <c r="J17" s="43">
        <v>0</v>
      </c>
      <c r="K17" s="43">
        <v>0</v>
      </c>
      <c r="L17" s="43">
        <v>0</v>
      </c>
      <c r="M17" s="43">
        <v>0</v>
      </c>
      <c r="N17" s="43">
        <v>0</v>
      </c>
      <c r="O17" s="43">
        <v>0</v>
      </c>
      <c r="P17" s="43">
        <v>0</v>
      </c>
      <c r="Q17" s="43">
        <v>0</v>
      </c>
      <c r="R17" s="43">
        <v>0</v>
      </c>
      <c r="S17" s="43">
        <v>0</v>
      </c>
      <c r="T17" s="50">
        <v>2165</v>
      </c>
      <c r="U17" s="23">
        <v>0</v>
      </c>
      <c r="V17" s="51">
        <f>VLOOKUP(V$2, $A$3:$C$31, 3, FALSE) - VLOOKUP($F17, $A$3:$C$31, 3, FALSE)</f>
        <v>2147</v>
      </c>
    </row>
    <row r="18" spans="1:22" ht="15.75" thickBot="1" x14ac:dyDescent="0.3">
      <c r="A18" s="3">
        <v>38</v>
      </c>
      <c r="B18">
        <v>867</v>
      </c>
      <c r="C18">
        <v>7718</v>
      </c>
      <c r="F18" s="35">
        <v>58</v>
      </c>
      <c r="G18" s="46">
        <v>0</v>
      </c>
      <c r="H18" s="47">
        <v>0</v>
      </c>
      <c r="I18" s="47">
        <v>0</v>
      </c>
      <c r="J18" s="47">
        <v>0</v>
      </c>
      <c r="K18" s="47">
        <v>0</v>
      </c>
      <c r="L18" s="47">
        <v>0</v>
      </c>
      <c r="M18" s="47">
        <v>0</v>
      </c>
      <c r="N18" s="47">
        <v>0</v>
      </c>
      <c r="O18" s="47">
        <v>0</v>
      </c>
      <c r="P18" s="47">
        <v>0</v>
      </c>
      <c r="Q18" s="47">
        <v>0</v>
      </c>
      <c r="R18" s="47">
        <v>0</v>
      </c>
      <c r="S18" s="47">
        <v>0</v>
      </c>
      <c r="T18" s="52">
        <v>312</v>
      </c>
      <c r="U18" s="47">
        <v>0</v>
      </c>
      <c r="V18" s="48">
        <f>VLOOKUP(V$2, $A$3:$C$31, 3, FALSE) - VLOOKUP($F18, $A$3:$C$31, 3, FALSE)</f>
        <v>0</v>
      </c>
    </row>
    <row r="19" spans="1:22" x14ac:dyDescent="0.25">
      <c r="A19" s="2">
        <v>72</v>
      </c>
      <c r="B19" s="2">
        <v>827</v>
      </c>
      <c r="C19" s="2">
        <v>8188</v>
      </c>
      <c r="F19" s="3"/>
    </row>
    <row r="20" spans="1:22" x14ac:dyDescent="0.25">
      <c r="A20" s="2">
        <v>43</v>
      </c>
      <c r="B20" s="2">
        <v>711</v>
      </c>
      <c r="C20" s="2">
        <v>9284</v>
      </c>
      <c r="F20" s="3"/>
    </row>
    <row r="21" spans="1:22" x14ac:dyDescent="0.25">
      <c r="A21" s="3">
        <v>46</v>
      </c>
      <c r="B21">
        <v>706</v>
      </c>
      <c r="C21">
        <v>9493</v>
      </c>
      <c r="F21" s="3"/>
    </row>
    <row r="22" spans="1:22" x14ac:dyDescent="0.25">
      <c r="A22" s="3">
        <v>42</v>
      </c>
      <c r="B22">
        <v>744</v>
      </c>
      <c r="C22">
        <v>9823</v>
      </c>
      <c r="F22" s="3"/>
    </row>
    <row r="23" spans="1:22" x14ac:dyDescent="0.25">
      <c r="A23" s="3">
        <v>49</v>
      </c>
      <c r="B23">
        <v>892</v>
      </c>
      <c r="C23">
        <v>10048</v>
      </c>
      <c r="F23" s="3"/>
    </row>
    <row r="24" spans="1:22" x14ac:dyDescent="0.25">
      <c r="A24" s="2">
        <v>69</v>
      </c>
      <c r="B24" s="2">
        <v>827</v>
      </c>
      <c r="C24" s="2">
        <v>10110</v>
      </c>
      <c r="F24" s="3"/>
    </row>
    <row r="25" spans="1:22" x14ac:dyDescent="0.25">
      <c r="A25" s="2">
        <v>44</v>
      </c>
      <c r="B25" s="2">
        <v>695</v>
      </c>
      <c r="C25" s="2">
        <v>10967</v>
      </c>
      <c r="F25" s="3"/>
    </row>
    <row r="26" spans="1:22" x14ac:dyDescent="0.25">
      <c r="A26" s="2">
        <v>52</v>
      </c>
      <c r="B26" s="2">
        <v>852</v>
      </c>
      <c r="C26" s="2">
        <v>11337</v>
      </c>
      <c r="F26" s="3"/>
    </row>
    <row r="27" spans="1:22" x14ac:dyDescent="0.25">
      <c r="A27" s="2">
        <v>55</v>
      </c>
      <c r="B27" s="2">
        <v>940</v>
      </c>
      <c r="C27" s="2">
        <v>13502</v>
      </c>
      <c r="F27" s="3"/>
    </row>
    <row r="28" spans="1:22" x14ac:dyDescent="0.25">
      <c r="A28" s="2">
        <v>58</v>
      </c>
      <c r="B28" s="2">
        <v>989</v>
      </c>
      <c r="C28" s="2">
        <v>15649</v>
      </c>
      <c r="F28" s="3"/>
    </row>
    <row r="29" spans="1:22" x14ac:dyDescent="0.25">
      <c r="F29" s="3"/>
    </row>
    <row r="30" spans="1:22" x14ac:dyDescent="0.25">
      <c r="F30" s="3"/>
    </row>
    <row r="31" spans="1:22" x14ac:dyDescent="0.25"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</row>
    <row r="38" spans="4:5" x14ac:dyDescent="0.25">
      <c r="D38" s="3"/>
      <c r="E38" s="3"/>
    </row>
    <row r="39" spans="4:5" x14ac:dyDescent="0.25">
      <c r="D39" s="3"/>
      <c r="E39" s="3"/>
    </row>
    <row r="40" spans="4:5" x14ac:dyDescent="0.25">
      <c r="D40" s="3"/>
      <c r="E40" s="3"/>
    </row>
    <row r="41" spans="4:5" x14ac:dyDescent="0.25">
      <c r="D41" s="3"/>
      <c r="E41" s="3"/>
    </row>
    <row r="42" spans="4:5" x14ac:dyDescent="0.25">
      <c r="D42" s="3"/>
      <c r="E42" s="3"/>
    </row>
    <row r="43" spans="4:5" x14ac:dyDescent="0.25">
      <c r="D43" s="3"/>
      <c r="E43" s="3"/>
    </row>
    <row r="44" spans="4:5" x14ac:dyDescent="0.25">
      <c r="D44" s="3"/>
      <c r="E44" s="3"/>
    </row>
    <row r="45" spans="4:5" x14ac:dyDescent="0.25">
      <c r="D45" s="3"/>
      <c r="E45" s="3"/>
    </row>
    <row r="46" spans="4:5" x14ac:dyDescent="0.25">
      <c r="D46" s="3"/>
      <c r="E46" s="3"/>
    </row>
    <row r="47" spans="4:5" x14ac:dyDescent="0.25">
      <c r="D47" s="3"/>
      <c r="E47" s="3"/>
    </row>
    <row r="48" spans="4:5" x14ac:dyDescent="0.25">
      <c r="D48" s="3"/>
      <c r="E48" s="3"/>
    </row>
    <row r="49" spans="4:5" x14ac:dyDescent="0.25">
      <c r="D49" s="3"/>
      <c r="E49" s="3"/>
    </row>
    <row r="50" spans="4:5" x14ac:dyDescent="0.25">
      <c r="D50" s="3"/>
      <c r="E50" s="3"/>
    </row>
    <row r="51" spans="4:5" x14ac:dyDescent="0.25">
      <c r="D51" s="3"/>
      <c r="E51" s="3"/>
    </row>
    <row r="52" spans="4:5" x14ac:dyDescent="0.25">
      <c r="D52" s="3"/>
      <c r="E52" s="3"/>
    </row>
    <row r="53" spans="4:5" x14ac:dyDescent="0.25">
      <c r="D53" s="3"/>
      <c r="E53" s="3"/>
    </row>
    <row r="54" spans="4:5" x14ac:dyDescent="0.25">
      <c r="D54" s="3"/>
      <c r="E54" s="3"/>
    </row>
    <row r="55" spans="4:5" x14ac:dyDescent="0.25">
      <c r="D55" s="3"/>
      <c r="E55" s="3"/>
    </row>
    <row r="56" spans="4:5" x14ac:dyDescent="0.25">
      <c r="D56" s="3"/>
      <c r="E56" s="3"/>
    </row>
    <row r="57" spans="4:5" x14ac:dyDescent="0.25">
      <c r="D57" s="3"/>
      <c r="E57" s="3"/>
    </row>
    <row r="58" spans="4:5" x14ac:dyDescent="0.25">
      <c r="D58" s="3"/>
      <c r="E58" s="3"/>
    </row>
    <row r="59" spans="4:5" x14ac:dyDescent="0.25">
      <c r="D59" s="3"/>
      <c r="E59" s="3"/>
    </row>
    <row r="60" spans="4:5" x14ac:dyDescent="0.25">
      <c r="D60" s="3"/>
      <c r="E60" s="3"/>
    </row>
    <row r="61" spans="4:5" x14ac:dyDescent="0.25">
      <c r="D61" s="3"/>
      <c r="E61" s="3"/>
    </row>
    <row r="62" spans="4:5" x14ac:dyDescent="0.25">
      <c r="D62" s="3"/>
      <c r="E62" s="3"/>
    </row>
    <row r="63" spans="4:5" x14ac:dyDescent="0.25">
      <c r="D63" s="3"/>
      <c r="E63" s="3"/>
    </row>
    <row r="64" spans="4:5" x14ac:dyDescent="0.25">
      <c r="D64" s="3"/>
      <c r="E64" s="3"/>
    </row>
    <row r="65" spans="4:5" x14ac:dyDescent="0.25">
      <c r="D65" s="3"/>
      <c r="E65" s="3"/>
    </row>
    <row r="66" spans="4:5" x14ac:dyDescent="0.25">
      <c r="D66" s="3"/>
      <c r="E66" s="3"/>
    </row>
    <row r="67" spans="4:5" x14ac:dyDescent="0.25">
      <c r="D67" s="3"/>
      <c r="E67" s="3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4C93B-340B-4C52-9B8E-92AA3224578C}">
  <sheetPr codeName="Sheet2"/>
  <dimension ref="A1:AL363"/>
  <sheetViews>
    <sheetView tabSelected="1" zoomScaleNormal="100" workbookViewId="0">
      <selection activeCell="AM11" sqref="AM11"/>
    </sheetView>
  </sheetViews>
  <sheetFormatPr defaultRowHeight="15" x14ac:dyDescent="0.25"/>
  <cols>
    <col min="1" max="1" width="17.7109375" bestFit="1" customWidth="1"/>
    <col min="4" max="4" width="12.5703125" bestFit="1" customWidth="1"/>
    <col min="5" max="5" width="10.140625" bestFit="1" customWidth="1"/>
    <col min="6" max="6" width="12.85546875" customWidth="1"/>
    <col min="7" max="7" width="16" customWidth="1"/>
    <col min="8" max="8" width="19" bestFit="1" customWidth="1"/>
    <col min="9" max="9" width="11.42578125" bestFit="1" customWidth="1"/>
    <col min="10" max="10" width="15.85546875" bestFit="1" customWidth="1"/>
    <col min="11" max="12" width="12.7109375" customWidth="1"/>
    <col min="13" max="13" width="9.28515625" bestFit="1" customWidth="1"/>
    <col min="14" max="15" width="9.28515625" customWidth="1"/>
    <col min="16" max="16" width="11" customWidth="1"/>
    <col min="17" max="17" width="11.140625" customWidth="1"/>
    <col min="18" max="18" width="11" customWidth="1"/>
    <col min="19" max="22" width="9.28515625" customWidth="1"/>
    <col min="23" max="23" width="10.28515625" customWidth="1"/>
    <col min="24" max="24" width="10.42578125" customWidth="1"/>
    <col min="25" max="25" width="10.7109375" customWidth="1"/>
    <col min="26" max="26" width="9.85546875" customWidth="1"/>
    <col min="27" max="27" width="8.85546875" customWidth="1"/>
    <col min="28" max="28" width="10.85546875" customWidth="1"/>
    <col min="29" max="29" width="12.5703125" customWidth="1"/>
    <col min="30" max="33" width="10" customWidth="1"/>
    <col min="34" max="34" width="9.7109375" bestFit="1" customWidth="1"/>
    <col min="35" max="35" width="10.85546875" customWidth="1"/>
    <col min="36" max="36" width="11.28515625" customWidth="1"/>
    <col min="37" max="37" width="12" bestFit="1" customWidth="1"/>
    <col min="38" max="38" width="13.7109375" bestFit="1" customWidth="1"/>
    <col min="39" max="39" width="13.7109375" customWidth="1"/>
    <col min="40" max="40" width="12" customWidth="1"/>
    <col min="41" max="42" width="13.140625" customWidth="1"/>
    <col min="43" max="43" width="12" bestFit="1" customWidth="1"/>
  </cols>
  <sheetData>
    <row r="1" spans="1:37" x14ac:dyDescent="0.25">
      <c r="A1" s="4" t="s">
        <v>44</v>
      </c>
      <c r="B1" s="4" t="s">
        <v>48</v>
      </c>
      <c r="C1" s="4" t="s">
        <v>49</v>
      </c>
      <c r="D1" s="4" t="s">
        <v>37</v>
      </c>
      <c r="E1" s="4" t="s">
        <v>38</v>
      </c>
      <c r="F1" s="4" t="s">
        <v>40</v>
      </c>
      <c r="G1" s="4"/>
      <c r="H1" s="53" t="s">
        <v>31</v>
      </c>
      <c r="I1" s="43" t="e">
        <f>SUMPRODUCT(AI12:AI17,AJ12:AJ17)</f>
        <v>#N/A</v>
      </c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37" x14ac:dyDescent="0.25">
      <c r="A2" s="14">
        <v>0.5</v>
      </c>
      <c r="B2" s="21">
        <v>13.5</v>
      </c>
      <c r="C2" s="21">
        <v>0</v>
      </c>
      <c r="D2">
        <v>46.2</v>
      </c>
      <c r="E2">
        <v>727.65</v>
      </c>
      <c r="F2">
        <f>2.16/20</f>
        <v>0.10800000000000001</v>
      </c>
      <c r="H2" s="53" t="s">
        <v>32</v>
      </c>
      <c r="I2" s="23">
        <v>6</v>
      </c>
      <c r="J2" s="23">
        <v>59</v>
      </c>
      <c r="K2" s="23">
        <v>25</v>
      </c>
      <c r="L2" s="23">
        <v>29</v>
      </c>
      <c r="M2" s="23">
        <v>33</v>
      </c>
      <c r="N2" s="23">
        <v>34</v>
      </c>
      <c r="O2" s="23" t="s">
        <v>11</v>
      </c>
      <c r="P2" s="23">
        <v>36</v>
      </c>
      <c r="Q2" s="23">
        <v>72</v>
      </c>
      <c r="R2" s="23">
        <v>43</v>
      </c>
      <c r="S2" s="23">
        <v>69</v>
      </c>
      <c r="T2" s="23">
        <v>44</v>
      </c>
      <c r="U2" s="23">
        <v>52</v>
      </c>
      <c r="V2" s="23">
        <v>55</v>
      </c>
      <c r="W2" s="23">
        <v>58</v>
      </c>
      <c r="X2" s="43"/>
    </row>
    <row r="3" spans="1:37" x14ac:dyDescent="0.25">
      <c r="A3" s="14">
        <v>1</v>
      </c>
      <c r="B3" s="21">
        <v>26</v>
      </c>
      <c r="C3" s="21">
        <v>1</v>
      </c>
      <c r="D3">
        <v>46.2</v>
      </c>
      <c r="E3">
        <v>369.6</v>
      </c>
      <c r="F3">
        <f>3.36/20</f>
        <v>0.16799999999999998</v>
      </c>
      <c r="H3" s="53" t="s">
        <v>33</v>
      </c>
      <c r="I3" s="43">
        <f>COUNTIF($AL12:$AL306, I2)</f>
        <v>0</v>
      </c>
      <c r="J3" s="43">
        <f>COUNTIF($AL12:$AL306, J2)</f>
        <v>0</v>
      </c>
      <c r="K3" s="43">
        <f>COUNTIF($AL12:$AL306, K2)</f>
        <v>0</v>
      </c>
      <c r="L3" s="43">
        <f>COUNTIF($AL12:$AL306, L2)</f>
        <v>0</v>
      </c>
      <c r="M3" s="43"/>
      <c r="N3" s="43">
        <f t="shared" ref="N3:AE3" si="0">COUNTIF($AL12:$AL306, N2)</f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3">
        <f t="shared" si="0"/>
        <v>0</v>
      </c>
      <c r="W3" s="43">
        <f t="shared" si="0"/>
        <v>0</v>
      </c>
      <c r="X3" s="43"/>
    </row>
    <row r="4" spans="1:37" x14ac:dyDescent="0.25">
      <c r="A4" s="14">
        <v>1.5</v>
      </c>
      <c r="B4" s="21">
        <v>26</v>
      </c>
      <c r="C4" s="21">
        <v>1</v>
      </c>
      <c r="D4">
        <v>46.2</v>
      </c>
      <c r="E4">
        <v>369.6</v>
      </c>
      <c r="F4">
        <f>6.05/20</f>
        <v>0.30249999999999999</v>
      </c>
      <c r="H4" s="53" t="s">
        <v>45</v>
      </c>
      <c r="I4" s="43">
        <f>PRODUCT(I3:W3)</f>
        <v>0</v>
      </c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37" x14ac:dyDescent="0.25">
      <c r="A5" s="14">
        <v>2</v>
      </c>
      <c r="B5" s="21">
        <v>26</v>
      </c>
      <c r="C5" s="21">
        <v>1</v>
      </c>
      <c r="D5">
        <v>46.2</v>
      </c>
      <c r="E5">
        <v>369.6</v>
      </c>
      <c r="F5">
        <f>9.36/20</f>
        <v>0.46799999999999997</v>
      </c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37" x14ac:dyDescent="0.25">
      <c r="A6" s="14">
        <v>3</v>
      </c>
      <c r="B6" s="21">
        <v>26</v>
      </c>
      <c r="C6" s="21">
        <v>1</v>
      </c>
      <c r="D6">
        <v>46.2</v>
      </c>
      <c r="E6">
        <v>369.6</v>
      </c>
      <c r="F6">
        <f>20.38/20</f>
        <v>1.0189999999999999</v>
      </c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37" x14ac:dyDescent="0.25">
      <c r="A7" s="14">
        <v>4</v>
      </c>
      <c r="B7" s="21">
        <v>26</v>
      </c>
      <c r="C7" s="21">
        <v>1</v>
      </c>
      <c r="D7">
        <v>46.2</v>
      </c>
      <c r="E7">
        <v>369.6</v>
      </c>
      <c r="F7">
        <f>33.65/20</f>
        <v>1.6824999999999999</v>
      </c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37" x14ac:dyDescent="0.25">
      <c r="A8" s="15"/>
    </row>
    <row r="9" spans="1:37" ht="15.75" thickBot="1" x14ac:dyDescent="0.3"/>
    <row r="10" spans="1:37" ht="15" customHeight="1" thickBot="1" x14ac:dyDescent="0.3">
      <c r="A10" s="28" t="s">
        <v>0</v>
      </c>
      <c r="B10" s="29"/>
      <c r="C10" s="27"/>
      <c r="D10" s="28" t="s">
        <v>5</v>
      </c>
      <c r="E10" s="29"/>
      <c r="F10" s="28" t="s">
        <v>14</v>
      </c>
      <c r="G10" s="29"/>
      <c r="H10" s="28" t="s">
        <v>28</v>
      </c>
      <c r="I10" s="30"/>
      <c r="J10" s="29"/>
      <c r="K10" s="24" t="s">
        <v>11</v>
      </c>
      <c r="L10" s="31" t="s">
        <v>30</v>
      </c>
      <c r="M10" s="32"/>
      <c r="N10" s="32"/>
      <c r="O10" s="54" t="s">
        <v>29</v>
      </c>
      <c r="P10" s="55"/>
      <c r="Q10" s="56"/>
      <c r="R10" s="28" t="s">
        <v>27</v>
      </c>
      <c r="S10" s="30"/>
      <c r="T10" s="30"/>
      <c r="U10" s="30"/>
      <c r="V10" s="30"/>
      <c r="W10" s="30"/>
      <c r="X10" s="30"/>
      <c r="Y10" s="29"/>
      <c r="Z10" s="28" t="s">
        <v>26</v>
      </c>
      <c r="AA10" s="30"/>
      <c r="AB10" s="30"/>
      <c r="AC10" s="30"/>
      <c r="AD10" s="30"/>
      <c r="AE10" s="30"/>
      <c r="AF10" s="30"/>
      <c r="AG10" s="29"/>
      <c r="AJ10" s="26"/>
    </row>
    <row r="11" spans="1:37" s="1" customFormat="1" ht="75.75" thickBot="1" x14ac:dyDescent="0.3">
      <c r="A11" s="5" t="s">
        <v>2</v>
      </c>
      <c r="B11" s="6" t="s">
        <v>3</v>
      </c>
      <c r="C11" s="9"/>
      <c r="D11" s="5" t="s">
        <v>2</v>
      </c>
      <c r="E11" s="6" t="s">
        <v>3</v>
      </c>
      <c r="F11" s="5" t="s">
        <v>16</v>
      </c>
      <c r="G11" s="6" t="s">
        <v>15</v>
      </c>
      <c r="H11" s="7" t="s">
        <v>35</v>
      </c>
      <c r="I11" s="8" t="s">
        <v>17</v>
      </c>
      <c r="J11" s="11" t="s">
        <v>18</v>
      </c>
      <c r="K11" s="8" t="s">
        <v>12</v>
      </c>
      <c r="L11" s="16" t="s">
        <v>19</v>
      </c>
      <c r="M11" s="17" t="s">
        <v>20</v>
      </c>
      <c r="N11" s="17" t="s">
        <v>21</v>
      </c>
      <c r="O11" s="18" t="s">
        <v>41</v>
      </c>
      <c r="P11" s="17" t="s">
        <v>42</v>
      </c>
      <c r="Q11" s="19" t="s">
        <v>43</v>
      </c>
      <c r="R11" s="7" t="s">
        <v>22</v>
      </c>
      <c r="S11" s="8" t="s">
        <v>23</v>
      </c>
      <c r="T11" s="8" t="s">
        <v>24</v>
      </c>
      <c r="U11" s="10" t="s">
        <v>1</v>
      </c>
      <c r="V11" s="8" t="s">
        <v>25</v>
      </c>
      <c r="W11" s="9" t="s">
        <v>7</v>
      </c>
      <c r="X11" s="8" t="s">
        <v>36</v>
      </c>
      <c r="Y11" s="6" t="s">
        <v>13</v>
      </c>
      <c r="Z11" s="7" t="s">
        <v>22</v>
      </c>
      <c r="AA11" s="8" t="s">
        <v>23</v>
      </c>
      <c r="AB11" s="8" t="s">
        <v>24</v>
      </c>
      <c r="AC11" s="9" t="s">
        <v>1</v>
      </c>
      <c r="AD11" s="8" t="s">
        <v>25</v>
      </c>
      <c r="AE11" s="9" t="s">
        <v>7</v>
      </c>
      <c r="AF11" s="8" t="s">
        <v>36</v>
      </c>
      <c r="AG11" s="6" t="s">
        <v>13</v>
      </c>
      <c r="AH11" s="25" t="s">
        <v>39</v>
      </c>
      <c r="AI11" s="12" t="s">
        <v>8</v>
      </c>
      <c r="AJ11" s="20" t="s">
        <v>9</v>
      </c>
      <c r="AK11" s="13" t="s">
        <v>34</v>
      </c>
    </row>
    <row r="12" spans="1:37" x14ac:dyDescent="0.25">
      <c r="A12" t="s">
        <v>10</v>
      </c>
      <c r="B12" s="3">
        <v>6</v>
      </c>
      <c r="C12" s="3"/>
      <c r="D12">
        <f>VLOOKUP(A12, Sheet1!A$3:C$31, 2, FALSE)</f>
        <v>1219</v>
      </c>
      <c r="E12">
        <f>VLOOKUP(B12, Sheet1!A$3:C$31, 2, FALSE)</f>
        <v>971</v>
      </c>
      <c r="F12">
        <v>0</v>
      </c>
      <c r="G12">
        <v>48</v>
      </c>
      <c r="H12">
        <f>INDEX(Sheet1!$F$2:$V$31, MATCH(A12,Sheet1!$F$2:$F$31, 0),MATCH(B12,Sheet1!$F$2:$V$2, 0))</f>
        <v>940</v>
      </c>
      <c r="I12">
        <f>IF(K12 &gt; 0, ABS(H12-J12), 0)</f>
        <v>0</v>
      </c>
      <c r="J12">
        <f>IF(K12&gt; 0, ABS((K12-E12)/SIN(ATAN(H12/(D12-E12)))), 0)</f>
        <v>0</v>
      </c>
      <c r="K12" s="2">
        <v>0</v>
      </c>
      <c r="L12" s="57">
        <v>4</v>
      </c>
      <c r="M12" s="57">
        <v>1</v>
      </c>
      <c r="N12" s="57">
        <v>4</v>
      </c>
      <c r="O12" s="21">
        <f>_xlfn.IFNA(VLOOKUP(L12,$A$1:$F$7,3,FALSE),"")</f>
        <v>1</v>
      </c>
      <c r="P12" s="21">
        <f t="shared" ref="P12:Q12" si="1">_xlfn.IFNA(VLOOKUP(M12,$A$1:$F$7,3,FALSE),"")</f>
        <v>1</v>
      </c>
      <c r="Q12" s="21">
        <f t="shared" si="1"/>
        <v>1</v>
      </c>
      <c r="R12">
        <f>IF(L12 = 0, 0, IF(K12 &gt; 0, 0, 10.44*((F12/130)^1.85)*(H12/L12^4.8655)))</f>
        <v>0</v>
      </c>
      <c r="S12">
        <f>IF(M12 = 0, 0, 10.44*((F12/130)^1.85)*(I12/M12^4.8655))</f>
        <v>0</v>
      </c>
      <c r="T12">
        <f>IF(N12 = 0, 0, 10.44*((F12/130)^1.85)*(J12/N12^4.8655))</f>
        <v>0</v>
      </c>
      <c r="U12">
        <v>0</v>
      </c>
      <c r="V12">
        <f>IF(K12 &gt; 0, D12-S12, 0)</f>
        <v>0</v>
      </c>
      <c r="W12">
        <f>IF(K12&gt;0, D12 - T12, D12-R12)</f>
        <v>1219</v>
      </c>
      <c r="X12">
        <f>IF(K12 &gt; 0, V12-K12, 0)</f>
        <v>0</v>
      </c>
      <c r="Y12">
        <f>IF(K12 &gt; 0, K12 -E12, W12-E12)</f>
        <v>248</v>
      </c>
      <c r="Z12">
        <f>IF(L12 = 0, 0, IF(K12 &gt; 0, 0,10.44*((G12/130)^1.85)*(H12/L12^4.8655)))</f>
        <v>1.8281277953668713</v>
      </c>
      <c r="AA12">
        <f>IF(M12 = 0, 0, 10.44*((G12/130)^1.85)*(I12/M12^4.8655))</f>
        <v>0</v>
      </c>
      <c r="AB12">
        <f>IF(N12 = 0, 0, 10.44*((G12/130)^1.85)*(J12/N12^4.8655))</f>
        <v>0</v>
      </c>
      <c r="AC12">
        <f>D12</f>
        <v>1219</v>
      </c>
      <c r="AD12">
        <f>IF(K12 &gt; 0, D12-AA12, 0)</f>
        <v>0</v>
      </c>
      <c r="AE12">
        <f>IF(K12&gt;0, K12 - AB12, AC12-Z12)</f>
        <v>1217.171872204633</v>
      </c>
      <c r="AF12">
        <f>IF(K12 &gt; 0, AD12-E12, 0)</f>
        <v>0</v>
      </c>
      <c r="AG12">
        <f xml:space="preserve"> AE12-E12</f>
        <v>246.17187220463302</v>
      </c>
      <c r="AH12">
        <f>IF(AND(K12&gt; 0, P12 &gt; 0, Q12 &gt; 0, 20 &lt;= X12, X12 &lt; 369.6, 20 &lt;= Y12, Y12 &lt;= 80, 20 &lt;= AF12, AF12 &lt; 369.6, 20 &lt;= AG12, AG12 &lt;= 80), 0, IF(AND(K12&gt; 0, P12 = 0, Q12 = 0, 20 &lt;= X12, X12 &lt; 727.65, 20 &lt;= Y12, Y12 &lt;= 80, 20 &lt;= AF12, AF12 &lt; 727.65, 20 &lt;= AG12, AG12 &lt;= 80), 0,  IF(AND(K12= 0, 20 &lt;= Y12, Y12 &lt;= 80, 20 &lt;= AG12, AG12 &lt;= 80), 0, 1000000)))</f>
        <v>1000000</v>
      </c>
      <c r="AI12" t="e">
        <f>IF(L12&gt;5,0,IF(L12&lt;1,0,IF(M12&gt;5,0,IF(M12&lt;1,0,IF(N12&gt;5,0,IF(N12&lt;1,0,IF(SUM(L12:N12)=0,0,AH12+IF(K12&gt;0,2000+I12*VLOOKUP(_xlfn.CONCAT(M12," X ",IF(P12=0,13.5,26)),$A$2:$E$8,4,FALSE)+J12*VLOOKUP(_xlfn.CONCAT(N12," X ",IF(Q12=0,13.5,26)),$A$2:$E$8,4,FALSE),H12*VLOOKUP(_xlfn.CONCAT(L12," X ",IF(O12=0,13.5,26)),$A$2:$E$8,4,FALSE)))))))))</f>
        <v>#N/A</v>
      </c>
      <c r="AJ12" s="2"/>
      <c r="AK12" t="str">
        <f>IF(AJ12 = 0, "", B12)</f>
        <v/>
      </c>
    </row>
    <row r="13" spans="1:37" x14ac:dyDescent="0.25">
      <c r="A13">
        <v>6</v>
      </c>
      <c r="B13" s="3">
        <v>59</v>
      </c>
      <c r="C13" s="3"/>
      <c r="D13">
        <f>VLOOKUP(A13, Sheet1!A$3:C$31, 2, FALSE)</f>
        <v>971</v>
      </c>
      <c r="E13">
        <f>VLOOKUP(B13, Sheet1!A$3:C$31, 2, FALSE)</f>
        <v>885</v>
      </c>
      <c r="F13">
        <v>0</v>
      </c>
      <c r="G13">
        <v>48</v>
      </c>
      <c r="H13">
        <f>INDEX(Sheet1!$F$2:$V$31, MATCH(A13,Sheet1!$F$2:$F$31, 0),MATCH(B13,Sheet1!$F$2:$V$2, 0))</f>
        <v>2166</v>
      </c>
      <c r="I13">
        <f t="shared" ref="I13:I37" si="2">IF(K13 &gt; 0, ABS(H13-J13), 0)</f>
        <v>0</v>
      </c>
      <c r="J13">
        <f>IF(K13&gt; 0, ABS((K13-E13)/SIN(ATAN(H13/(D13-E13)))), 0)</f>
        <v>0</v>
      </c>
      <c r="K13" s="2"/>
      <c r="L13" s="57"/>
      <c r="M13" s="57"/>
      <c r="N13" s="57"/>
      <c r="O13" s="21" t="str">
        <f t="shared" ref="O13:O37" si="3">_xlfn.IFNA(VLOOKUP(L13,$A$1:$F$7,3,FALSE),"")</f>
        <v/>
      </c>
      <c r="P13" s="21" t="str">
        <f t="shared" ref="P13:P37" si="4">_xlfn.IFNA(VLOOKUP(M13,$A$1:$F$7,3,FALSE),"")</f>
        <v/>
      </c>
      <c r="Q13" s="21" t="str">
        <f t="shared" ref="Q13:Q37" si="5">_xlfn.IFNA(VLOOKUP(N13,$A$1:$F$7,3,FALSE),"")</f>
        <v/>
      </c>
      <c r="R13">
        <f>IF(L13 = 0, 0, IF(K13 &gt; 0, 0, 10.44*((F13/130)^1.85)*(H13/L13^4.8655)))</f>
        <v>0</v>
      </c>
      <c r="S13">
        <f>IF(M13 = 0, 0, 10.44*((F13/130)^1.85)*(I13/M13^4.8655))</f>
        <v>0</v>
      </c>
      <c r="T13">
        <f>IF(N13 = 0, 0, 10.44*((F13/130)^1.85)*(J13/N13^4.8655))</f>
        <v>0</v>
      </c>
      <c r="U13">
        <f>_xlfn.IFNA(INDEX(H$12:AL$306, MATCH(A13, $AL$12:$AL$306,0), 16), 0)</f>
        <v>0</v>
      </c>
      <c r="V13">
        <f>IF(K13 &gt; 0, D13-S13, 0)</f>
        <v>0</v>
      </c>
      <c r="W13">
        <f>IF(K13&gt;0, D13 - T13, D13-R13)</f>
        <v>971</v>
      </c>
      <c r="X13">
        <f t="shared" ref="X13:X17" si="6">IF(K13 &gt; 0, V13-K13, 0)</f>
        <v>0</v>
      </c>
      <c r="Y13">
        <f>IF(K13 &gt; 0, K13 -E13, W13-E13)</f>
        <v>86</v>
      </c>
      <c r="Z13">
        <f>IF(L13 = 0, 0, IF(#REF! &gt; 0, 0,10.44*((G13/130)^1.85)*(H13/L13^4.8655)))</f>
        <v>0</v>
      </c>
      <c r="AA13">
        <f>IF(M13 = 0, 0, 10.44*((G13/130)^1.85)*(I13/M13^4.8655))</f>
        <v>0</v>
      </c>
      <c r="AB13">
        <f>IF(N13 = 0, 0, 10.44*((G13/130)^1.85)*(J13/N13^4.8655))</f>
        <v>0</v>
      </c>
      <c r="AC13">
        <f>_xlfn.IFNA(INDEX(H$12:AL$306, MATCH(A13, $AL$12:$AL$306,0), 24), 0)</f>
        <v>0</v>
      </c>
      <c r="AD13">
        <f t="shared" ref="AD13:AD17" si="7">IF(K13 &gt; 0, D13-AA13, 0)</f>
        <v>0</v>
      </c>
      <c r="AE13">
        <f t="shared" ref="AE13:AE17" si="8">IF(K13&gt;0, K13 - AB13, AC13-Z13)</f>
        <v>0</v>
      </c>
      <c r="AF13">
        <f>IF(K13 &gt; 0, AD13-E13, 0)</f>
        <v>0</v>
      </c>
      <c r="AG13">
        <f xml:space="preserve"> AE13-E13</f>
        <v>-885</v>
      </c>
      <c r="AH13">
        <f t="shared" ref="AH13:AH17" si="9">IF(AND(K13&gt; 0, P13 &gt; 0, Q13 &gt; 0, 20 &lt;= X13, X13 &lt; 369.6, 20 &lt;= Y13, Y13 &lt;= 80, 20 &lt;= AF13, AF13 &lt; 369.6, 20 &lt;= AG13, AG13 &lt;= 80), 0, IF(AND(K13&gt; 0, P13 = 0, Q13 = 0, 20 &lt;= X13, X13 &lt; 727.65, 20 &lt;= Y13, Y13 &lt;= 80, 20 &lt;= AF13, AF13 &lt; 727.65, 20 &lt;= AG13, AG13 &lt;= 80), 0,  IF(AND(K13= 0, 20 &lt;= Y13, Y13 &lt;= 80, 20 &lt;= AG13, AG13 &lt;= 80), 0, 1000000)))</f>
        <v>1000000</v>
      </c>
      <c r="AI13">
        <f>IF(L13&gt;6,0,IF(L13&lt;1,0,IF(M13&gt;6,0,IF(M13&lt;1,0,IF(N13&gt;6,0,IF(N13&lt;1,0,IF(SUM(L13:N13)=0,0,AH13+IF(#REF!&gt;0,2000+I13*VLOOKUP(_xlfn.CONCAT(M13," X ",IF(P13=0,13.5,26)),$A$2:$E$8,4,FALSE)+J13*VLOOKUP(_xlfn.CONCAT(N13," X ",IF(Q13=0,13.5,26)),$A$2:$E$8,4,FALSE),H13*VLOOKUP(_xlfn.CONCAT(L13," X ",IF(O13=0,13.5,26)),$A$2:$E$8,4,FALSE)))))))))</f>
        <v>0</v>
      </c>
      <c r="AJ13" s="2"/>
      <c r="AK13" t="str">
        <f t="shared" ref="AK13:AK37" si="10">IF(AJ13 = 0, "", B13)</f>
        <v/>
      </c>
    </row>
    <row r="14" spans="1:37" x14ac:dyDescent="0.25">
      <c r="A14">
        <v>6</v>
      </c>
      <c r="B14" s="3">
        <v>29</v>
      </c>
      <c r="C14" s="3"/>
      <c r="D14">
        <f>VLOOKUP(A14, Sheet1!A$3:C$31, 2, FALSE)</f>
        <v>971</v>
      </c>
      <c r="E14">
        <f>VLOOKUP(B14, Sheet1!A$3:C$31, 2, FALSE)</f>
        <v>761</v>
      </c>
      <c r="F14">
        <v>0</v>
      </c>
      <c r="G14">
        <v>48</v>
      </c>
      <c r="H14">
        <f>INDEX(Sheet1!$F$2:$V$31, MATCH(A14,Sheet1!$F$2:$F$31, 0),MATCH(B14,Sheet1!$F$2:$V$2, 0))</f>
        <v>2808</v>
      </c>
      <c r="I14">
        <f t="shared" si="2"/>
        <v>0</v>
      </c>
      <c r="J14">
        <f>IF(K14&gt; 0, ABS((K14-E14)/SIN(ATAN(H14/(D14-E14)))), 0)</f>
        <v>0</v>
      </c>
      <c r="K14" s="2"/>
      <c r="L14" s="57"/>
      <c r="M14" s="57"/>
      <c r="N14" s="57"/>
      <c r="O14" s="21" t="str">
        <f t="shared" si="3"/>
        <v/>
      </c>
      <c r="P14" s="21" t="str">
        <f t="shared" si="4"/>
        <v/>
      </c>
      <c r="Q14" s="21" t="str">
        <f t="shared" si="5"/>
        <v/>
      </c>
      <c r="R14">
        <f>IF(L14 = 0, 0, IF(K14 &gt; 0, 0, 10.44*((F14/130)^1.85)*(H14/L14^4.8655)))</f>
        <v>0</v>
      </c>
      <c r="S14">
        <f>IF(M14 = 0, 0, 10.44*((F14/130)^1.85)*(I14/M14^4.8655))</f>
        <v>0</v>
      </c>
      <c r="T14">
        <f>IF(N14 = 0, 0, 10.44*((F14/130)^1.85)*(J14/N14^4.8655))</f>
        <v>0</v>
      </c>
      <c r="U14">
        <f>_xlfn.IFNA(INDEX(H$12:AL$306, MATCH(A14, $AL$12:$AL$306,0), 16), 0)</f>
        <v>0</v>
      </c>
      <c r="V14">
        <f>IF(K14 &gt; 0, D14-S14, 0)</f>
        <v>0</v>
      </c>
      <c r="W14">
        <f>IF(K14&gt;0, D14 - T14, D14-R14)</f>
        <v>971</v>
      </c>
      <c r="X14">
        <f t="shared" si="6"/>
        <v>0</v>
      </c>
      <c r="Y14">
        <f>IF(K14 &gt; 0, K14 -E14, W14-E14)</f>
        <v>210</v>
      </c>
      <c r="Z14">
        <f>IF(L14 = 0, 0, IF(#REF! &gt; 0, 0,10.44*((G14/130)^1.85)*(H14/L14^4.8655)))</f>
        <v>0</v>
      </c>
      <c r="AA14">
        <f>IF(M14 = 0, 0, 10.44*((G14/130)^1.85)*(I14/M14^4.8655))</f>
        <v>0</v>
      </c>
      <c r="AB14">
        <f>IF(N14 = 0, 0, 10.44*((G14/130)^1.85)*(J14/N14^4.8655))</f>
        <v>0</v>
      </c>
      <c r="AC14">
        <f>_xlfn.IFNA(INDEX(H$12:AL$306, MATCH(A14, $AL$12:$AL$306,0), 24), 0)</f>
        <v>0</v>
      </c>
      <c r="AD14">
        <f t="shared" si="7"/>
        <v>0</v>
      </c>
      <c r="AE14">
        <f t="shared" si="8"/>
        <v>0</v>
      </c>
      <c r="AF14">
        <f>IF(K14 &gt; 0, AD14-E14, 0)</f>
        <v>0</v>
      </c>
      <c r="AG14">
        <f xml:space="preserve"> AE14-E14</f>
        <v>-761</v>
      </c>
      <c r="AH14">
        <f t="shared" si="9"/>
        <v>1000000</v>
      </c>
      <c r="AI14">
        <f>IF(L14&gt;6,0,IF(L14&lt;1,0,IF(M14&gt;6,0,IF(M14&lt;1,0,IF(N14&gt;6,0,IF(N14&lt;1,0,IF(SUM(L14:N14)=0,0,AH14+IF(#REF!&gt;0,2000+I14*VLOOKUP(_xlfn.CONCAT(M14," X ",IF(P14=0,13.5,26)),$A$2:$E$8,4,FALSE)+J14*VLOOKUP(_xlfn.CONCAT(N14," X ",IF(Q14=0,13.5,26)),$A$2:$E$8,4,FALSE),H14*VLOOKUP(_xlfn.CONCAT(L14," X ",IF(O14=0,13.5,26)),$A$2:$E$8,4,FALSE)))))))))</f>
        <v>0</v>
      </c>
      <c r="AJ14" s="2"/>
      <c r="AK14" t="str">
        <f t="shared" si="10"/>
        <v/>
      </c>
    </row>
    <row r="15" spans="1:37" x14ac:dyDescent="0.25">
      <c r="A15">
        <v>25</v>
      </c>
      <c r="B15" s="23">
        <v>29</v>
      </c>
      <c r="C15" s="23"/>
      <c r="D15">
        <f>VLOOKUP(A15, Sheet1!A$3:C$31, 2, FALSE)</f>
        <v>813</v>
      </c>
      <c r="E15">
        <f>VLOOKUP(B15, Sheet1!A$3:C$31, 2, FALSE)</f>
        <v>761</v>
      </c>
      <c r="F15">
        <v>0</v>
      </c>
      <c r="G15">
        <v>48</v>
      </c>
      <c r="H15">
        <f>INDEX(Sheet1!$F$2:$V$31, MATCH(A15,Sheet1!$F$2:$F$31, 0),MATCH(B15,Sheet1!$F$2:$V$2, 0))</f>
        <v>849</v>
      </c>
      <c r="I15">
        <f t="shared" si="2"/>
        <v>0</v>
      </c>
      <c r="J15">
        <f>IF(K15&gt; 0, ABS((K15-E15)/SIN(ATAN(H15/(D15-E15)))), 0)</f>
        <v>0</v>
      </c>
      <c r="K15" s="2"/>
      <c r="L15" s="57"/>
      <c r="M15" s="57"/>
      <c r="N15" s="57"/>
      <c r="O15" s="21" t="str">
        <f t="shared" si="3"/>
        <v/>
      </c>
      <c r="P15" s="21" t="str">
        <f t="shared" si="4"/>
        <v/>
      </c>
      <c r="Q15" s="21" t="str">
        <f t="shared" si="5"/>
        <v/>
      </c>
      <c r="R15">
        <f>IF(L15 = 0, 0, IF(K15 &gt; 0, 0, 10.44*((F15/130)^1.85)*(H15/L15^4.8655)))</f>
        <v>0</v>
      </c>
      <c r="S15">
        <f>IF(M15 = 0, 0, 10.44*((F15/130)^1.85)*(I15/M15^4.8655))</f>
        <v>0</v>
      </c>
      <c r="T15">
        <f>IF(N15 = 0, 0, 10.44*((F15/130)^1.85)*(J15/N15^4.8655))</f>
        <v>0</v>
      </c>
      <c r="U15">
        <f>_xlfn.IFNA(INDEX(H$12:AL$306, MATCH(A15, $AL$12:$AL$306,0), 16), 0)</f>
        <v>0</v>
      </c>
      <c r="V15">
        <f>IF(K15 &gt; 0, D15-S15, 0)</f>
        <v>0</v>
      </c>
      <c r="W15">
        <f>IF(K15&gt;0, D15 - T15, D15-R15)</f>
        <v>813</v>
      </c>
      <c r="X15">
        <f t="shared" si="6"/>
        <v>0</v>
      </c>
      <c r="Y15">
        <f>IF(K15 &gt; 0, K15 -E15, W15-E15)</f>
        <v>52</v>
      </c>
      <c r="Z15">
        <f>IF(L15 = 0, 0, IF(#REF! &gt; 0, 0,10.44*((G15/130)^1.85)*(H15/L15^4.8655)))</f>
        <v>0</v>
      </c>
      <c r="AA15">
        <f>IF(M15 = 0, 0, 10.44*((G15/130)^1.85)*(I15/M15^4.8655))</f>
        <v>0</v>
      </c>
      <c r="AB15">
        <f>IF(N15 = 0, 0, 10.44*((G15/130)^1.85)*(J15/N15^4.8655))</f>
        <v>0</v>
      </c>
      <c r="AC15">
        <f>_xlfn.IFNA(INDEX(H$12:AL$306, MATCH(A15, $AL$12:$AL$306,0), 24), 0)</f>
        <v>0</v>
      </c>
      <c r="AD15">
        <f t="shared" si="7"/>
        <v>0</v>
      </c>
      <c r="AE15">
        <f t="shared" si="8"/>
        <v>0</v>
      </c>
      <c r="AF15">
        <f>IF(K15 &gt; 0, AD15-E15, 0)</f>
        <v>0</v>
      </c>
      <c r="AG15">
        <f xml:space="preserve"> AE15-E15</f>
        <v>-761</v>
      </c>
      <c r="AH15">
        <f t="shared" si="9"/>
        <v>1000000</v>
      </c>
      <c r="AI15">
        <f>IF(L15&gt;6,0,IF(L15&lt;1,0,IF(M15&gt;6,0,IF(M15&lt;1,0,IF(N15&gt;6,0,IF(N15&lt;1,0,IF(SUM(L15:N15)=0,0,AH15+IF(#REF!&gt;0,2000+I15*VLOOKUP(_xlfn.CONCAT(M15," X ",IF(P15=0,13.5,26)),$A$2:$E$8,4,FALSE)+J15*VLOOKUP(_xlfn.CONCAT(N15," X ",IF(Q15=0,13.5,26)),$A$2:$E$8,4,FALSE),H15*VLOOKUP(_xlfn.CONCAT(L15," X ",IF(O15=0,13.5,26)),$A$2:$E$8,4,FALSE)))))))))</f>
        <v>0</v>
      </c>
      <c r="AJ15" s="2"/>
      <c r="AK15" t="str">
        <f t="shared" si="10"/>
        <v/>
      </c>
    </row>
    <row r="16" spans="1:37" x14ac:dyDescent="0.25">
      <c r="A16">
        <v>29</v>
      </c>
      <c r="B16" s="3">
        <v>33</v>
      </c>
      <c r="C16" s="3"/>
      <c r="D16">
        <f>VLOOKUP(A16, Sheet1!A$3:C$31, 2, FALSE)</f>
        <v>761</v>
      </c>
      <c r="E16">
        <f>VLOOKUP(B16, Sheet1!A$3:C$31, 2, FALSE)</f>
        <v>815</v>
      </c>
      <c r="F16">
        <v>0</v>
      </c>
      <c r="G16">
        <v>48</v>
      </c>
      <c r="H16">
        <f>INDEX(Sheet1!$F$2:$V$31, MATCH(A16,Sheet1!$F$2:$F$31, 0),MATCH(B16,Sheet1!$F$2:$V$2, 0))</f>
        <v>595</v>
      </c>
      <c r="I16">
        <f t="shared" si="2"/>
        <v>0</v>
      </c>
      <c r="J16">
        <f>IF(K16&gt; 0, ABS((K16-E16)/SIN(ATAN(H16/(D16-E16)))), 0)</f>
        <v>0</v>
      </c>
      <c r="K16" s="2"/>
      <c r="L16" s="57"/>
      <c r="M16" s="57"/>
      <c r="N16" s="57"/>
      <c r="O16" s="21" t="str">
        <f t="shared" si="3"/>
        <v/>
      </c>
      <c r="P16" s="21" t="str">
        <f t="shared" si="4"/>
        <v/>
      </c>
      <c r="Q16" s="21" t="str">
        <f t="shared" si="5"/>
        <v/>
      </c>
      <c r="R16">
        <f>IF(L16 = 0, 0, IF(K16 &gt; 0, 0, 10.44*((F16/130)^1.85)*(H16/L16^4.8655)))</f>
        <v>0</v>
      </c>
      <c r="S16">
        <f>IF(M16 = 0, 0, 10.44*((F16/130)^1.85)*(I16/M16^4.8655))</f>
        <v>0</v>
      </c>
      <c r="T16">
        <f>IF(N16 = 0, 0, 10.44*((F16/130)^1.85)*(J16/N16^4.8655))</f>
        <v>0</v>
      </c>
      <c r="U16">
        <f>_xlfn.IFNA(INDEX(H$12:AL$306, MATCH(A16, $AL$12:$AL$306,0), 16), 0)</f>
        <v>0</v>
      </c>
      <c r="V16">
        <f>IF(K16 &gt; 0, D16-S16, 0)</f>
        <v>0</v>
      </c>
      <c r="W16">
        <f>IF(K16&gt;0, D16 - T16, D16-R16)</f>
        <v>761</v>
      </c>
      <c r="X16">
        <f t="shared" si="6"/>
        <v>0</v>
      </c>
      <c r="Y16">
        <f>IF(K16 &gt; 0, K16 -E16, W16-E16)</f>
        <v>-54</v>
      </c>
      <c r="Z16">
        <f>IF(L16 = 0, 0, IF(#REF! &gt; 0, 0,10.44*((G16/130)^1.85)*(H16/L16^4.8655)))</f>
        <v>0</v>
      </c>
      <c r="AA16">
        <f>IF(M16 = 0, 0, 10.44*((G16/130)^1.85)*(I16/M16^4.8655))</f>
        <v>0</v>
      </c>
      <c r="AB16">
        <f>IF(N16 = 0, 0, 10.44*((G16/130)^1.85)*(J16/N16^4.8655))</f>
        <v>0</v>
      </c>
      <c r="AC16">
        <f>_xlfn.IFNA(INDEX(H$12:AL$306, MATCH(A16, $AL$12:$AL$306,0), 24), 0)</f>
        <v>0</v>
      </c>
      <c r="AD16">
        <f t="shared" si="7"/>
        <v>0</v>
      </c>
      <c r="AE16">
        <f t="shared" si="8"/>
        <v>0</v>
      </c>
      <c r="AF16">
        <f>IF(K16 &gt; 0, AD16-E16, 0)</f>
        <v>0</v>
      </c>
      <c r="AG16">
        <f xml:space="preserve"> AE16-E16</f>
        <v>-815</v>
      </c>
      <c r="AH16">
        <f t="shared" si="9"/>
        <v>1000000</v>
      </c>
      <c r="AI16">
        <f>IF(L16&gt;6,0,IF(L16&lt;1,0,IF(M16&gt;6,0,IF(M16&lt;1,0,IF(N16&gt;6,0,IF(N16&lt;1,0,IF(SUM(L16:N16)=0,0,AH16+IF(#REF!&gt;0,2000+I16*VLOOKUP(_xlfn.CONCAT(M16," X ",IF(P16=0,13.5,26)),$A$2:$E$8,4,FALSE)+J16*VLOOKUP(_xlfn.CONCAT(N16," X ",IF(Q16=0,13.5,26)),$A$2:$E$8,4,FALSE),H16*VLOOKUP(_xlfn.CONCAT(L16," X ",IF(O16=0,13.5,26)),$A$2:$E$8,4,FALSE)))))))))</f>
        <v>0</v>
      </c>
      <c r="AJ16" s="2"/>
      <c r="AK16" t="str">
        <f t="shared" si="10"/>
        <v/>
      </c>
    </row>
    <row r="17" spans="1:37" x14ac:dyDescent="0.25">
      <c r="A17">
        <v>33</v>
      </c>
      <c r="B17" s="3">
        <v>34</v>
      </c>
      <c r="C17" s="3"/>
      <c r="D17">
        <f>VLOOKUP(A17, Sheet1!A$3:C$31, 2, FALSE)</f>
        <v>815</v>
      </c>
      <c r="E17">
        <f>VLOOKUP(B17, Sheet1!A$3:C$31, 2, FALSE)</f>
        <v>850</v>
      </c>
      <c r="F17">
        <v>0</v>
      </c>
      <c r="G17">
        <v>48</v>
      </c>
      <c r="H17">
        <f>INDEX(Sheet1!$F$2:$V$31, MATCH(A17,Sheet1!$F$2:$F$31, 0),MATCH(B17,Sheet1!$F$2:$V$2, 0))</f>
        <v>637</v>
      </c>
      <c r="I17">
        <f t="shared" si="2"/>
        <v>0</v>
      </c>
      <c r="J17">
        <f>IF(K17&gt; 0, ABS((K17-E17)/SIN(ATAN(H17/(D17-E17)))), 0)</f>
        <v>0</v>
      </c>
      <c r="K17" s="2"/>
      <c r="L17" s="57"/>
      <c r="M17" s="57"/>
      <c r="N17" s="57"/>
      <c r="O17" s="21" t="str">
        <f t="shared" si="3"/>
        <v/>
      </c>
      <c r="P17" s="21" t="str">
        <f t="shared" si="4"/>
        <v/>
      </c>
      <c r="Q17" s="21" t="str">
        <f t="shared" si="5"/>
        <v/>
      </c>
      <c r="R17">
        <f>IF(L17 = 0, 0, IF(K17 &gt; 0, 0, 10.44*((F17/130)^1.85)*(H17/L17^4.8655)))</f>
        <v>0</v>
      </c>
      <c r="S17">
        <f>IF(M17 = 0, 0, 10.44*((F17/130)^1.85)*(I17/M17^4.8655))</f>
        <v>0</v>
      </c>
      <c r="T17">
        <f>IF(N17 = 0, 0, 10.44*((F17/130)^1.85)*(J17/N17^4.8655))</f>
        <v>0</v>
      </c>
      <c r="U17">
        <f>_xlfn.IFNA(INDEX(H$12:AL$306, MATCH(A17, $AL$12:$AL$306,0), 16), 0)</f>
        <v>0</v>
      </c>
      <c r="V17">
        <f>IF(K17 &gt; 0, D17-S17, 0)</f>
        <v>0</v>
      </c>
      <c r="W17">
        <f>IF(K17&gt;0, D17 - T17, D17-R17)</f>
        <v>815</v>
      </c>
      <c r="X17">
        <f t="shared" si="6"/>
        <v>0</v>
      </c>
      <c r="Y17">
        <f>IF(K17 &gt; 0, K17 -E17, W17-E17)</f>
        <v>-35</v>
      </c>
      <c r="Z17">
        <f>IF(L17 = 0, 0, IF(#REF! &gt; 0, 0,10.44*((G17/130)^1.85)*(H17/L17^4.8655)))</f>
        <v>0</v>
      </c>
      <c r="AA17">
        <f>IF(M17 = 0, 0, 10.44*((G17/130)^1.85)*(I17/M17^4.8655))</f>
        <v>0</v>
      </c>
      <c r="AB17">
        <f>IF(N17 = 0, 0, 10.44*((G17/130)^1.85)*(J17/N17^4.8655))</f>
        <v>0</v>
      </c>
      <c r="AC17">
        <f>_xlfn.IFNA(INDEX(H$12:AL$306, MATCH(A17, $AL$12:$AL$306,0), 24), 0)</f>
        <v>0</v>
      </c>
      <c r="AD17">
        <f t="shared" si="7"/>
        <v>0</v>
      </c>
      <c r="AE17">
        <f t="shared" si="8"/>
        <v>0</v>
      </c>
      <c r="AF17">
        <f>IF(K17 &gt; 0, AD17-E17, 0)</f>
        <v>0</v>
      </c>
      <c r="AG17">
        <f xml:space="preserve"> AE17-E17</f>
        <v>-850</v>
      </c>
      <c r="AH17">
        <f t="shared" si="9"/>
        <v>1000000</v>
      </c>
      <c r="AI17">
        <f>IF(L17&gt;6,0,IF(L17&lt;1,0,IF(M17&gt;6,0,IF(M17&lt;1,0,IF(N17&gt;6,0,IF(N17&lt;1,0,IF(SUM(L17:N17)=0,0,AH17+IF(#REF!&gt;0,2000+I17*VLOOKUP(_xlfn.CONCAT(M17," X ",IF(P17=0,13.5,26)),$A$2:$E$8,4,FALSE)+J17*VLOOKUP(_xlfn.CONCAT(N17," X ",IF(Q17=0,13.5,26)),$A$2:$E$8,4,FALSE),H17*VLOOKUP(_xlfn.CONCAT(L17," X ",IF(O17=0,13.5,26)),$A$2:$E$8,4,FALSE)))))))))</f>
        <v>0</v>
      </c>
      <c r="AJ17" s="2"/>
      <c r="AK17" t="str">
        <f t="shared" si="10"/>
        <v/>
      </c>
    </row>
    <row r="18" spans="1:37" x14ac:dyDescent="0.25">
      <c r="A18">
        <v>33</v>
      </c>
      <c r="B18" s="3" t="s">
        <v>11</v>
      </c>
      <c r="C18" s="3"/>
      <c r="D18">
        <f>VLOOKUP(A18, Sheet1!A$3:C$31, 2, FALSE)</f>
        <v>815</v>
      </c>
      <c r="E18">
        <f>VLOOKUP(B18, Sheet1!A$3:C$31, 2, FALSE)</f>
        <v>947</v>
      </c>
      <c r="F18">
        <v>0</v>
      </c>
      <c r="G18">
        <v>48</v>
      </c>
      <c r="H18">
        <f>INDEX(Sheet1!$F$2:$V$31, MATCH(A18,Sheet1!$F$2:$F$31, 0),MATCH(B18,Sheet1!$F$2:$V$2, 0))</f>
        <v>1374</v>
      </c>
      <c r="I18">
        <f t="shared" si="2"/>
        <v>0</v>
      </c>
      <c r="J18">
        <f>IF(K18&gt; 0, ABS((K18-E18)/SIN(ATAN(H18/(D18-E18)))), 0)</f>
        <v>0</v>
      </c>
      <c r="K18" s="2"/>
      <c r="L18" s="57"/>
      <c r="M18" s="57"/>
      <c r="N18" s="57"/>
      <c r="O18" s="21" t="str">
        <f t="shared" si="3"/>
        <v/>
      </c>
      <c r="P18" s="21" t="str">
        <f t="shared" si="4"/>
        <v/>
      </c>
      <c r="Q18" s="21" t="str">
        <f t="shared" si="5"/>
        <v/>
      </c>
      <c r="R18">
        <f t="shared" ref="R18:R37" si="11">IF(L18 = 0, 0, IF(K18 &gt; 0, 0, 10.44*((F18/130)^1.85)*(H18/L18^4.8655)))</f>
        <v>0</v>
      </c>
      <c r="S18">
        <f t="shared" ref="S18:S37" si="12">IF(M18 = 0, 0, 10.44*((F18/130)^1.85)*(I18/M18^4.8655))</f>
        <v>0</v>
      </c>
      <c r="T18">
        <f t="shared" ref="T18:T37" si="13">IF(N18 = 0, 0, 10.44*((F18/130)^1.85)*(J18/N18^4.8655))</f>
        <v>0</v>
      </c>
      <c r="U18">
        <f>_xlfn.IFNA(INDEX(H$12:AL$306, MATCH(A18, $AL$12:$AL$306,0), 16), 0)</f>
        <v>0</v>
      </c>
      <c r="V18">
        <f t="shared" ref="V18:V37" si="14">IF(K18 &gt; 0, D18-S18, 0)</f>
        <v>0</v>
      </c>
      <c r="W18">
        <f t="shared" ref="W18:W37" si="15">IF(K18&gt;0, D18 - T18, D18-R18)</f>
        <v>815</v>
      </c>
      <c r="X18">
        <f t="shared" ref="X18:X37" si="16">IF(K18 &gt; 0, V18-K18, 0)</f>
        <v>0</v>
      </c>
      <c r="Y18">
        <f t="shared" ref="Y18:Y37" si="17">IF(K18 &gt; 0, K18 -E18, W18-E18)</f>
        <v>-132</v>
      </c>
      <c r="Z18">
        <f>IF(L18 = 0, 0, IF(#REF! &gt; 0, 0,10.44*((G18/130)^1.85)*(H18/L18^4.8655)))</f>
        <v>0</v>
      </c>
      <c r="AA18">
        <f t="shared" ref="AA18:AA37" si="18">IF(M18 = 0, 0, 10.44*((G18/130)^1.85)*(I18/M18^4.8655))</f>
        <v>0</v>
      </c>
      <c r="AB18">
        <f t="shared" ref="AB18:AB37" si="19">IF(N18 = 0, 0, 10.44*((G18/130)^1.85)*(J18/N18^4.8655))</f>
        <v>0</v>
      </c>
      <c r="AC18">
        <f>_xlfn.IFNA(INDEX(H$12:AL$306, MATCH(A18, $AL$12:$AL$306,0), 24), 0)</f>
        <v>0</v>
      </c>
      <c r="AD18">
        <f t="shared" ref="AD18:AD37" si="20">IF(K18 &gt; 0, D18-AA18, 0)</f>
        <v>0</v>
      </c>
      <c r="AE18">
        <f t="shared" ref="AE18:AE37" si="21">IF(K18&gt;0, K18 - AB18, AC18-Z18)</f>
        <v>0</v>
      </c>
      <c r="AF18">
        <f t="shared" ref="AF18:AF37" si="22">IF(K18 &gt; 0, AD18-E18, 0)</f>
        <v>0</v>
      </c>
      <c r="AG18">
        <f t="shared" ref="AG18:AG37" si="23" xml:space="preserve"> AE18-E18</f>
        <v>-947</v>
      </c>
      <c r="AH18">
        <f t="shared" ref="AH18:AH37" si="24">IF(AND(K18&gt; 0, P18 &gt; 0, Q18 &gt; 0, 20 &lt;= X18, X18 &lt; 369.6, 20 &lt;= Y18, Y18 &lt;= 80, 20 &lt;= AF18, AF18 &lt; 369.6, 20 &lt;= AG18, AG18 &lt;= 80), 0, IF(AND(K18&gt; 0, P18 = 0, Q18 = 0, 20 &lt;= X18, X18 &lt; 727.65, 20 &lt;= Y18, Y18 &lt;= 80, 20 &lt;= AF18, AF18 &lt; 727.65, 20 &lt;= AG18, AG18 &lt;= 80), 0,  IF(AND(K18= 0, 20 &lt;= Y18, Y18 &lt;= 80, 20 &lt;= AG18, AG18 &lt;= 80), 0, 1000000)))</f>
        <v>1000000</v>
      </c>
      <c r="AI18">
        <f>IF(L18&gt;6,0,IF(L18&lt;1,0,IF(M18&gt;6,0,IF(M18&lt;1,0,IF(N18&gt;6,0,IF(N18&lt;1,0,IF(SUM(L18:N18)=0,0,AH18+IF(#REF!&gt;0,2000+I18*VLOOKUP(_xlfn.CONCAT(M18," X ",IF(P18=0,13.5,26)),$A$2:$E$8,4,FALSE)+J18*VLOOKUP(_xlfn.CONCAT(N18," X ",IF(Q18=0,13.5,26)),$A$2:$E$8,4,FALSE),H18*VLOOKUP(_xlfn.CONCAT(L18," X ",IF(O18=0,13.5,26)),$A$2:$E$8,4,FALSE)))))))))</f>
        <v>0</v>
      </c>
      <c r="AJ18" s="2"/>
      <c r="AK18" t="str">
        <f t="shared" si="10"/>
        <v/>
      </c>
    </row>
    <row r="19" spans="1:37" x14ac:dyDescent="0.25">
      <c r="A19">
        <v>33</v>
      </c>
      <c r="B19" s="3">
        <v>36</v>
      </c>
      <c r="C19" s="3"/>
      <c r="D19">
        <f>VLOOKUP(A19, Sheet1!A$3:C$31, 2, FALSE)</f>
        <v>815</v>
      </c>
      <c r="E19">
        <f>VLOOKUP(B19, Sheet1!A$3:C$31, 2, FALSE)</f>
        <v>907</v>
      </c>
      <c r="F19">
        <v>0</v>
      </c>
      <c r="G19">
        <v>48</v>
      </c>
      <c r="H19">
        <f>INDEX(Sheet1!$F$2:$V$31, MATCH(A19,Sheet1!$F$2:$F$31, 0),MATCH(B19,Sheet1!$F$2:$V$2, 0))</f>
        <v>2033</v>
      </c>
      <c r="I19">
        <f t="shared" si="2"/>
        <v>0</v>
      </c>
      <c r="J19">
        <f>IF(K19&gt; 0, ABS((K19-E19)/SIN(ATAN(H19/(D19-E19)))), 0)</f>
        <v>0</v>
      </c>
      <c r="K19" s="2"/>
      <c r="L19" s="57"/>
      <c r="M19" s="57"/>
      <c r="N19" s="57"/>
      <c r="O19" s="21" t="str">
        <f t="shared" si="3"/>
        <v/>
      </c>
      <c r="P19" s="21" t="str">
        <f t="shared" si="4"/>
        <v/>
      </c>
      <c r="Q19" s="21" t="str">
        <f t="shared" si="5"/>
        <v/>
      </c>
      <c r="R19">
        <f t="shared" si="11"/>
        <v>0</v>
      </c>
      <c r="S19">
        <f t="shared" si="12"/>
        <v>0</v>
      </c>
      <c r="T19">
        <f t="shared" si="13"/>
        <v>0</v>
      </c>
      <c r="U19">
        <f>_xlfn.IFNA(INDEX(H$12:AL$306, MATCH(A19, $AL$12:$AL$306,0), 16), 0)</f>
        <v>0</v>
      </c>
      <c r="V19">
        <f t="shared" si="14"/>
        <v>0</v>
      </c>
      <c r="W19">
        <f t="shared" si="15"/>
        <v>815</v>
      </c>
      <c r="X19">
        <f t="shared" si="16"/>
        <v>0</v>
      </c>
      <c r="Y19">
        <f t="shared" si="17"/>
        <v>-92</v>
      </c>
      <c r="Z19">
        <f>IF(L19 = 0, 0, IF(#REF! &gt; 0, 0,10.44*((G19/130)^1.85)*(H19/L19^4.8655)))</f>
        <v>0</v>
      </c>
      <c r="AA19">
        <f t="shared" si="18"/>
        <v>0</v>
      </c>
      <c r="AB19">
        <f t="shared" si="19"/>
        <v>0</v>
      </c>
      <c r="AC19">
        <f>_xlfn.IFNA(INDEX(H$12:AL$306, MATCH(A19, $AL$12:$AL$306,0), 24), 0)</f>
        <v>0</v>
      </c>
      <c r="AD19">
        <f t="shared" si="20"/>
        <v>0</v>
      </c>
      <c r="AE19">
        <f t="shared" si="21"/>
        <v>0</v>
      </c>
      <c r="AF19">
        <f t="shared" si="22"/>
        <v>0</v>
      </c>
      <c r="AG19">
        <f t="shared" si="23"/>
        <v>-907</v>
      </c>
      <c r="AH19">
        <f t="shared" si="24"/>
        <v>1000000</v>
      </c>
      <c r="AI19">
        <f>IF(L19&gt;6,0,IF(L19&lt;1,0,IF(M19&gt;6,0,IF(M19&lt;1,0,IF(N19&gt;6,0,IF(N19&lt;1,0,IF(SUM(L19:N19)=0,0,AH19+IF(#REF!&gt;0,2000+I19*VLOOKUP(_xlfn.CONCAT(M19," X ",IF(P19=0,13.5,26)),$A$2:$E$8,4,FALSE)+J19*VLOOKUP(_xlfn.CONCAT(N19," X ",IF(Q19=0,13.5,26)),$A$2:$E$8,4,FALSE),H19*VLOOKUP(_xlfn.CONCAT(L19," X ",IF(O19=0,13.5,26)),$A$2:$E$8,4,FALSE)))))))))</f>
        <v>0</v>
      </c>
      <c r="AJ19" s="2"/>
      <c r="AK19" t="str">
        <f t="shared" si="10"/>
        <v/>
      </c>
    </row>
    <row r="20" spans="1:37" x14ac:dyDescent="0.25">
      <c r="A20">
        <v>34</v>
      </c>
      <c r="B20" s="3">
        <v>33</v>
      </c>
      <c r="C20" s="3"/>
      <c r="D20">
        <f>VLOOKUP(A20, Sheet1!A$3:C$31, 2, FALSE)</f>
        <v>850</v>
      </c>
      <c r="E20">
        <f>VLOOKUP(B20, Sheet1!A$3:C$31, 2, FALSE)</f>
        <v>815</v>
      </c>
      <c r="F20">
        <v>0</v>
      </c>
      <c r="G20">
        <v>48</v>
      </c>
      <c r="H20">
        <f>INDEX(Sheet1!$F$2:$V$31, MATCH(A20,Sheet1!$F$2:$F$31, 0),MATCH(B20,Sheet1!$F$2:$V$2, 0))</f>
        <v>637</v>
      </c>
      <c r="I20">
        <f t="shared" si="2"/>
        <v>0</v>
      </c>
      <c r="J20">
        <f>IF(K20&gt; 0, ABS((K20-E20)/SIN(ATAN(H20/(D20-E20)))), 0)</f>
        <v>0</v>
      </c>
      <c r="K20" s="2"/>
      <c r="L20" s="57"/>
      <c r="M20" s="57"/>
      <c r="N20" s="57"/>
      <c r="O20" s="21" t="str">
        <f t="shared" si="3"/>
        <v/>
      </c>
      <c r="P20" s="21" t="str">
        <f t="shared" si="4"/>
        <v/>
      </c>
      <c r="Q20" s="21" t="str">
        <f t="shared" si="5"/>
        <v/>
      </c>
      <c r="R20">
        <f t="shared" si="11"/>
        <v>0</v>
      </c>
      <c r="S20">
        <f t="shared" si="12"/>
        <v>0</v>
      </c>
      <c r="T20">
        <f t="shared" si="13"/>
        <v>0</v>
      </c>
      <c r="U20">
        <f>_xlfn.IFNA(INDEX(H$12:AL$306, MATCH(A20, $AL$12:$AL$306,0), 16), 0)</f>
        <v>0</v>
      </c>
      <c r="V20">
        <f t="shared" si="14"/>
        <v>0</v>
      </c>
      <c r="W20">
        <f t="shared" si="15"/>
        <v>850</v>
      </c>
      <c r="X20">
        <f t="shared" si="16"/>
        <v>0</v>
      </c>
      <c r="Y20">
        <f t="shared" si="17"/>
        <v>35</v>
      </c>
      <c r="Z20">
        <f>IF(L20 = 0, 0, IF(#REF! &gt; 0, 0,10.44*((G20/130)^1.85)*(H20/L20^4.8655)))</f>
        <v>0</v>
      </c>
      <c r="AA20">
        <f t="shared" si="18"/>
        <v>0</v>
      </c>
      <c r="AB20">
        <f t="shared" si="19"/>
        <v>0</v>
      </c>
      <c r="AC20">
        <f>_xlfn.IFNA(INDEX(H$12:AL$306, MATCH(A20, $AL$12:$AL$306,0), 24), 0)</f>
        <v>0</v>
      </c>
      <c r="AD20">
        <f t="shared" si="20"/>
        <v>0</v>
      </c>
      <c r="AE20">
        <f t="shared" si="21"/>
        <v>0</v>
      </c>
      <c r="AF20">
        <f t="shared" si="22"/>
        <v>0</v>
      </c>
      <c r="AG20">
        <f t="shared" si="23"/>
        <v>-815</v>
      </c>
      <c r="AH20">
        <f t="shared" si="24"/>
        <v>1000000</v>
      </c>
      <c r="AI20">
        <f>IF(L20&gt;6,0,IF(L20&lt;1,0,IF(M20&gt;6,0,IF(M20&lt;1,0,IF(N20&gt;6,0,IF(N20&lt;1,0,IF(SUM(L20:N20)=0,0,AH20+IF(#REF!&gt;0,2000+I20*VLOOKUP(_xlfn.CONCAT(M20," X ",IF(P20=0,13.5,26)),$A$2:$E$8,4,FALSE)+J20*VLOOKUP(_xlfn.CONCAT(N20," X ",IF(Q20=0,13.5,26)),$A$2:$E$8,4,FALSE),H20*VLOOKUP(_xlfn.CONCAT(L20," X ",IF(O20=0,13.5,26)),$A$2:$E$8,4,FALSE)))))))))</f>
        <v>0</v>
      </c>
      <c r="AJ20" s="2"/>
      <c r="AK20" t="str">
        <f t="shared" si="10"/>
        <v/>
      </c>
    </row>
    <row r="21" spans="1:37" x14ac:dyDescent="0.25">
      <c r="A21">
        <v>34</v>
      </c>
      <c r="B21" s="3" t="s">
        <v>11</v>
      </c>
      <c r="C21" s="3"/>
      <c r="D21">
        <f>VLOOKUP(A21, Sheet1!A$3:C$31, 2, FALSE)</f>
        <v>850</v>
      </c>
      <c r="E21">
        <f>VLOOKUP(B21, Sheet1!A$3:C$31, 2, FALSE)</f>
        <v>947</v>
      </c>
      <c r="F21">
        <v>0</v>
      </c>
      <c r="G21">
        <v>48</v>
      </c>
      <c r="H21">
        <f>INDEX(Sheet1!$F$2:$V$31, MATCH(A21,Sheet1!$F$2:$F$31, 0),MATCH(B21,Sheet1!$F$2:$V$2, 0))</f>
        <v>737</v>
      </c>
      <c r="I21">
        <f t="shared" si="2"/>
        <v>0</v>
      </c>
      <c r="J21">
        <f>IF(K21&gt; 0, ABS((K21-E21)/SIN(ATAN(H21/(D21-E21)))), 0)</f>
        <v>0</v>
      </c>
      <c r="K21" s="2"/>
      <c r="L21" s="57"/>
      <c r="M21" s="57"/>
      <c r="N21" s="57"/>
      <c r="O21" s="21" t="str">
        <f t="shared" si="3"/>
        <v/>
      </c>
      <c r="P21" s="21" t="str">
        <f t="shared" si="4"/>
        <v/>
      </c>
      <c r="Q21" s="21" t="str">
        <f t="shared" si="5"/>
        <v/>
      </c>
      <c r="R21">
        <f t="shared" si="11"/>
        <v>0</v>
      </c>
      <c r="S21">
        <f t="shared" si="12"/>
        <v>0</v>
      </c>
      <c r="T21">
        <f t="shared" si="13"/>
        <v>0</v>
      </c>
      <c r="U21">
        <f>_xlfn.IFNA(INDEX(H$12:AL$306, MATCH(A21, $AL$12:$AL$306,0), 16), 0)</f>
        <v>0</v>
      </c>
      <c r="V21">
        <f t="shared" si="14"/>
        <v>0</v>
      </c>
      <c r="W21">
        <f t="shared" si="15"/>
        <v>850</v>
      </c>
      <c r="X21">
        <f t="shared" si="16"/>
        <v>0</v>
      </c>
      <c r="Y21">
        <f t="shared" si="17"/>
        <v>-97</v>
      </c>
      <c r="Z21">
        <f>IF(L21 = 0, 0, IF(#REF! &gt; 0, 0,10.44*((G21/130)^1.85)*(H21/L21^4.8655)))</f>
        <v>0</v>
      </c>
      <c r="AA21">
        <f t="shared" si="18"/>
        <v>0</v>
      </c>
      <c r="AB21">
        <f t="shared" si="19"/>
        <v>0</v>
      </c>
      <c r="AC21">
        <f>_xlfn.IFNA(INDEX(H$12:AL$306, MATCH(A21, $AL$12:$AL$306,0), 24), 0)</f>
        <v>0</v>
      </c>
      <c r="AD21">
        <f t="shared" si="20"/>
        <v>0</v>
      </c>
      <c r="AE21">
        <f t="shared" si="21"/>
        <v>0</v>
      </c>
      <c r="AF21">
        <f t="shared" si="22"/>
        <v>0</v>
      </c>
      <c r="AG21">
        <f t="shared" si="23"/>
        <v>-947</v>
      </c>
      <c r="AH21">
        <f t="shared" si="24"/>
        <v>1000000</v>
      </c>
      <c r="AI21">
        <f>IF(L21&gt;6,0,IF(L21&lt;1,0,IF(M21&gt;6,0,IF(M21&lt;1,0,IF(N21&gt;6,0,IF(N21&lt;1,0,IF(SUM(L21:N21)=0,0,AH21+IF(#REF!&gt;0,2000+I21*VLOOKUP(_xlfn.CONCAT(M21," X ",IF(P21=0,13.5,26)),$A$2:$E$8,4,FALSE)+J21*VLOOKUP(_xlfn.CONCAT(N21," X ",IF(Q21=0,13.5,26)),$A$2:$E$8,4,FALSE),H21*VLOOKUP(_xlfn.CONCAT(L21," X ",IF(O21=0,13.5,26)),$A$2:$E$8,4,FALSE)))))))))</f>
        <v>0</v>
      </c>
      <c r="AJ21" s="2"/>
      <c r="AK21" t="str">
        <f t="shared" si="10"/>
        <v/>
      </c>
    </row>
    <row r="22" spans="1:37" x14ac:dyDescent="0.25">
      <c r="A22">
        <v>34</v>
      </c>
      <c r="B22" s="3">
        <v>36</v>
      </c>
      <c r="C22" s="3"/>
      <c r="D22">
        <f>VLOOKUP(A22, Sheet1!A$3:C$31, 2, FALSE)</f>
        <v>850</v>
      </c>
      <c r="E22">
        <f>VLOOKUP(B22, Sheet1!A$3:C$31, 2, FALSE)</f>
        <v>907</v>
      </c>
      <c r="F22">
        <v>0</v>
      </c>
      <c r="G22">
        <v>48</v>
      </c>
      <c r="H22">
        <f>INDEX(Sheet1!$F$2:$V$31, MATCH(A22,Sheet1!$F$2:$F$31, 0),MATCH(B22,Sheet1!$F$2:$V$2, 0))</f>
        <v>1396</v>
      </c>
      <c r="I22">
        <f t="shared" si="2"/>
        <v>0</v>
      </c>
      <c r="J22">
        <f>IF(K22&gt; 0, ABS((K22-E22)/SIN(ATAN(H22/(D22-E22)))), 0)</f>
        <v>0</v>
      </c>
      <c r="K22" s="2"/>
      <c r="L22" s="57"/>
      <c r="M22" s="57"/>
      <c r="N22" s="57"/>
      <c r="O22" s="21" t="str">
        <f t="shared" si="3"/>
        <v/>
      </c>
      <c r="P22" s="21" t="str">
        <f t="shared" si="4"/>
        <v/>
      </c>
      <c r="Q22" s="21" t="str">
        <f t="shared" si="5"/>
        <v/>
      </c>
      <c r="R22">
        <f t="shared" si="11"/>
        <v>0</v>
      </c>
      <c r="S22">
        <f t="shared" si="12"/>
        <v>0</v>
      </c>
      <c r="T22">
        <f t="shared" si="13"/>
        <v>0</v>
      </c>
      <c r="U22">
        <f>_xlfn.IFNA(INDEX(H$12:AL$306, MATCH(A22, $AL$12:$AL$306,0), 16), 0)</f>
        <v>0</v>
      </c>
      <c r="V22">
        <f t="shared" si="14"/>
        <v>0</v>
      </c>
      <c r="W22">
        <f t="shared" si="15"/>
        <v>850</v>
      </c>
      <c r="X22">
        <f t="shared" si="16"/>
        <v>0</v>
      </c>
      <c r="Y22">
        <f t="shared" si="17"/>
        <v>-57</v>
      </c>
      <c r="Z22">
        <f>IF(L22 = 0, 0, IF(#REF! &gt; 0, 0,10.44*((G22/130)^1.85)*(H22/L22^4.8655)))</f>
        <v>0</v>
      </c>
      <c r="AA22">
        <f t="shared" si="18"/>
        <v>0</v>
      </c>
      <c r="AB22">
        <f t="shared" si="19"/>
        <v>0</v>
      </c>
      <c r="AC22">
        <f>_xlfn.IFNA(INDEX(H$12:AL$306, MATCH(A22, $AL$12:$AL$306,0), 24), 0)</f>
        <v>0</v>
      </c>
      <c r="AD22">
        <f t="shared" si="20"/>
        <v>0</v>
      </c>
      <c r="AE22">
        <f t="shared" si="21"/>
        <v>0</v>
      </c>
      <c r="AF22">
        <f t="shared" si="22"/>
        <v>0</v>
      </c>
      <c r="AG22">
        <f t="shared" si="23"/>
        <v>-907</v>
      </c>
      <c r="AH22">
        <f t="shared" si="24"/>
        <v>1000000</v>
      </c>
      <c r="AI22">
        <f>IF(L22&gt;6,0,IF(L22&lt;1,0,IF(M22&gt;6,0,IF(M22&lt;1,0,IF(N22&gt;6,0,IF(N22&lt;1,0,IF(SUM(L22:N22)=0,0,AH22+IF(#REF!&gt;0,2000+I22*VLOOKUP(_xlfn.CONCAT(M22," X ",IF(P22=0,13.5,26)),$A$2:$E$8,4,FALSE)+J22*VLOOKUP(_xlfn.CONCAT(N22," X ",IF(Q22=0,13.5,26)),$A$2:$E$8,4,FALSE),H22*VLOOKUP(_xlfn.CONCAT(L22," X ",IF(O22=0,13.5,26)),$A$2:$E$8,4,FALSE)))))))))</f>
        <v>0</v>
      </c>
      <c r="AJ22" s="2"/>
      <c r="AK22" t="str">
        <f t="shared" si="10"/>
        <v/>
      </c>
    </row>
    <row r="23" spans="1:37" x14ac:dyDescent="0.25">
      <c r="A23" t="s">
        <v>11</v>
      </c>
      <c r="B23" s="3">
        <v>36</v>
      </c>
      <c r="C23" s="3"/>
      <c r="D23">
        <f>VLOOKUP(A23, Sheet1!A$3:C$31, 2, FALSE)</f>
        <v>947</v>
      </c>
      <c r="E23">
        <f>VLOOKUP(B23, Sheet1!A$3:C$31, 2, FALSE)</f>
        <v>907</v>
      </c>
      <c r="F23">
        <v>0</v>
      </c>
      <c r="G23">
        <v>48</v>
      </c>
      <c r="H23">
        <f>INDEX(Sheet1!$F$2:$V$31, MATCH(A23,Sheet1!$F$2:$F$31, 0),MATCH(B23,Sheet1!$F$2:$V$2, 0))</f>
        <v>659</v>
      </c>
      <c r="I23">
        <f t="shared" si="2"/>
        <v>0</v>
      </c>
      <c r="J23">
        <f>IF(K23&gt; 0, ABS((K23-E23)/SIN(ATAN(H23/(D23-E23)))), 0)</f>
        <v>0</v>
      </c>
      <c r="K23" s="2"/>
      <c r="L23" s="57"/>
      <c r="M23" s="57"/>
      <c r="N23" s="57"/>
      <c r="O23" s="21" t="str">
        <f t="shared" si="3"/>
        <v/>
      </c>
      <c r="P23" s="21" t="str">
        <f t="shared" si="4"/>
        <v/>
      </c>
      <c r="Q23" s="21" t="str">
        <f t="shared" si="5"/>
        <v/>
      </c>
      <c r="R23">
        <f t="shared" si="11"/>
        <v>0</v>
      </c>
      <c r="S23">
        <f t="shared" si="12"/>
        <v>0</v>
      </c>
      <c r="T23">
        <f t="shared" si="13"/>
        <v>0</v>
      </c>
      <c r="U23">
        <f>_xlfn.IFNA(INDEX(H$12:AL$306, MATCH(A23, $AL$12:$AL$306,0), 16), 0)</f>
        <v>0</v>
      </c>
      <c r="V23">
        <f t="shared" si="14"/>
        <v>0</v>
      </c>
      <c r="W23">
        <f t="shared" si="15"/>
        <v>947</v>
      </c>
      <c r="X23">
        <f t="shared" si="16"/>
        <v>0</v>
      </c>
      <c r="Y23">
        <f t="shared" si="17"/>
        <v>40</v>
      </c>
      <c r="Z23">
        <f>IF(L23 = 0, 0, IF(#REF! &gt; 0, 0,10.44*((G23/130)^1.85)*(H23/L23^4.8655)))</f>
        <v>0</v>
      </c>
      <c r="AA23">
        <f t="shared" si="18"/>
        <v>0</v>
      </c>
      <c r="AB23">
        <f t="shared" si="19"/>
        <v>0</v>
      </c>
      <c r="AC23">
        <f>_xlfn.IFNA(INDEX(H$12:AL$306, MATCH(A23, $AL$12:$AL$306,0), 24), 0)</f>
        <v>0</v>
      </c>
      <c r="AD23">
        <f t="shared" si="20"/>
        <v>0</v>
      </c>
      <c r="AE23">
        <f t="shared" si="21"/>
        <v>0</v>
      </c>
      <c r="AF23">
        <f t="shared" si="22"/>
        <v>0</v>
      </c>
      <c r="AG23">
        <f t="shared" si="23"/>
        <v>-907</v>
      </c>
      <c r="AH23">
        <f t="shared" si="24"/>
        <v>1000000</v>
      </c>
      <c r="AI23">
        <f>IF(L23&gt;6,0,IF(L23&lt;1,0,IF(M23&gt;6,0,IF(M23&lt;1,0,IF(N23&gt;6,0,IF(N23&lt;1,0,IF(SUM(L23:N23)=0,0,AH23+IF(#REF!&gt;0,2000+I23*VLOOKUP(_xlfn.CONCAT(M23," X ",IF(P23=0,13.5,26)),$A$2:$E$8,4,FALSE)+J23*VLOOKUP(_xlfn.CONCAT(N23," X ",IF(Q23=0,13.5,26)),$A$2:$E$8,4,FALSE),H23*VLOOKUP(_xlfn.CONCAT(L23," X ",IF(O23=0,13.5,26)),$A$2:$E$8,4,FALSE)))))))))</f>
        <v>0</v>
      </c>
      <c r="AJ23" s="2"/>
      <c r="AK23" t="str">
        <f t="shared" si="10"/>
        <v/>
      </c>
    </row>
    <row r="24" spans="1:37" x14ac:dyDescent="0.25">
      <c r="A24" t="s">
        <v>11</v>
      </c>
      <c r="B24" s="3">
        <v>34</v>
      </c>
      <c r="C24" s="3"/>
      <c r="D24">
        <f>VLOOKUP(A24, Sheet1!A$3:C$31, 2, FALSE)</f>
        <v>947</v>
      </c>
      <c r="E24">
        <f>VLOOKUP(B24, Sheet1!A$3:C$31, 2, FALSE)</f>
        <v>850</v>
      </c>
      <c r="F24">
        <v>0</v>
      </c>
      <c r="G24">
        <v>48</v>
      </c>
      <c r="H24">
        <f>INDEX(Sheet1!$F$2:$V$31, MATCH(A24,Sheet1!$F$2:$F$31, 0),MATCH(B24,Sheet1!$F$2:$V$2, 0))</f>
        <v>0</v>
      </c>
      <c r="I24">
        <f t="shared" si="2"/>
        <v>0</v>
      </c>
      <c r="J24">
        <f>IF(K24&gt; 0, ABS((K24-E24)/SIN(ATAN(H24/(D24-E24)))), 0)</f>
        <v>0</v>
      </c>
      <c r="K24" s="2"/>
      <c r="L24" s="57"/>
      <c r="M24" s="57"/>
      <c r="N24" s="57"/>
      <c r="O24" s="21" t="str">
        <f t="shared" si="3"/>
        <v/>
      </c>
      <c r="P24" s="21" t="str">
        <f t="shared" si="4"/>
        <v/>
      </c>
      <c r="Q24" s="21" t="str">
        <f t="shared" si="5"/>
        <v/>
      </c>
      <c r="R24">
        <f t="shared" si="11"/>
        <v>0</v>
      </c>
      <c r="S24">
        <f t="shared" si="12"/>
        <v>0</v>
      </c>
      <c r="T24">
        <f t="shared" si="13"/>
        <v>0</v>
      </c>
      <c r="U24">
        <f>_xlfn.IFNA(INDEX(H$12:AL$306, MATCH(A24, $AL$12:$AL$306,0), 16), 0)</f>
        <v>0</v>
      </c>
      <c r="V24">
        <f t="shared" si="14"/>
        <v>0</v>
      </c>
      <c r="W24">
        <f t="shared" si="15"/>
        <v>947</v>
      </c>
      <c r="X24">
        <f t="shared" si="16"/>
        <v>0</v>
      </c>
      <c r="Y24">
        <f t="shared" si="17"/>
        <v>97</v>
      </c>
      <c r="Z24">
        <f>IF(L24 = 0, 0, IF(#REF! &gt; 0, 0,10.44*((G24/130)^1.85)*(H24/L24^4.8655)))</f>
        <v>0</v>
      </c>
      <c r="AA24">
        <f t="shared" si="18"/>
        <v>0</v>
      </c>
      <c r="AB24">
        <f t="shared" si="19"/>
        <v>0</v>
      </c>
      <c r="AC24">
        <f>_xlfn.IFNA(INDEX(H$12:AL$306, MATCH(A24, $AL$12:$AL$306,0), 24), 0)</f>
        <v>0</v>
      </c>
      <c r="AD24">
        <f t="shared" si="20"/>
        <v>0</v>
      </c>
      <c r="AE24">
        <f t="shared" si="21"/>
        <v>0</v>
      </c>
      <c r="AF24">
        <f t="shared" si="22"/>
        <v>0</v>
      </c>
      <c r="AG24">
        <f t="shared" si="23"/>
        <v>-850</v>
      </c>
      <c r="AH24">
        <f t="shared" si="24"/>
        <v>1000000</v>
      </c>
      <c r="AI24">
        <f>IF(L24&gt;6,0,IF(L24&lt;1,0,IF(M24&gt;6,0,IF(M24&lt;1,0,IF(N24&gt;6,0,IF(N24&lt;1,0,IF(SUM(L24:N24)=0,0,AH24+IF(#REF!&gt;0,2000+I24*VLOOKUP(_xlfn.CONCAT(M24," X ",IF(P24=0,13.5,26)),$A$2:$E$8,4,FALSE)+J24*VLOOKUP(_xlfn.CONCAT(N24," X ",IF(Q24=0,13.5,26)),$A$2:$E$8,4,FALSE),H24*VLOOKUP(_xlfn.CONCAT(L24," X ",IF(O24=0,13.5,26)),$A$2:$E$8,4,FALSE)))))))))</f>
        <v>0</v>
      </c>
      <c r="AJ24" s="2"/>
      <c r="AK24" t="str">
        <f t="shared" si="10"/>
        <v/>
      </c>
    </row>
    <row r="25" spans="1:37" x14ac:dyDescent="0.25">
      <c r="A25">
        <v>36</v>
      </c>
      <c r="B25" s="3">
        <v>72</v>
      </c>
      <c r="C25" s="3"/>
      <c r="D25">
        <f>VLOOKUP(A25, Sheet1!A$3:C$31, 2, FALSE)</f>
        <v>907</v>
      </c>
      <c r="E25">
        <f>VLOOKUP(B25, Sheet1!A$3:C$31, 2, FALSE)</f>
        <v>827</v>
      </c>
      <c r="F25">
        <v>0</v>
      </c>
      <c r="G25">
        <v>48</v>
      </c>
      <c r="H25">
        <f>INDEX(Sheet1!$F$2:$V$31, MATCH(A25,Sheet1!$F$2:$F$31, 0),MATCH(B25,Sheet1!$F$2:$V$2, 0))</f>
        <v>810</v>
      </c>
      <c r="I25">
        <f t="shared" si="2"/>
        <v>0</v>
      </c>
      <c r="J25">
        <f>IF(K25&gt; 0, ABS((K25-E25)/SIN(ATAN(H25/(D25-E25)))), 0)</f>
        <v>0</v>
      </c>
      <c r="K25" s="2"/>
      <c r="L25" s="57"/>
      <c r="M25" s="57"/>
      <c r="N25" s="57"/>
      <c r="O25" s="21" t="str">
        <f t="shared" si="3"/>
        <v/>
      </c>
      <c r="P25" s="21" t="str">
        <f t="shared" si="4"/>
        <v/>
      </c>
      <c r="Q25" s="21" t="str">
        <f t="shared" si="5"/>
        <v/>
      </c>
      <c r="R25">
        <f t="shared" si="11"/>
        <v>0</v>
      </c>
      <c r="S25">
        <f t="shared" si="12"/>
        <v>0</v>
      </c>
      <c r="T25">
        <f t="shared" si="13"/>
        <v>0</v>
      </c>
      <c r="U25">
        <f>_xlfn.IFNA(INDEX(H$12:AL$306, MATCH(A25, $AL$12:$AL$306,0), 16), 0)</f>
        <v>0</v>
      </c>
      <c r="V25">
        <f t="shared" si="14"/>
        <v>0</v>
      </c>
      <c r="W25">
        <f t="shared" si="15"/>
        <v>907</v>
      </c>
      <c r="X25">
        <f t="shared" si="16"/>
        <v>0</v>
      </c>
      <c r="Y25">
        <f t="shared" si="17"/>
        <v>80</v>
      </c>
      <c r="Z25">
        <f>IF(L25 = 0, 0, IF(#REF! &gt; 0, 0,10.44*((G25/130)^1.85)*(H25/L25^4.8655)))</f>
        <v>0</v>
      </c>
      <c r="AA25">
        <f t="shared" si="18"/>
        <v>0</v>
      </c>
      <c r="AB25">
        <f t="shared" si="19"/>
        <v>0</v>
      </c>
      <c r="AC25">
        <f>_xlfn.IFNA(INDEX(H$12:AL$306, MATCH(A25, $AL$12:$AL$306,0), 24), 0)</f>
        <v>0</v>
      </c>
      <c r="AD25">
        <f t="shared" si="20"/>
        <v>0</v>
      </c>
      <c r="AE25">
        <f t="shared" si="21"/>
        <v>0</v>
      </c>
      <c r="AF25">
        <f t="shared" si="22"/>
        <v>0</v>
      </c>
      <c r="AG25">
        <f t="shared" si="23"/>
        <v>-827</v>
      </c>
      <c r="AH25">
        <f t="shared" si="24"/>
        <v>1000000</v>
      </c>
      <c r="AI25">
        <f>IF(L25&gt;6,0,IF(L25&lt;1,0,IF(M25&gt;6,0,IF(M25&lt;1,0,IF(N25&gt;6,0,IF(N25&lt;1,0,IF(SUM(L25:N25)=0,0,AH25+IF(#REF!&gt;0,2000+I25*VLOOKUP(_xlfn.CONCAT(M25," X ",IF(P25=0,13.5,26)),$A$2:$E$8,4,FALSE)+J25*VLOOKUP(_xlfn.CONCAT(N25," X ",IF(Q25=0,13.5,26)),$A$2:$E$8,4,FALSE),H25*VLOOKUP(_xlfn.CONCAT(L25," X ",IF(O25=0,13.5,26)),$A$2:$E$8,4,FALSE)))))))))</f>
        <v>0</v>
      </c>
      <c r="AJ25" s="2"/>
      <c r="AK25" t="str">
        <f t="shared" si="10"/>
        <v/>
      </c>
    </row>
    <row r="26" spans="1:37" x14ac:dyDescent="0.25">
      <c r="A26">
        <v>36</v>
      </c>
      <c r="B26" s="3">
        <v>44</v>
      </c>
      <c r="C26" s="3"/>
      <c r="D26">
        <f>VLOOKUP(A26, Sheet1!A$3:C$31, 2, FALSE)</f>
        <v>907</v>
      </c>
      <c r="E26">
        <f>VLOOKUP(B26, Sheet1!A$3:C$31, 2, FALSE)</f>
        <v>695</v>
      </c>
      <c r="F26">
        <v>0</v>
      </c>
      <c r="G26">
        <v>48</v>
      </c>
      <c r="H26">
        <f>INDEX(Sheet1!$F$2:$V$31, MATCH(A26,Sheet1!$F$2:$F$31, 0),MATCH(B26,Sheet1!$F$2:$V$2, 0))</f>
        <v>2000</v>
      </c>
      <c r="I26">
        <f t="shared" si="2"/>
        <v>0</v>
      </c>
      <c r="J26">
        <f>IF(K26&gt; 0, ABS((K26-E26)/SIN(ATAN(H26/(D26-E26)))), 0)</f>
        <v>0</v>
      </c>
      <c r="K26" s="2"/>
      <c r="L26" s="57"/>
      <c r="M26" s="57"/>
      <c r="N26" s="57"/>
      <c r="O26" s="21" t="str">
        <f t="shared" si="3"/>
        <v/>
      </c>
      <c r="P26" s="21" t="str">
        <f t="shared" si="4"/>
        <v/>
      </c>
      <c r="Q26" s="21" t="str">
        <f t="shared" si="5"/>
        <v/>
      </c>
      <c r="R26">
        <f t="shared" si="11"/>
        <v>0</v>
      </c>
      <c r="S26">
        <f t="shared" si="12"/>
        <v>0</v>
      </c>
      <c r="T26">
        <f t="shared" si="13"/>
        <v>0</v>
      </c>
      <c r="U26">
        <f>_xlfn.IFNA(INDEX(H$12:AL$306, MATCH(A26, $AL$12:$AL$306,0), 16), 0)</f>
        <v>0</v>
      </c>
      <c r="V26">
        <f t="shared" si="14"/>
        <v>0</v>
      </c>
      <c r="W26">
        <f t="shared" si="15"/>
        <v>907</v>
      </c>
      <c r="X26">
        <f t="shared" si="16"/>
        <v>0</v>
      </c>
      <c r="Y26">
        <f t="shared" si="17"/>
        <v>212</v>
      </c>
      <c r="Z26">
        <f>IF(L26 = 0, 0, IF(#REF! &gt; 0, 0,10.44*((G26/130)^1.85)*(H26/L26^4.8655)))</f>
        <v>0</v>
      </c>
      <c r="AA26">
        <f t="shared" si="18"/>
        <v>0</v>
      </c>
      <c r="AB26">
        <f t="shared" si="19"/>
        <v>0</v>
      </c>
      <c r="AC26">
        <f>_xlfn.IFNA(INDEX(H$12:AL$306, MATCH(A26, $AL$12:$AL$306,0), 24), 0)</f>
        <v>0</v>
      </c>
      <c r="AD26">
        <f t="shared" si="20"/>
        <v>0</v>
      </c>
      <c r="AE26">
        <f t="shared" si="21"/>
        <v>0</v>
      </c>
      <c r="AF26">
        <f t="shared" si="22"/>
        <v>0</v>
      </c>
      <c r="AG26">
        <f t="shared" si="23"/>
        <v>-695</v>
      </c>
      <c r="AH26">
        <f t="shared" si="24"/>
        <v>1000000</v>
      </c>
      <c r="AI26">
        <f>IF(L26&gt;6,0,IF(L26&lt;1,0,IF(M26&gt;6,0,IF(M26&lt;1,0,IF(N26&gt;6,0,IF(N26&lt;1,0,IF(SUM(L26:N26)=0,0,AH26+IF(#REF!&gt;0,2000+I26*VLOOKUP(_xlfn.CONCAT(M26," X ",IF(P26=0,13.5,26)),$A$2:$E$8,4,FALSE)+J26*VLOOKUP(_xlfn.CONCAT(N26," X ",IF(Q26=0,13.5,26)),$A$2:$E$8,4,FALSE),H26*VLOOKUP(_xlfn.CONCAT(L26," X ",IF(O26=0,13.5,26)),$A$2:$E$8,4,FALSE)))))))))</f>
        <v>0</v>
      </c>
      <c r="AJ26" s="2"/>
      <c r="AK26" t="str">
        <f t="shared" si="10"/>
        <v/>
      </c>
    </row>
    <row r="27" spans="1:37" x14ac:dyDescent="0.25">
      <c r="A27">
        <v>72</v>
      </c>
      <c r="B27" s="3">
        <v>43</v>
      </c>
      <c r="C27" s="3"/>
      <c r="D27">
        <f>VLOOKUP(A27, Sheet1!A$3:C$31, 2, FALSE)</f>
        <v>827</v>
      </c>
      <c r="E27">
        <f>VLOOKUP(B27, Sheet1!A$3:C$31, 2, FALSE)</f>
        <v>711</v>
      </c>
      <c r="F27">
        <v>0</v>
      </c>
      <c r="G27">
        <v>48</v>
      </c>
      <c r="H27">
        <f>INDEX(Sheet1!$F$2:$V$31, MATCH(A27,Sheet1!$F$2:$F$31, 0),MATCH(B27,Sheet1!$F$2:$V$2, 0))</f>
        <v>1096</v>
      </c>
      <c r="I27">
        <f t="shared" si="2"/>
        <v>0</v>
      </c>
      <c r="J27">
        <f>IF(K27&gt; 0, ABS((K27-E27)/SIN(ATAN(H27/(D27-E27)))), 0)</f>
        <v>0</v>
      </c>
      <c r="K27" s="2"/>
      <c r="L27" s="57"/>
      <c r="M27" s="57"/>
      <c r="N27" s="57"/>
      <c r="O27" s="21" t="str">
        <f t="shared" si="3"/>
        <v/>
      </c>
      <c r="P27" s="21" t="str">
        <f t="shared" si="4"/>
        <v/>
      </c>
      <c r="Q27" s="21" t="str">
        <f t="shared" si="5"/>
        <v/>
      </c>
      <c r="R27">
        <f t="shared" si="11"/>
        <v>0</v>
      </c>
      <c r="S27">
        <f t="shared" si="12"/>
        <v>0</v>
      </c>
      <c r="T27">
        <f t="shared" si="13"/>
        <v>0</v>
      </c>
      <c r="U27">
        <f>_xlfn.IFNA(INDEX(H$12:AL$306, MATCH(A27, $AL$12:$AL$306,0), 16), 0)</f>
        <v>0</v>
      </c>
      <c r="V27">
        <f t="shared" si="14"/>
        <v>0</v>
      </c>
      <c r="W27">
        <f t="shared" si="15"/>
        <v>827</v>
      </c>
      <c r="X27">
        <f t="shared" si="16"/>
        <v>0</v>
      </c>
      <c r="Y27">
        <f t="shared" si="17"/>
        <v>116</v>
      </c>
      <c r="Z27">
        <f>IF(L27 = 0, 0, IF(#REF! &gt; 0, 0,10.44*((G27/130)^1.85)*(H27/L27^4.8655)))</f>
        <v>0</v>
      </c>
      <c r="AA27">
        <f t="shared" si="18"/>
        <v>0</v>
      </c>
      <c r="AB27">
        <f t="shared" si="19"/>
        <v>0</v>
      </c>
      <c r="AC27">
        <f>_xlfn.IFNA(INDEX(H$12:AL$306, MATCH(A27, $AL$12:$AL$306,0), 24), 0)</f>
        <v>0</v>
      </c>
      <c r="AD27">
        <f t="shared" si="20"/>
        <v>0</v>
      </c>
      <c r="AE27">
        <f t="shared" si="21"/>
        <v>0</v>
      </c>
      <c r="AF27">
        <f t="shared" si="22"/>
        <v>0</v>
      </c>
      <c r="AG27">
        <f t="shared" si="23"/>
        <v>-711</v>
      </c>
      <c r="AH27">
        <f t="shared" si="24"/>
        <v>1000000</v>
      </c>
      <c r="AI27">
        <f>IF(L27&gt;6,0,IF(L27&lt;1,0,IF(M27&gt;6,0,IF(M27&lt;1,0,IF(N27&gt;6,0,IF(N27&lt;1,0,IF(SUM(L27:N27)=0,0,AH27+IF(#REF!&gt;0,2000+I27*VLOOKUP(_xlfn.CONCAT(M27," X ",IF(P27=0,13.5,26)),$A$2:$E$8,4,FALSE)+J27*VLOOKUP(_xlfn.CONCAT(N27," X ",IF(Q27=0,13.5,26)),$A$2:$E$8,4,FALSE),H27*VLOOKUP(_xlfn.CONCAT(L27," X ",IF(O27=0,13.5,26)),$A$2:$E$8,4,FALSE)))))))))</f>
        <v>0</v>
      </c>
      <c r="AJ27" s="2"/>
      <c r="AK27" t="str">
        <f t="shared" si="10"/>
        <v/>
      </c>
    </row>
    <row r="28" spans="1:37" x14ac:dyDescent="0.25">
      <c r="A28">
        <v>43</v>
      </c>
      <c r="B28" s="3">
        <v>69</v>
      </c>
      <c r="C28" s="3"/>
      <c r="D28">
        <f>VLOOKUP(A28, Sheet1!A$3:C$31, 2, FALSE)</f>
        <v>711</v>
      </c>
      <c r="E28">
        <f>VLOOKUP(B28, Sheet1!A$3:C$31, 2, FALSE)</f>
        <v>827</v>
      </c>
      <c r="F28">
        <v>0</v>
      </c>
      <c r="G28">
        <v>48</v>
      </c>
      <c r="H28">
        <f>INDEX(Sheet1!$F$2:$V$31, MATCH(A28,Sheet1!$F$2:$F$31, 0),MATCH(B28,Sheet1!$F$2:$V$2, 0))</f>
        <v>826</v>
      </c>
      <c r="I28">
        <f t="shared" si="2"/>
        <v>0</v>
      </c>
      <c r="J28">
        <f>IF(K28&gt; 0, ABS((K28-E28)/SIN(ATAN(H28/(D28-E28)))), 0)</f>
        <v>0</v>
      </c>
      <c r="K28" s="2"/>
      <c r="L28" s="57"/>
      <c r="M28" s="57"/>
      <c r="N28" s="57"/>
      <c r="O28" s="21" t="str">
        <f t="shared" si="3"/>
        <v/>
      </c>
      <c r="P28" s="21" t="str">
        <f t="shared" si="4"/>
        <v/>
      </c>
      <c r="Q28" s="21" t="str">
        <f t="shared" si="5"/>
        <v/>
      </c>
      <c r="R28">
        <f t="shared" si="11"/>
        <v>0</v>
      </c>
      <c r="S28">
        <f t="shared" si="12"/>
        <v>0</v>
      </c>
      <c r="T28">
        <f t="shared" si="13"/>
        <v>0</v>
      </c>
      <c r="U28">
        <f>_xlfn.IFNA(INDEX(H$12:AL$306, MATCH(A28, $AL$12:$AL$306,0), 16), 0)</f>
        <v>0</v>
      </c>
      <c r="V28">
        <f t="shared" si="14"/>
        <v>0</v>
      </c>
      <c r="W28">
        <f t="shared" si="15"/>
        <v>711</v>
      </c>
      <c r="X28">
        <f t="shared" si="16"/>
        <v>0</v>
      </c>
      <c r="Y28">
        <f t="shared" si="17"/>
        <v>-116</v>
      </c>
      <c r="Z28">
        <f>IF(L28 = 0, 0, IF(#REF! &gt; 0, 0,10.44*((G28/130)^1.85)*(H28/L28^4.8655)))</f>
        <v>0</v>
      </c>
      <c r="AA28">
        <f t="shared" si="18"/>
        <v>0</v>
      </c>
      <c r="AB28">
        <f t="shared" si="19"/>
        <v>0</v>
      </c>
      <c r="AC28">
        <f>_xlfn.IFNA(INDEX(H$12:AL$306, MATCH(A28, $AL$12:$AL$306,0), 24), 0)</f>
        <v>0</v>
      </c>
      <c r="AD28">
        <f t="shared" si="20"/>
        <v>0</v>
      </c>
      <c r="AE28">
        <f t="shared" si="21"/>
        <v>0</v>
      </c>
      <c r="AF28">
        <f t="shared" si="22"/>
        <v>0</v>
      </c>
      <c r="AG28">
        <f t="shared" si="23"/>
        <v>-827</v>
      </c>
      <c r="AH28">
        <f t="shared" si="24"/>
        <v>1000000</v>
      </c>
      <c r="AI28">
        <f>IF(L28&gt;6,0,IF(L28&lt;1,0,IF(M28&gt;6,0,IF(M28&lt;1,0,IF(N28&gt;6,0,IF(N28&lt;1,0,IF(SUM(L28:N28)=0,0,AH28+IF(#REF!&gt;0,2000+I28*VLOOKUP(_xlfn.CONCAT(M28," X ",IF(P28=0,13.5,26)),$A$2:$E$8,4,FALSE)+J28*VLOOKUP(_xlfn.CONCAT(N28," X ",IF(Q28=0,13.5,26)),$A$2:$E$8,4,FALSE),H28*VLOOKUP(_xlfn.CONCAT(L28," X ",IF(O28=0,13.5,26)),$A$2:$E$8,4,FALSE)))))))))</f>
        <v>0</v>
      </c>
      <c r="AJ28" s="2"/>
      <c r="AK28" t="str">
        <f t="shared" si="10"/>
        <v/>
      </c>
    </row>
    <row r="29" spans="1:37" x14ac:dyDescent="0.25">
      <c r="A29">
        <v>69</v>
      </c>
      <c r="B29" s="3">
        <v>44</v>
      </c>
      <c r="C29" s="3"/>
      <c r="D29">
        <f>VLOOKUP(A29, Sheet1!A$3:C$31, 2, FALSE)</f>
        <v>827</v>
      </c>
      <c r="E29">
        <f>VLOOKUP(B29, Sheet1!A$3:C$31, 2, FALSE)</f>
        <v>695</v>
      </c>
      <c r="F29">
        <v>0</v>
      </c>
      <c r="G29">
        <v>48</v>
      </c>
      <c r="H29">
        <f>INDEX(Sheet1!$F$2:$V$31, MATCH(A29,Sheet1!$F$2:$F$31, 0),MATCH(B29,Sheet1!$F$2:$V$2, 0))</f>
        <v>857</v>
      </c>
      <c r="I29">
        <f t="shared" si="2"/>
        <v>0</v>
      </c>
      <c r="J29">
        <f>IF(K29&gt; 0, ABS((K29-E29)/SIN(ATAN(H29/(D29-E29)))), 0)</f>
        <v>0</v>
      </c>
      <c r="K29" s="2"/>
      <c r="L29" s="57"/>
      <c r="M29" s="57"/>
      <c r="N29" s="57"/>
      <c r="O29" s="21" t="str">
        <f t="shared" si="3"/>
        <v/>
      </c>
      <c r="P29" s="21" t="str">
        <f t="shared" si="4"/>
        <v/>
      </c>
      <c r="Q29" s="21" t="str">
        <f t="shared" si="5"/>
        <v/>
      </c>
      <c r="R29">
        <f t="shared" si="11"/>
        <v>0</v>
      </c>
      <c r="S29">
        <f t="shared" si="12"/>
        <v>0</v>
      </c>
      <c r="T29">
        <f t="shared" si="13"/>
        <v>0</v>
      </c>
      <c r="U29">
        <f>_xlfn.IFNA(INDEX(H$12:AL$306, MATCH(A29, $AL$12:$AL$306,0), 16), 0)</f>
        <v>0</v>
      </c>
      <c r="V29">
        <f t="shared" si="14"/>
        <v>0</v>
      </c>
      <c r="W29">
        <f t="shared" si="15"/>
        <v>827</v>
      </c>
      <c r="X29">
        <f t="shared" si="16"/>
        <v>0</v>
      </c>
      <c r="Y29">
        <f t="shared" si="17"/>
        <v>132</v>
      </c>
      <c r="Z29">
        <f>IF(L29 = 0, 0, IF(#REF! &gt; 0, 0,10.44*((G29/130)^1.85)*(H29/L29^4.8655)))</f>
        <v>0</v>
      </c>
      <c r="AA29">
        <f t="shared" si="18"/>
        <v>0</v>
      </c>
      <c r="AB29">
        <f t="shared" si="19"/>
        <v>0</v>
      </c>
      <c r="AC29">
        <f>_xlfn.IFNA(INDEX(H$12:AL$306, MATCH(A29, $AL$12:$AL$306,0), 24), 0)</f>
        <v>0</v>
      </c>
      <c r="AD29">
        <f t="shared" si="20"/>
        <v>0</v>
      </c>
      <c r="AE29">
        <f t="shared" si="21"/>
        <v>0</v>
      </c>
      <c r="AF29">
        <f t="shared" si="22"/>
        <v>0</v>
      </c>
      <c r="AG29">
        <f t="shared" si="23"/>
        <v>-695</v>
      </c>
      <c r="AH29">
        <f t="shared" si="24"/>
        <v>1000000</v>
      </c>
      <c r="AI29">
        <f>IF(L29&gt;6,0,IF(L29&lt;1,0,IF(M29&gt;6,0,IF(M29&lt;1,0,IF(N29&gt;6,0,IF(N29&lt;1,0,IF(SUM(L29:N29)=0,0,AH29+IF(#REF!&gt;0,2000+I29*VLOOKUP(_xlfn.CONCAT(M29," X ",IF(P29=0,13.5,26)),$A$2:$E$8,4,FALSE)+J29*VLOOKUP(_xlfn.CONCAT(N29," X ",IF(Q29=0,13.5,26)),$A$2:$E$8,4,FALSE),H29*VLOOKUP(_xlfn.CONCAT(L29," X ",IF(O29=0,13.5,26)),$A$2:$E$8,4,FALSE)))))))))</f>
        <v>0</v>
      </c>
      <c r="AJ29" s="2"/>
      <c r="AK29" t="str">
        <f t="shared" si="10"/>
        <v/>
      </c>
    </row>
    <row r="30" spans="1:37" x14ac:dyDescent="0.25">
      <c r="A30">
        <v>69</v>
      </c>
      <c r="B30" s="3">
        <v>52</v>
      </c>
      <c r="C30" s="3"/>
      <c r="D30">
        <f>VLOOKUP(A30, Sheet1!A$3:C$31, 2, FALSE)</f>
        <v>827</v>
      </c>
      <c r="E30">
        <f>VLOOKUP(B30, Sheet1!A$3:C$31, 2, FALSE)</f>
        <v>852</v>
      </c>
      <c r="F30">
        <v>0</v>
      </c>
      <c r="G30">
        <v>48</v>
      </c>
      <c r="H30">
        <f>INDEX(Sheet1!$F$2:$V$31, MATCH(A30,Sheet1!$F$2:$F$31, 0),MATCH(B30,Sheet1!$F$2:$V$2, 0))</f>
        <v>1227</v>
      </c>
      <c r="I30">
        <f t="shared" si="2"/>
        <v>0</v>
      </c>
      <c r="J30">
        <f>IF(K30&gt; 0, ABS((K30-E30)/SIN(ATAN(H30/(D30-E30)))), 0)</f>
        <v>0</v>
      </c>
      <c r="K30" s="2"/>
      <c r="L30" s="57"/>
      <c r="M30" s="57"/>
      <c r="N30" s="57"/>
      <c r="O30" s="21" t="str">
        <f t="shared" si="3"/>
        <v/>
      </c>
      <c r="P30" s="21" t="str">
        <f t="shared" si="4"/>
        <v/>
      </c>
      <c r="Q30" s="21" t="str">
        <f t="shared" si="5"/>
        <v/>
      </c>
      <c r="R30">
        <f t="shared" si="11"/>
        <v>0</v>
      </c>
      <c r="S30">
        <f t="shared" si="12"/>
        <v>0</v>
      </c>
      <c r="T30">
        <f t="shared" si="13"/>
        <v>0</v>
      </c>
      <c r="U30">
        <f>_xlfn.IFNA(INDEX(H$12:AL$306, MATCH(A30, $AL$12:$AL$306,0), 16), 0)</f>
        <v>0</v>
      </c>
      <c r="V30">
        <f t="shared" si="14"/>
        <v>0</v>
      </c>
      <c r="W30">
        <f t="shared" si="15"/>
        <v>827</v>
      </c>
      <c r="X30">
        <f t="shared" si="16"/>
        <v>0</v>
      </c>
      <c r="Y30">
        <f t="shared" si="17"/>
        <v>-25</v>
      </c>
      <c r="Z30">
        <f>IF(L30 = 0, 0, IF(#REF! &gt; 0, 0,10.44*((G30/130)^1.85)*(H30/L30^4.8655)))</f>
        <v>0</v>
      </c>
      <c r="AA30">
        <f t="shared" si="18"/>
        <v>0</v>
      </c>
      <c r="AB30">
        <f t="shared" si="19"/>
        <v>0</v>
      </c>
      <c r="AC30">
        <f>_xlfn.IFNA(INDEX(H$12:AL$306, MATCH(A30, $AL$12:$AL$306,0), 24), 0)</f>
        <v>0</v>
      </c>
      <c r="AD30">
        <f t="shared" si="20"/>
        <v>0</v>
      </c>
      <c r="AE30">
        <f t="shared" si="21"/>
        <v>0</v>
      </c>
      <c r="AF30">
        <f t="shared" si="22"/>
        <v>0</v>
      </c>
      <c r="AG30">
        <f t="shared" si="23"/>
        <v>-852</v>
      </c>
      <c r="AH30">
        <f t="shared" si="24"/>
        <v>1000000</v>
      </c>
      <c r="AI30">
        <f>IF(L30&gt;6,0,IF(L30&lt;1,0,IF(M30&gt;6,0,IF(M30&lt;1,0,IF(N30&gt;6,0,IF(N30&lt;1,0,IF(SUM(L30:N30)=0,0,AH30+IF(#REF!&gt;0,2000+I30*VLOOKUP(_xlfn.CONCAT(M30," X ",IF(P30=0,13.5,26)),$A$2:$E$8,4,FALSE)+J30*VLOOKUP(_xlfn.CONCAT(N30," X ",IF(Q30=0,13.5,26)),$A$2:$E$8,4,FALSE),H30*VLOOKUP(_xlfn.CONCAT(L30," X ",IF(O30=0,13.5,26)),$A$2:$E$8,4,FALSE)))))))))</f>
        <v>0</v>
      </c>
      <c r="AJ30" s="2"/>
      <c r="AK30" t="str">
        <f t="shared" si="10"/>
        <v/>
      </c>
    </row>
    <row r="31" spans="1:37" x14ac:dyDescent="0.25">
      <c r="A31">
        <v>69</v>
      </c>
      <c r="B31" s="3">
        <v>55</v>
      </c>
      <c r="C31" s="3"/>
      <c r="D31">
        <f>VLOOKUP(A31, Sheet1!A$3:C$31, 2, FALSE)</f>
        <v>827</v>
      </c>
      <c r="E31">
        <f>VLOOKUP(B31, Sheet1!A$3:C$31, 2, FALSE)</f>
        <v>940</v>
      </c>
      <c r="F31">
        <v>0</v>
      </c>
      <c r="G31">
        <v>48</v>
      </c>
      <c r="H31">
        <f>INDEX(Sheet1!$F$2:$V$31, MATCH(A31,Sheet1!$F$2:$F$31, 0),MATCH(B31,Sheet1!$F$2:$V$2, 0))</f>
        <v>3392</v>
      </c>
      <c r="I31">
        <f t="shared" si="2"/>
        <v>0</v>
      </c>
      <c r="J31">
        <f>IF(K31&gt; 0, ABS((K31-E31)/SIN(ATAN(H31/(D31-E31)))), 0)</f>
        <v>0</v>
      </c>
      <c r="K31" s="2"/>
      <c r="L31" s="57"/>
      <c r="M31" s="57"/>
      <c r="N31" s="57"/>
      <c r="O31" s="21" t="str">
        <f t="shared" si="3"/>
        <v/>
      </c>
      <c r="P31" s="21" t="str">
        <f t="shared" si="4"/>
        <v/>
      </c>
      <c r="Q31" s="21" t="str">
        <f t="shared" si="5"/>
        <v/>
      </c>
      <c r="R31">
        <f t="shared" si="11"/>
        <v>0</v>
      </c>
      <c r="S31">
        <f t="shared" si="12"/>
        <v>0</v>
      </c>
      <c r="T31">
        <f t="shared" si="13"/>
        <v>0</v>
      </c>
      <c r="U31">
        <f>_xlfn.IFNA(INDEX(H$12:AL$306, MATCH(A31, $AL$12:$AL$306,0), 16), 0)</f>
        <v>0</v>
      </c>
      <c r="V31">
        <f t="shared" si="14"/>
        <v>0</v>
      </c>
      <c r="W31">
        <f t="shared" si="15"/>
        <v>827</v>
      </c>
      <c r="X31">
        <f t="shared" si="16"/>
        <v>0</v>
      </c>
      <c r="Y31">
        <f t="shared" si="17"/>
        <v>-113</v>
      </c>
      <c r="Z31">
        <f>IF(L31 = 0, 0, IF(#REF! &gt; 0, 0,10.44*((G31/130)^1.85)*(H31/L31^4.8655)))</f>
        <v>0</v>
      </c>
      <c r="AA31">
        <f t="shared" si="18"/>
        <v>0</v>
      </c>
      <c r="AB31">
        <f t="shared" si="19"/>
        <v>0</v>
      </c>
      <c r="AC31">
        <f>_xlfn.IFNA(INDEX(H$12:AL$306, MATCH(A31, $AL$12:$AL$306,0), 24), 0)</f>
        <v>0</v>
      </c>
      <c r="AD31">
        <f t="shared" si="20"/>
        <v>0</v>
      </c>
      <c r="AE31">
        <f t="shared" si="21"/>
        <v>0</v>
      </c>
      <c r="AF31">
        <f t="shared" si="22"/>
        <v>0</v>
      </c>
      <c r="AG31">
        <f t="shared" si="23"/>
        <v>-940</v>
      </c>
      <c r="AH31">
        <f t="shared" si="24"/>
        <v>1000000</v>
      </c>
      <c r="AI31">
        <f>IF(L31&gt;6,0,IF(L31&lt;1,0,IF(M31&gt;6,0,IF(M31&lt;1,0,IF(N31&gt;6,0,IF(N31&lt;1,0,IF(SUM(L31:N31)=0,0,AH31+IF(#REF!&gt;0,2000+I31*VLOOKUP(_xlfn.CONCAT(M31," X ",IF(P31=0,13.5,26)),$A$2:$E$8,4,FALSE)+J31*VLOOKUP(_xlfn.CONCAT(N31," X ",IF(Q31=0,13.5,26)),$A$2:$E$8,4,FALSE),H31*VLOOKUP(_xlfn.CONCAT(L31," X ",IF(O31=0,13.5,26)),$A$2:$E$8,4,FALSE)))))))))</f>
        <v>0</v>
      </c>
      <c r="AJ31" s="2"/>
      <c r="AK31" t="str">
        <f t="shared" si="10"/>
        <v/>
      </c>
    </row>
    <row r="32" spans="1:37" x14ac:dyDescent="0.25">
      <c r="A32">
        <v>44</v>
      </c>
      <c r="B32" s="3">
        <v>69</v>
      </c>
      <c r="C32" s="3"/>
      <c r="D32">
        <f>VLOOKUP(A32, Sheet1!A$3:C$31, 2, FALSE)</f>
        <v>695</v>
      </c>
      <c r="E32">
        <f>VLOOKUP(B32, Sheet1!A$3:C$31, 2, FALSE)</f>
        <v>827</v>
      </c>
      <c r="F32">
        <v>0</v>
      </c>
      <c r="G32">
        <v>48</v>
      </c>
      <c r="H32">
        <f>INDEX(Sheet1!$F$2:$V$31, MATCH(A32,Sheet1!$F$2:$F$31, 0),MATCH(B32,Sheet1!$F$2:$V$2, 0))</f>
        <v>857</v>
      </c>
      <c r="I32">
        <f t="shared" si="2"/>
        <v>0</v>
      </c>
      <c r="J32">
        <f>IF(K32&gt; 0, ABS((K32-E32)/SIN(ATAN(H32/(D32-E32)))), 0)</f>
        <v>0</v>
      </c>
      <c r="K32" s="2"/>
      <c r="L32" s="57"/>
      <c r="M32" s="57"/>
      <c r="N32" s="57"/>
      <c r="O32" s="21" t="str">
        <f t="shared" si="3"/>
        <v/>
      </c>
      <c r="P32" s="21" t="str">
        <f t="shared" si="4"/>
        <v/>
      </c>
      <c r="Q32" s="21" t="str">
        <f t="shared" si="5"/>
        <v/>
      </c>
      <c r="R32">
        <f t="shared" si="11"/>
        <v>0</v>
      </c>
      <c r="S32">
        <f t="shared" si="12"/>
        <v>0</v>
      </c>
      <c r="T32">
        <f t="shared" si="13"/>
        <v>0</v>
      </c>
      <c r="U32">
        <f>_xlfn.IFNA(INDEX(H$12:AL$306, MATCH(A32, $AL$12:$AL$306,0), 16), 0)</f>
        <v>0</v>
      </c>
      <c r="V32">
        <f t="shared" si="14"/>
        <v>0</v>
      </c>
      <c r="W32">
        <f t="shared" si="15"/>
        <v>695</v>
      </c>
      <c r="X32">
        <f t="shared" si="16"/>
        <v>0</v>
      </c>
      <c r="Y32">
        <f t="shared" si="17"/>
        <v>-132</v>
      </c>
      <c r="Z32">
        <f>IF(L32 = 0, 0, IF(#REF! &gt; 0, 0,10.44*((G32/130)^1.85)*(H32/L32^4.8655)))</f>
        <v>0</v>
      </c>
      <c r="AA32">
        <f t="shared" si="18"/>
        <v>0</v>
      </c>
      <c r="AB32">
        <f t="shared" si="19"/>
        <v>0</v>
      </c>
      <c r="AC32">
        <f>_xlfn.IFNA(INDEX(H$12:AL$306, MATCH(A32, $AL$12:$AL$306,0), 24), 0)</f>
        <v>0</v>
      </c>
      <c r="AD32">
        <f t="shared" si="20"/>
        <v>0</v>
      </c>
      <c r="AE32">
        <f t="shared" si="21"/>
        <v>0</v>
      </c>
      <c r="AF32">
        <f t="shared" si="22"/>
        <v>0</v>
      </c>
      <c r="AG32">
        <f t="shared" si="23"/>
        <v>-827</v>
      </c>
      <c r="AH32">
        <f t="shared" si="24"/>
        <v>1000000</v>
      </c>
      <c r="AI32">
        <f>IF(L32&gt;6,0,IF(L32&lt;1,0,IF(M32&gt;6,0,IF(M32&lt;1,0,IF(N32&gt;6,0,IF(N32&lt;1,0,IF(SUM(L32:N32)=0,0,AH32+IF(#REF!&gt;0,2000+I32*VLOOKUP(_xlfn.CONCAT(M32," X ",IF(P32=0,13.5,26)),$A$2:$E$8,4,FALSE)+J32*VLOOKUP(_xlfn.CONCAT(N32," X ",IF(Q32=0,13.5,26)),$A$2:$E$8,4,FALSE),H32*VLOOKUP(_xlfn.CONCAT(L32," X ",IF(O32=0,13.5,26)),$A$2:$E$8,4,FALSE)))))))))</f>
        <v>0</v>
      </c>
      <c r="AJ32" s="2"/>
      <c r="AK32" t="str">
        <f t="shared" si="10"/>
        <v/>
      </c>
    </row>
    <row r="33" spans="1:37" x14ac:dyDescent="0.25">
      <c r="A33">
        <v>52</v>
      </c>
      <c r="B33" s="3">
        <v>55</v>
      </c>
      <c r="C33" s="3"/>
      <c r="D33">
        <f>VLOOKUP(A33, Sheet1!A$3:C$31, 2, FALSE)</f>
        <v>852</v>
      </c>
      <c r="E33">
        <f>VLOOKUP(B33, Sheet1!A$3:C$31, 2, FALSE)</f>
        <v>940</v>
      </c>
      <c r="F33">
        <v>0</v>
      </c>
      <c r="G33">
        <v>48</v>
      </c>
      <c r="H33">
        <f>INDEX(Sheet1!$F$2:$V$31, MATCH(A33,Sheet1!$F$2:$F$31, 0),MATCH(B33,Sheet1!$F$2:$V$2, 0))</f>
        <v>2165</v>
      </c>
      <c r="I33">
        <f t="shared" si="2"/>
        <v>0</v>
      </c>
      <c r="J33">
        <f>IF(K33&gt; 0, ABS((K33-E33)/SIN(ATAN(H33/(D33-E33)))), 0)</f>
        <v>0</v>
      </c>
      <c r="K33" s="2"/>
      <c r="L33" s="57"/>
      <c r="M33" s="57"/>
      <c r="N33" s="57"/>
      <c r="O33" s="21" t="str">
        <f t="shared" si="3"/>
        <v/>
      </c>
      <c r="P33" s="21" t="str">
        <f t="shared" si="4"/>
        <v/>
      </c>
      <c r="Q33" s="21" t="str">
        <f t="shared" si="5"/>
        <v/>
      </c>
      <c r="R33">
        <f t="shared" si="11"/>
        <v>0</v>
      </c>
      <c r="S33">
        <f t="shared" si="12"/>
        <v>0</v>
      </c>
      <c r="T33">
        <f t="shared" si="13"/>
        <v>0</v>
      </c>
      <c r="U33">
        <f>_xlfn.IFNA(INDEX(H$12:AL$306, MATCH(A33, $AL$12:$AL$306,0), 16), 0)</f>
        <v>0</v>
      </c>
      <c r="V33">
        <f t="shared" si="14"/>
        <v>0</v>
      </c>
      <c r="W33">
        <f t="shared" si="15"/>
        <v>852</v>
      </c>
      <c r="X33">
        <f t="shared" si="16"/>
        <v>0</v>
      </c>
      <c r="Y33">
        <f t="shared" si="17"/>
        <v>-88</v>
      </c>
      <c r="Z33">
        <f>IF(L33 = 0, 0, IF(#REF! &gt; 0, 0,10.44*((G33/130)^1.85)*(H33/L33^4.8655)))</f>
        <v>0</v>
      </c>
      <c r="AA33">
        <f t="shared" si="18"/>
        <v>0</v>
      </c>
      <c r="AB33">
        <f t="shared" si="19"/>
        <v>0</v>
      </c>
      <c r="AC33">
        <f>_xlfn.IFNA(INDEX(H$12:AL$306, MATCH(A33, $AL$12:$AL$306,0), 24), 0)</f>
        <v>0</v>
      </c>
      <c r="AD33">
        <f t="shared" si="20"/>
        <v>0</v>
      </c>
      <c r="AE33">
        <f t="shared" si="21"/>
        <v>0</v>
      </c>
      <c r="AF33">
        <f t="shared" si="22"/>
        <v>0</v>
      </c>
      <c r="AG33">
        <f t="shared" si="23"/>
        <v>-940</v>
      </c>
      <c r="AH33">
        <f t="shared" si="24"/>
        <v>1000000</v>
      </c>
      <c r="AI33">
        <f>IF(L33&gt;6,0,IF(L33&lt;1,0,IF(M33&gt;6,0,IF(M33&lt;1,0,IF(N33&gt;6,0,IF(N33&lt;1,0,IF(SUM(L33:N33)=0,0,AH33+IF(#REF!&gt;0,2000+I33*VLOOKUP(_xlfn.CONCAT(M33," X ",IF(P33=0,13.5,26)),$A$2:$E$8,4,FALSE)+J33*VLOOKUP(_xlfn.CONCAT(N33," X ",IF(Q33=0,13.5,26)),$A$2:$E$8,4,FALSE),H33*VLOOKUP(_xlfn.CONCAT(L33," X ",IF(O33=0,13.5,26)),$A$2:$E$8,4,FALSE)))))))))</f>
        <v>0</v>
      </c>
      <c r="AJ33" s="2"/>
      <c r="AK33" t="str">
        <f t="shared" si="10"/>
        <v/>
      </c>
    </row>
    <row r="34" spans="1:37" x14ac:dyDescent="0.25">
      <c r="A34">
        <v>52</v>
      </c>
      <c r="B34" s="3">
        <v>58</v>
      </c>
      <c r="C34" s="3"/>
      <c r="D34">
        <f>VLOOKUP(A34, Sheet1!A$3:C$31, 2, FALSE)</f>
        <v>852</v>
      </c>
      <c r="E34">
        <f>VLOOKUP(B34, Sheet1!A$3:C$31, 2, FALSE)</f>
        <v>989</v>
      </c>
      <c r="F34">
        <v>0</v>
      </c>
      <c r="G34">
        <v>48</v>
      </c>
      <c r="H34">
        <f>INDEX(Sheet1!$F$2:$V$31, MATCH(A34,Sheet1!$F$2:$F$31, 0),MATCH(B34,Sheet1!$F$2:$V$2, 0))</f>
        <v>4312</v>
      </c>
      <c r="I34">
        <f t="shared" si="2"/>
        <v>0</v>
      </c>
      <c r="J34">
        <f>IF(K34&gt; 0, ABS((K34-E34)/SIN(ATAN(H34/(D34-E34)))), 0)</f>
        <v>0</v>
      </c>
      <c r="K34" s="2"/>
      <c r="L34" s="57"/>
      <c r="M34" s="57"/>
      <c r="N34" s="57"/>
      <c r="O34" s="21" t="str">
        <f t="shared" si="3"/>
        <v/>
      </c>
      <c r="P34" s="21" t="str">
        <f t="shared" si="4"/>
        <v/>
      </c>
      <c r="Q34" s="21" t="str">
        <f t="shared" si="5"/>
        <v/>
      </c>
      <c r="R34">
        <f t="shared" si="11"/>
        <v>0</v>
      </c>
      <c r="S34">
        <f t="shared" si="12"/>
        <v>0</v>
      </c>
      <c r="T34">
        <f t="shared" si="13"/>
        <v>0</v>
      </c>
      <c r="U34">
        <f>_xlfn.IFNA(INDEX(H$12:AL$306, MATCH(A34, $AL$12:$AL$306,0), 16), 0)</f>
        <v>0</v>
      </c>
      <c r="V34">
        <f t="shared" si="14"/>
        <v>0</v>
      </c>
      <c r="W34">
        <f t="shared" si="15"/>
        <v>852</v>
      </c>
      <c r="X34">
        <f t="shared" si="16"/>
        <v>0</v>
      </c>
      <c r="Y34">
        <f t="shared" si="17"/>
        <v>-137</v>
      </c>
      <c r="Z34">
        <f>IF(L34 = 0, 0, IF(#REF! &gt; 0, 0,10.44*((G34/130)^1.85)*(H34/L34^4.8655)))</f>
        <v>0</v>
      </c>
      <c r="AA34">
        <f t="shared" si="18"/>
        <v>0</v>
      </c>
      <c r="AB34">
        <f t="shared" si="19"/>
        <v>0</v>
      </c>
      <c r="AC34">
        <f>_xlfn.IFNA(INDEX(H$12:AL$306, MATCH(A34, $AL$12:$AL$306,0), 24), 0)</f>
        <v>0</v>
      </c>
      <c r="AD34">
        <f t="shared" si="20"/>
        <v>0</v>
      </c>
      <c r="AE34">
        <f t="shared" si="21"/>
        <v>0</v>
      </c>
      <c r="AF34">
        <f t="shared" si="22"/>
        <v>0</v>
      </c>
      <c r="AG34">
        <f t="shared" si="23"/>
        <v>-989</v>
      </c>
      <c r="AH34">
        <f t="shared" si="24"/>
        <v>1000000</v>
      </c>
      <c r="AI34">
        <f>IF(L34&gt;6,0,IF(L34&lt;1,0,IF(M34&gt;6,0,IF(M34&lt;1,0,IF(N34&gt;6,0,IF(N34&lt;1,0,IF(SUM(L34:N34)=0,0,AH34+IF(#REF!&gt;0,2000+I34*VLOOKUP(_xlfn.CONCAT(M34," X ",IF(P34=0,13.5,26)),$A$2:$E$8,4,FALSE)+J34*VLOOKUP(_xlfn.CONCAT(N34," X ",IF(Q34=0,13.5,26)),$A$2:$E$8,4,FALSE),H34*VLOOKUP(_xlfn.CONCAT(L34," X ",IF(O34=0,13.5,26)),$A$2:$E$8,4,FALSE)))))))))</f>
        <v>0</v>
      </c>
      <c r="AJ34" s="2"/>
      <c r="AK34" t="str">
        <f t="shared" si="10"/>
        <v/>
      </c>
    </row>
    <row r="35" spans="1:37" x14ac:dyDescent="0.25">
      <c r="A35">
        <v>55</v>
      </c>
      <c r="B35" s="3">
        <v>52</v>
      </c>
      <c r="C35" s="3"/>
      <c r="D35">
        <f>VLOOKUP(A35, Sheet1!A$3:C$31, 2, FALSE)</f>
        <v>940</v>
      </c>
      <c r="E35">
        <f>VLOOKUP(B35, Sheet1!A$3:C$31, 2, FALSE)</f>
        <v>852</v>
      </c>
      <c r="F35">
        <v>0</v>
      </c>
      <c r="G35">
        <v>48</v>
      </c>
      <c r="H35">
        <f>INDEX(Sheet1!$F$2:$V$31, MATCH(A35,Sheet1!$F$2:$F$31, 0),MATCH(B35,Sheet1!$F$2:$V$2, 0))</f>
        <v>2165</v>
      </c>
      <c r="I35">
        <f t="shared" si="2"/>
        <v>0</v>
      </c>
      <c r="J35">
        <f>IF(K35&gt; 0, ABS((K35-E35)/SIN(ATAN(H35/(D35-E35)))), 0)</f>
        <v>0</v>
      </c>
      <c r="K35" s="2"/>
      <c r="L35" s="57"/>
      <c r="M35" s="57"/>
      <c r="N35" s="57"/>
      <c r="O35" s="21" t="str">
        <f t="shared" si="3"/>
        <v/>
      </c>
      <c r="P35" s="21" t="str">
        <f t="shared" si="4"/>
        <v/>
      </c>
      <c r="Q35" s="21" t="str">
        <f t="shared" si="5"/>
        <v/>
      </c>
      <c r="R35">
        <f t="shared" si="11"/>
        <v>0</v>
      </c>
      <c r="S35">
        <f t="shared" si="12"/>
        <v>0</v>
      </c>
      <c r="T35">
        <f t="shared" si="13"/>
        <v>0</v>
      </c>
      <c r="U35">
        <f>_xlfn.IFNA(INDEX(H$12:AL$306, MATCH(A35, $AL$12:$AL$306,0), 16), 0)</f>
        <v>0</v>
      </c>
      <c r="V35">
        <f t="shared" si="14"/>
        <v>0</v>
      </c>
      <c r="W35">
        <f t="shared" si="15"/>
        <v>940</v>
      </c>
      <c r="X35">
        <f t="shared" si="16"/>
        <v>0</v>
      </c>
      <c r="Y35">
        <f t="shared" si="17"/>
        <v>88</v>
      </c>
      <c r="Z35">
        <f>IF(L35 = 0, 0, IF(#REF! &gt; 0, 0,10.44*((G35/130)^1.85)*(H35/L35^4.8655)))</f>
        <v>0</v>
      </c>
      <c r="AA35">
        <f t="shared" si="18"/>
        <v>0</v>
      </c>
      <c r="AB35">
        <f t="shared" si="19"/>
        <v>0</v>
      </c>
      <c r="AC35">
        <f>_xlfn.IFNA(INDEX(H$12:AL$306, MATCH(A35, $AL$12:$AL$306,0), 24), 0)</f>
        <v>0</v>
      </c>
      <c r="AD35">
        <f t="shared" si="20"/>
        <v>0</v>
      </c>
      <c r="AE35">
        <f t="shared" si="21"/>
        <v>0</v>
      </c>
      <c r="AF35">
        <f t="shared" si="22"/>
        <v>0</v>
      </c>
      <c r="AG35">
        <f t="shared" si="23"/>
        <v>-852</v>
      </c>
      <c r="AH35">
        <f t="shared" si="24"/>
        <v>1000000</v>
      </c>
      <c r="AI35">
        <f>IF(L35&gt;6,0,IF(L35&lt;1,0,IF(M35&gt;6,0,IF(M35&lt;1,0,IF(N35&gt;6,0,IF(N35&lt;1,0,IF(SUM(L35:N35)=0,0,AH35+IF(#REF!&gt;0,2000+I35*VLOOKUP(_xlfn.CONCAT(M35," X ",IF(P35=0,13.5,26)),$A$2:$E$8,4,FALSE)+J35*VLOOKUP(_xlfn.CONCAT(N35," X ",IF(Q35=0,13.5,26)),$A$2:$E$8,4,FALSE),H35*VLOOKUP(_xlfn.CONCAT(L35," X ",IF(O35=0,13.5,26)),$A$2:$E$8,4,FALSE)))))))))</f>
        <v>0</v>
      </c>
      <c r="AJ35" s="2"/>
      <c r="AK35" t="str">
        <f t="shared" si="10"/>
        <v/>
      </c>
    </row>
    <row r="36" spans="1:37" x14ac:dyDescent="0.25">
      <c r="A36">
        <v>55</v>
      </c>
      <c r="B36" s="3">
        <v>58</v>
      </c>
      <c r="C36" s="3"/>
      <c r="D36">
        <f>VLOOKUP(A36, Sheet1!A$3:C$31, 2, FALSE)</f>
        <v>940</v>
      </c>
      <c r="E36">
        <f>VLOOKUP(B36, Sheet1!A$3:C$31, 2, FALSE)</f>
        <v>989</v>
      </c>
      <c r="F36">
        <v>0</v>
      </c>
      <c r="G36">
        <v>48</v>
      </c>
      <c r="H36">
        <f>INDEX(Sheet1!$F$2:$V$31, MATCH(A36,Sheet1!$F$2:$F$31, 0),MATCH(B36,Sheet1!$F$2:$V$2, 0))</f>
        <v>2147</v>
      </c>
      <c r="I36">
        <f t="shared" si="2"/>
        <v>0</v>
      </c>
      <c r="J36">
        <f>IF(K36&gt; 0, ABS((K36-E36)/SIN(ATAN(H36/(D36-E36)))), 0)</f>
        <v>0</v>
      </c>
      <c r="K36" s="2"/>
      <c r="L36" s="57"/>
      <c r="M36" s="57"/>
      <c r="N36" s="57"/>
      <c r="O36" s="21" t="str">
        <f t="shared" si="3"/>
        <v/>
      </c>
      <c r="P36" s="21" t="str">
        <f t="shared" si="4"/>
        <v/>
      </c>
      <c r="Q36" s="21" t="str">
        <f t="shared" si="5"/>
        <v/>
      </c>
      <c r="R36">
        <f t="shared" si="11"/>
        <v>0</v>
      </c>
      <c r="S36">
        <f t="shared" si="12"/>
        <v>0</v>
      </c>
      <c r="T36">
        <f t="shared" si="13"/>
        <v>0</v>
      </c>
      <c r="U36">
        <f>_xlfn.IFNA(INDEX(H$12:AL$306, MATCH(A36, $AL$12:$AL$306,0), 16), 0)</f>
        <v>0</v>
      </c>
      <c r="V36">
        <f t="shared" si="14"/>
        <v>0</v>
      </c>
      <c r="W36">
        <f t="shared" si="15"/>
        <v>940</v>
      </c>
      <c r="X36">
        <f t="shared" si="16"/>
        <v>0</v>
      </c>
      <c r="Y36">
        <f t="shared" si="17"/>
        <v>-49</v>
      </c>
      <c r="Z36">
        <f>IF(L36 = 0, 0, IF(#REF! &gt; 0, 0,10.44*((G36/130)^1.85)*(H36/L36^4.8655)))</f>
        <v>0</v>
      </c>
      <c r="AA36">
        <f t="shared" si="18"/>
        <v>0</v>
      </c>
      <c r="AB36">
        <f t="shared" si="19"/>
        <v>0</v>
      </c>
      <c r="AC36">
        <f>_xlfn.IFNA(INDEX(H$12:AL$306, MATCH(A36, $AL$12:$AL$306,0), 24), 0)</f>
        <v>0</v>
      </c>
      <c r="AD36">
        <f t="shared" si="20"/>
        <v>0</v>
      </c>
      <c r="AE36">
        <f t="shared" si="21"/>
        <v>0</v>
      </c>
      <c r="AF36">
        <f t="shared" si="22"/>
        <v>0</v>
      </c>
      <c r="AG36">
        <f t="shared" si="23"/>
        <v>-989</v>
      </c>
      <c r="AH36">
        <f t="shared" si="24"/>
        <v>1000000</v>
      </c>
      <c r="AI36">
        <f>IF(L36&gt;6,0,IF(L36&lt;1,0,IF(M36&gt;6,0,IF(M36&lt;1,0,IF(N36&gt;6,0,IF(N36&lt;1,0,IF(SUM(L36:N36)=0,0,AH36+IF(#REF!&gt;0,2000+I36*VLOOKUP(_xlfn.CONCAT(M36," X ",IF(P36=0,13.5,26)),$A$2:$E$8,4,FALSE)+J36*VLOOKUP(_xlfn.CONCAT(N36," X ",IF(Q36=0,13.5,26)),$A$2:$E$8,4,FALSE),H36*VLOOKUP(_xlfn.CONCAT(L36," X ",IF(O36=0,13.5,26)),$A$2:$E$8,4,FALSE)))))))))</f>
        <v>0</v>
      </c>
      <c r="AJ36" s="2"/>
      <c r="AK36" t="str">
        <f t="shared" si="10"/>
        <v/>
      </c>
    </row>
    <row r="37" spans="1:37" x14ac:dyDescent="0.25">
      <c r="A37">
        <v>58</v>
      </c>
      <c r="B37" s="3">
        <v>52</v>
      </c>
      <c r="C37" s="3"/>
      <c r="D37">
        <f>VLOOKUP(A37, Sheet1!A$3:C$31, 2, FALSE)</f>
        <v>989</v>
      </c>
      <c r="E37">
        <f>VLOOKUP(B37, Sheet1!A$3:C$31, 2, FALSE)</f>
        <v>852</v>
      </c>
      <c r="F37">
        <v>0</v>
      </c>
      <c r="G37">
        <v>48</v>
      </c>
      <c r="H37">
        <f>INDEX(Sheet1!$F$2:$V$31, MATCH(A37,Sheet1!$F$2:$F$31, 0),MATCH(B37,Sheet1!$F$2:$V$2, 0))</f>
        <v>312</v>
      </c>
      <c r="I37">
        <f t="shared" si="2"/>
        <v>0</v>
      </c>
      <c r="J37">
        <f>IF(K37&gt; 0, ABS((K37-E37)/SIN(ATAN(H37/(D37-E37)))), 0)</f>
        <v>0</v>
      </c>
      <c r="K37" s="2"/>
      <c r="L37" s="57"/>
      <c r="M37" s="57"/>
      <c r="N37" s="57"/>
      <c r="O37" s="21" t="str">
        <f t="shared" si="3"/>
        <v/>
      </c>
      <c r="P37" s="21" t="str">
        <f t="shared" si="4"/>
        <v/>
      </c>
      <c r="Q37" s="21" t="str">
        <f t="shared" si="5"/>
        <v/>
      </c>
      <c r="R37">
        <f t="shared" si="11"/>
        <v>0</v>
      </c>
      <c r="S37">
        <f t="shared" si="12"/>
        <v>0</v>
      </c>
      <c r="T37">
        <f t="shared" si="13"/>
        <v>0</v>
      </c>
      <c r="U37">
        <f>_xlfn.IFNA(INDEX(H$12:AL$306, MATCH(A37, $AL$12:$AL$306,0), 16), 0)</f>
        <v>0</v>
      </c>
      <c r="V37">
        <f t="shared" si="14"/>
        <v>0</v>
      </c>
      <c r="W37">
        <f t="shared" si="15"/>
        <v>989</v>
      </c>
      <c r="X37">
        <f t="shared" si="16"/>
        <v>0</v>
      </c>
      <c r="Y37">
        <f t="shared" si="17"/>
        <v>137</v>
      </c>
      <c r="Z37">
        <f>IF(L37 = 0, 0, IF(#REF! &gt; 0, 0,10.44*((G37/130)^1.85)*(H37/L37^4.8655)))</f>
        <v>0</v>
      </c>
      <c r="AA37">
        <f t="shared" si="18"/>
        <v>0</v>
      </c>
      <c r="AB37">
        <f t="shared" si="19"/>
        <v>0</v>
      </c>
      <c r="AC37">
        <f>_xlfn.IFNA(INDEX(H$12:AL$306, MATCH(A37, $AL$12:$AL$306,0), 24), 0)</f>
        <v>0</v>
      </c>
      <c r="AD37">
        <f t="shared" si="20"/>
        <v>0</v>
      </c>
      <c r="AE37">
        <f t="shared" si="21"/>
        <v>0</v>
      </c>
      <c r="AF37">
        <f t="shared" si="22"/>
        <v>0</v>
      </c>
      <c r="AG37">
        <f t="shared" si="23"/>
        <v>-852</v>
      </c>
      <c r="AH37">
        <f t="shared" si="24"/>
        <v>1000000</v>
      </c>
      <c r="AI37">
        <f>IF(L37&gt;6,0,IF(L37&lt;1,0,IF(M37&gt;6,0,IF(M37&lt;1,0,IF(N37&gt;6,0,IF(N37&lt;1,0,IF(SUM(L37:N37)=0,0,AH37+IF(#REF!&gt;0,2000+I37*VLOOKUP(_xlfn.CONCAT(M37," X ",IF(P37=0,13.5,26)),$A$2:$E$8,4,FALSE)+J37*VLOOKUP(_xlfn.CONCAT(N37," X ",IF(Q37=0,13.5,26)),$A$2:$E$8,4,FALSE),H37*VLOOKUP(_xlfn.CONCAT(L37," X ",IF(O37=0,13.5,26)),$A$2:$E$8,4,FALSE)))))))))</f>
        <v>0</v>
      </c>
      <c r="AJ37" s="2"/>
      <c r="AK37" t="str">
        <f t="shared" si="10"/>
        <v/>
      </c>
    </row>
    <row r="38" spans="1:37" x14ac:dyDescent="0.25">
      <c r="B38" s="3"/>
      <c r="C38" s="3"/>
      <c r="L38" s="14"/>
      <c r="M38" s="14"/>
      <c r="N38" s="14"/>
      <c r="O38" s="21"/>
      <c r="P38" s="21" t="str">
        <f t="shared" ref="P13:P38" si="25">_xlfn.IFNA(VLOOKUP(M38,$A$1:$F$7,2,FALSE),"")</f>
        <v/>
      </c>
      <c r="Q38" s="21" t="str">
        <f t="shared" ref="Q13:Q38" si="26">_xlfn.IFNA(VLOOKUP(N38,$A$1:$F$7,2,FALSE),"")</f>
        <v/>
      </c>
    </row>
    <row r="39" spans="1:37" x14ac:dyDescent="0.25">
      <c r="B39" s="3"/>
      <c r="C39" s="3"/>
      <c r="H39" s="22"/>
      <c r="M39" s="14"/>
      <c r="N39" s="14"/>
      <c r="O39" s="14"/>
      <c r="P39" s="21"/>
      <c r="Q39" s="21"/>
    </row>
    <row r="40" spans="1:37" x14ac:dyDescent="0.25">
      <c r="B40" s="3"/>
      <c r="C40" s="3"/>
      <c r="H40" s="22"/>
      <c r="M40" s="14"/>
      <c r="N40" s="14"/>
      <c r="O40" s="14"/>
      <c r="P40" s="21"/>
      <c r="Q40" s="21"/>
    </row>
    <row r="41" spans="1:37" x14ac:dyDescent="0.25">
      <c r="B41" s="3"/>
      <c r="C41" s="3"/>
      <c r="H41" s="22"/>
      <c r="M41" s="14"/>
      <c r="N41" s="14"/>
      <c r="O41" s="14"/>
      <c r="P41" s="21"/>
      <c r="Q41" s="21"/>
    </row>
    <row r="42" spans="1:37" x14ac:dyDescent="0.25">
      <c r="B42" s="3"/>
      <c r="C42" s="3"/>
      <c r="H42" s="22"/>
      <c r="M42" s="14"/>
      <c r="N42" s="14"/>
      <c r="O42" s="14"/>
      <c r="P42" s="21"/>
      <c r="Q42" s="21"/>
    </row>
    <row r="43" spans="1:37" x14ac:dyDescent="0.25">
      <c r="B43" s="3"/>
      <c r="C43" s="3"/>
      <c r="H43" s="22"/>
      <c r="M43" s="14"/>
      <c r="N43" s="14"/>
      <c r="O43" s="14"/>
      <c r="P43" s="21"/>
      <c r="Q43" s="21"/>
    </row>
    <row r="44" spans="1:37" x14ac:dyDescent="0.25">
      <c r="B44" s="3"/>
      <c r="C44" s="3"/>
      <c r="H44" s="22"/>
      <c r="M44" s="14"/>
      <c r="N44" s="14"/>
      <c r="O44" s="14"/>
      <c r="P44" s="21"/>
      <c r="Q44" s="21"/>
    </row>
    <row r="45" spans="1:37" x14ac:dyDescent="0.25">
      <c r="B45" s="3"/>
      <c r="C45" s="3"/>
      <c r="H45" s="22"/>
      <c r="M45" s="14"/>
      <c r="N45" s="14"/>
      <c r="O45" s="14"/>
      <c r="P45" s="21"/>
      <c r="Q45" s="21"/>
    </row>
    <row r="46" spans="1:37" x14ac:dyDescent="0.25">
      <c r="B46" s="3"/>
      <c r="C46" s="3"/>
      <c r="H46" s="22"/>
      <c r="M46" s="14"/>
      <c r="N46" s="14"/>
      <c r="O46" s="14"/>
      <c r="P46" s="21"/>
      <c r="Q46" s="21"/>
      <c r="R46" s="21"/>
    </row>
    <row r="47" spans="1:37" x14ac:dyDescent="0.25">
      <c r="B47" s="3"/>
      <c r="C47" s="3"/>
      <c r="H47" s="22"/>
      <c r="M47" s="14"/>
      <c r="N47" s="14"/>
      <c r="O47" s="14"/>
      <c r="P47" s="21"/>
      <c r="Q47" s="21"/>
      <c r="R47" s="21"/>
    </row>
    <row r="48" spans="1:37" x14ac:dyDescent="0.25">
      <c r="B48" s="3"/>
      <c r="C48" s="3"/>
      <c r="H48" s="22"/>
      <c r="M48" s="14"/>
      <c r="N48" s="14"/>
      <c r="O48" s="14"/>
      <c r="P48" s="21"/>
      <c r="Q48" s="21"/>
      <c r="R48" s="21"/>
    </row>
    <row r="49" spans="2:38" x14ac:dyDescent="0.25">
      <c r="B49" s="3"/>
      <c r="C49" s="3"/>
      <c r="H49" s="22"/>
      <c r="M49" s="14"/>
      <c r="N49" s="14"/>
      <c r="O49" s="14"/>
      <c r="P49" s="21"/>
      <c r="Q49" s="21"/>
      <c r="R49" s="21"/>
    </row>
    <row r="50" spans="2:38" x14ac:dyDescent="0.25">
      <c r="B50" s="3"/>
      <c r="C50" s="3"/>
      <c r="H50" s="22"/>
      <c r="M50" s="14"/>
      <c r="N50" s="14"/>
      <c r="O50" s="14"/>
      <c r="P50" s="21"/>
      <c r="Q50" s="21"/>
      <c r="R50" s="21"/>
    </row>
    <row r="51" spans="2:38" x14ac:dyDescent="0.25">
      <c r="B51" s="3"/>
      <c r="C51" s="3"/>
      <c r="H51" s="22"/>
      <c r="M51" s="14"/>
      <c r="N51" s="14"/>
      <c r="O51" s="14"/>
      <c r="P51" s="21"/>
      <c r="Q51" s="21"/>
      <c r="R51" s="21"/>
    </row>
    <row r="52" spans="2:38" x14ac:dyDescent="0.25">
      <c r="B52" s="3"/>
      <c r="C52" s="3"/>
      <c r="H52" s="22"/>
      <c r="M52" s="14"/>
      <c r="N52" s="14"/>
      <c r="O52" s="14"/>
      <c r="P52" s="21"/>
      <c r="Q52" s="21"/>
      <c r="R52" s="21"/>
      <c r="AL52" t="str">
        <f t="shared" ref="AL52:AL115" si="27">IF(AK52 = 0, "", B53)</f>
        <v/>
      </c>
    </row>
    <row r="53" spans="2:38" x14ac:dyDescent="0.25">
      <c r="B53" s="3"/>
      <c r="C53" s="3"/>
      <c r="H53" s="22"/>
      <c r="M53" s="14"/>
      <c r="N53" s="14"/>
      <c r="O53" s="14"/>
      <c r="P53" s="21"/>
      <c r="Q53" s="21"/>
      <c r="R53" s="21"/>
      <c r="AL53" t="str">
        <f t="shared" si="27"/>
        <v/>
      </c>
    </row>
    <row r="54" spans="2:38" x14ac:dyDescent="0.25">
      <c r="B54" s="3"/>
      <c r="C54" s="3"/>
      <c r="H54" s="22"/>
      <c r="M54" s="14"/>
      <c r="N54" s="14"/>
      <c r="O54" s="14"/>
      <c r="P54" s="21"/>
      <c r="Q54" s="21"/>
      <c r="R54" s="21"/>
      <c r="AL54" t="str">
        <f t="shared" si="27"/>
        <v/>
      </c>
    </row>
    <row r="55" spans="2:38" x14ac:dyDescent="0.25">
      <c r="B55" s="3"/>
      <c r="C55" s="3"/>
      <c r="H55" s="22"/>
      <c r="M55" s="14"/>
      <c r="N55" s="14"/>
      <c r="O55" s="14"/>
      <c r="P55" s="21"/>
      <c r="Q55" s="21"/>
      <c r="R55" s="21"/>
      <c r="AL55" t="str">
        <f t="shared" si="27"/>
        <v/>
      </c>
    </row>
    <row r="56" spans="2:38" x14ac:dyDescent="0.25">
      <c r="B56" s="3"/>
      <c r="C56" s="3"/>
      <c r="H56" s="22"/>
      <c r="M56" s="14"/>
      <c r="N56" s="14"/>
      <c r="O56" s="14"/>
      <c r="P56" s="21"/>
      <c r="Q56" s="21"/>
      <c r="R56" s="21"/>
      <c r="AL56" t="str">
        <f t="shared" si="27"/>
        <v/>
      </c>
    </row>
    <row r="57" spans="2:38" x14ac:dyDescent="0.25">
      <c r="B57" s="3"/>
      <c r="C57" s="3"/>
      <c r="H57" s="22"/>
      <c r="M57" s="14"/>
      <c r="N57" s="14"/>
      <c r="O57" s="14"/>
      <c r="P57" s="21"/>
      <c r="Q57" s="21"/>
      <c r="R57" s="21"/>
      <c r="AL57" t="str">
        <f t="shared" si="27"/>
        <v/>
      </c>
    </row>
    <row r="58" spans="2:38" x14ac:dyDescent="0.25">
      <c r="B58" s="3"/>
      <c r="C58" s="3"/>
      <c r="H58" s="22"/>
      <c r="M58" s="14"/>
      <c r="N58" s="14"/>
      <c r="O58" s="14"/>
      <c r="P58" s="21"/>
      <c r="Q58" s="21"/>
      <c r="R58" s="21"/>
      <c r="AL58" t="str">
        <f t="shared" si="27"/>
        <v/>
      </c>
    </row>
    <row r="59" spans="2:38" x14ac:dyDescent="0.25">
      <c r="B59" s="3"/>
      <c r="C59" s="3"/>
      <c r="H59" s="22"/>
      <c r="M59" s="14"/>
      <c r="N59" s="14"/>
      <c r="O59" s="14"/>
      <c r="P59" s="21"/>
      <c r="Q59" s="21"/>
      <c r="R59" s="21"/>
      <c r="AL59" t="str">
        <f t="shared" si="27"/>
        <v/>
      </c>
    </row>
    <row r="60" spans="2:38" x14ac:dyDescent="0.25">
      <c r="B60" s="3"/>
      <c r="C60" s="3"/>
      <c r="H60" s="22"/>
      <c r="M60" s="14"/>
      <c r="N60" s="14"/>
      <c r="O60" s="14"/>
      <c r="P60" s="21"/>
      <c r="Q60" s="21"/>
      <c r="R60" s="21"/>
      <c r="AL60" t="str">
        <f t="shared" si="27"/>
        <v/>
      </c>
    </row>
    <row r="61" spans="2:38" x14ac:dyDescent="0.25">
      <c r="B61" s="3"/>
      <c r="C61" s="3"/>
      <c r="H61" s="22"/>
      <c r="M61" s="14"/>
      <c r="N61" s="14"/>
      <c r="O61" s="14"/>
      <c r="P61" s="21"/>
      <c r="Q61" s="21"/>
      <c r="R61" s="21"/>
      <c r="AL61" t="str">
        <f t="shared" si="27"/>
        <v/>
      </c>
    </row>
    <row r="62" spans="2:38" x14ac:dyDescent="0.25">
      <c r="B62" s="3"/>
      <c r="C62" s="3"/>
      <c r="H62" s="22"/>
      <c r="M62" s="14"/>
      <c r="N62" s="14"/>
      <c r="O62" s="14"/>
      <c r="P62" s="21"/>
      <c r="Q62" s="21"/>
      <c r="R62" s="21"/>
      <c r="AL62" t="str">
        <f t="shared" si="27"/>
        <v/>
      </c>
    </row>
    <row r="63" spans="2:38" x14ac:dyDescent="0.25">
      <c r="B63" s="3"/>
      <c r="C63" s="3"/>
      <c r="H63" s="22"/>
      <c r="M63" s="14"/>
      <c r="N63" s="14"/>
      <c r="O63" s="14"/>
      <c r="P63" s="21"/>
      <c r="Q63" s="21"/>
      <c r="R63" s="21"/>
      <c r="AL63" t="str">
        <f t="shared" si="27"/>
        <v/>
      </c>
    </row>
    <row r="64" spans="2:38" x14ac:dyDescent="0.25">
      <c r="B64" s="3"/>
      <c r="C64" s="3"/>
      <c r="H64" s="22"/>
      <c r="M64" s="14"/>
      <c r="N64" s="14"/>
      <c r="O64" s="14"/>
      <c r="P64" s="21"/>
      <c r="Q64" s="21"/>
      <c r="R64" s="21"/>
      <c r="AL64" t="str">
        <f t="shared" si="27"/>
        <v/>
      </c>
    </row>
    <row r="65" spans="2:38" x14ac:dyDescent="0.25">
      <c r="B65" s="3"/>
      <c r="C65" s="3"/>
      <c r="H65" s="22"/>
      <c r="M65" s="14"/>
      <c r="N65" s="14"/>
      <c r="O65" s="14"/>
      <c r="P65" s="21"/>
      <c r="Q65" s="21"/>
      <c r="R65" s="21"/>
      <c r="AL65" t="str">
        <f t="shared" si="27"/>
        <v/>
      </c>
    </row>
    <row r="66" spans="2:38" x14ac:dyDescent="0.25">
      <c r="B66" s="3"/>
      <c r="C66" s="3"/>
      <c r="H66" s="22"/>
      <c r="M66" s="14"/>
      <c r="N66" s="14"/>
      <c r="O66" s="14"/>
      <c r="P66" s="21"/>
      <c r="Q66" s="21"/>
      <c r="R66" s="21"/>
      <c r="AL66" t="str">
        <f t="shared" si="27"/>
        <v/>
      </c>
    </row>
    <row r="67" spans="2:38" x14ac:dyDescent="0.25">
      <c r="B67" s="3"/>
      <c r="C67" s="3"/>
      <c r="H67" s="22"/>
      <c r="M67" s="14"/>
      <c r="N67" s="14"/>
      <c r="O67" s="14"/>
      <c r="P67" s="21"/>
      <c r="Q67" s="21"/>
      <c r="R67" s="21"/>
      <c r="AL67" t="str">
        <f t="shared" si="27"/>
        <v/>
      </c>
    </row>
    <row r="68" spans="2:38" x14ac:dyDescent="0.25">
      <c r="B68" s="3"/>
      <c r="C68" s="3"/>
      <c r="H68" s="22"/>
      <c r="M68" s="14"/>
      <c r="N68" s="14"/>
      <c r="O68" s="14"/>
      <c r="P68" s="21"/>
      <c r="Q68" s="21"/>
      <c r="R68" s="21"/>
      <c r="AL68" t="str">
        <f t="shared" si="27"/>
        <v/>
      </c>
    </row>
    <row r="69" spans="2:38" x14ac:dyDescent="0.25">
      <c r="B69" s="3"/>
      <c r="C69" s="3"/>
      <c r="H69" s="22"/>
      <c r="M69" s="14"/>
      <c r="N69" s="14"/>
      <c r="O69" s="14"/>
      <c r="P69" s="21"/>
      <c r="Q69" s="21"/>
      <c r="R69" s="21"/>
      <c r="AL69" t="str">
        <f t="shared" si="27"/>
        <v/>
      </c>
    </row>
    <row r="70" spans="2:38" x14ac:dyDescent="0.25">
      <c r="B70" s="3"/>
      <c r="C70" s="3"/>
      <c r="H70" s="22"/>
      <c r="M70" s="14"/>
      <c r="N70" s="14"/>
      <c r="O70" s="14"/>
      <c r="P70" s="21"/>
      <c r="Q70" s="21"/>
      <c r="R70" s="21"/>
      <c r="AL70" t="str">
        <f t="shared" si="27"/>
        <v/>
      </c>
    </row>
    <row r="71" spans="2:38" x14ac:dyDescent="0.25">
      <c r="B71" s="3"/>
      <c r="C71" s="3"/>
      <c r="H71" s="22"/>
      <c r="M71" s="14"/>
      <c r="N71" s="14"/>
      <c r="O71" s="14"/>
      <c r="P71" s="21"/>
      <c r="Q71" s="21"/>
      <c r="R71" s="21"/>
      <c r="AL71" t="str">
        <f t="shared" si="27"/>
        <v/>
      </c>
    </row>
    <row r="72" spans="2:38" x14ac:dyDescent="0.25">
      <c r="B72" s="3"/>
      <c r="C72" s="3"/>
      <c r="H72" s="22"/>
      <c r="M72" s="14"/>
      <c r="N72" s="14"/>
      <c r="O72" s="14"/>
      <c r="P72" s="21"/>
      <c r="Q72" s="21"/>
      <c r="R72" s="21"/>
      <c r="AL72" t="str">
        <f t="shared" si="27"/>
        <v/>
      </c>
    </row>
    <row r="73" spans="2:38" x14ac:dyDescent="0.25">
      <c r="B73" s="3"/>
      <c r="C73" s="3"/>
      <c r="H73" s="22"/>
      <c r="M73" s="14"/>
      <c r="N73" s="14"/>
      <c r="O73" s="14"/>
      <c r="P73" s="21"/>
      <c r="Q73" s="21"/>
      <c r="R73" s="21"/>
      <c r="AL73" t="str">
        <f t="shared" si="27"/>
        <v/>
      </c>
    </row>
    <row r="74" spans="2:38" x14ac:dyDescent="0.25">
      <c r="B74" s="3"/>
      <c r="C74" s="3"/>
      <c r="H74" s="22"/>
      <c r="M74" s="14"/>
      <c r="N74" s="14"/>
      <c r="O74" s="14"/>
      <c r="P74" s="21"/>
      <c r="Q74" s="21"/>
      <c r="R74" s="21"/>
      <c r="AL74" t="str">
        <f t="shared" si="27"/>
        <v/>
      </c>
    </row>
    <row r="75" spans="2:38" x14ac:dyDescent="0.25">
      <c r="B75" s="3"/>
      <c r="C75" s="3"/>
      <c r="H75" s="22"/>
      <c r="M75" s="14"/>
      <c r="N75" s="14"/>
      <c r="O75" s="14"/>
      <c r="P75" s="21"/>
      <c r="Q75" s="21"/>
      <c r="R75" s="21"/>
      <c r="AL75" t="str">
        <f t="shared" si="27"/>
        <v/>
      </c>
    </row>
    <row r="76" spans="2:38" x14ac:dyDescent="0.25">
      <c r="B76" s="3"/>
      <c r="C76" s="3"/>
      <c r="H76" s="22"/>
      <c r="M76" s="14"/>
      <c r="N76" s="14"/>
      <c r="O76" s="14"/>
      <c r="P76" s="21"/>
      <c r="Q76" s="21"/>
      <c r="R76" s="21"/>
      <c r="AL76" t="str">
        <f t="shared" si="27"/>
        <v/>
      </c>
    </row>
    <row r="77" spans="2:38" x14ac:dyDescent="0.25">
      <c r="B77" s="3"/>
      <c r="C77" s="3"/>
      <c r="H77" s="22"/>
      <c r="M77" s="14"/>
      <c r="N77" s="14"/>
      <c r="O77" s="14"/>
      <c r="P77" s="21"/>
      <c r="Q77" s="21"/>
      <c r="R77" s="21"/>
      <c r="AL77" t="str">
        <f t="shared" si="27"/>
        <v/>
      </c>
    </row>
    <row r="78" spans="2:38" x14ac:dyDescent="0.25">
      <c r="B78" s="3"/>
      <c r="C78" s="3"/>
      <c r="H78" s="22"/>
      <c r="M78" s="14"/>
      <c r="N78" s="14"/>
      <c r="O78" s="14"/>
      <c r="P78" s="21"/>
      <c r="Q78" s="21"/>
      <c r="R78" s="21"/>
      <c r="AL78" t="str">
        <f t="shared" si="27"/>
        <v/>
      </c>
    </row>
    <row r="79" spans="2:38" x14ac:dyDescent="0.25">
      <c r="B79" s="3"/>
      <c r="C79" s="3"/>
      <c r="H79" s="22"/>
      <c r="M79" s="14"/>
      <c r="N79" s="14"/>
      <c r="O79" s="14"/>
      <c r="P79" s="21"/>
      <c r="Q79" s="21"/>
      <c r="R79" s="21"/>
      <c r="AL79" t="str">
        <f t="shared" si="27"/>
        <v/>
      </c>
    </row>
    <row r="80" spans="2:38" x14ac:dyDescent="0.25">
      <c r="B80" s="3"/>
      <c r="C80" s="3"/>
      <c r="H80" s="22"/>
      <c r="M80" s="14"/>
      <c r="N80" s="14"/>
      <c r="O80" s="14"/>
      <c r="P80" s="21"/>
      <c r="Q80" s="21"/>
      <c r="R80" s="21"/>
      <c r="AL80" t="str">
        <f t="shared" si="27"/>
        <v/>
      </c>
    </row>
    <row r="81" spans="2:38" x14ac:dyDescent="0.25">
      <c r="B81" s="3"/>
      <c r="C81" s="3"/>
      <c r="H81" s="22"/>
      <c r="M81" s="14"/>
      <c r="N81" s="14"/>
      <c r="O81" s="14"/>
      <c r="P81" s="21"/>
      <c r="Q81" s="21"/>
      <c r="R81" s="21"/>
      <c r="AL81" t="str">
        <f t="shared" si="27"/>
        <v/>
      </c>
    </row>
    <row r="82" spans="2:38" x14ac:dyDescent="0.25">
      <c r="B82" s="3"/>
      <c r="C82" s="3"/>
      <c r="H82" s="22"/>
      <c r="M82" s="14"/>
      <c r="N82" s="14"/>
      <c r="O82" s="14"/>
      <c r="P82" s="21"/>
      <c r="Q82" s="21"/>
      <c r="R82" s="21"/>
      <c r="AL82" t="str">
        <f t="shared" si="27"/>
        <v/>
      </c>
    </row>
    <row r="83" spans="2:38" x14ac:dyDescent="0.25">
      <c r="B83" s="3"/>
      <c r="C83" s="3"/>
      <c r="H83" s="22"/>
      <c r="M83" s="14"/>
      <c r="N83" s="14"/>
      <c r="O83" s="14"/>
      <c r="P83" s="21"/>
      <c r="Q83" s="21"/>
      <c r="R83" s="21"/>
      <c r="AL83" t="str">
        <f t="shared" si="27"/>
        <v/>
      </c>
    </row>
    <row r="84" spans="2:38" x14ac:dyDescent="0.25">
      <c r="B84" s="3"/>
      <c r="C84" s="3"/>
      <c r="H84" s="22"/>
      <c r="M84" s="14"/>
      <c r="N84" s="14"/>
      <c r="O84" s="14"/>
      <c r="P84" s="21"/>
      <c r="Q84" s="21"/>
      <c r="R84" s="21"/>
      <c r="AL84" t="str">
        <f t="shared" si="27"/>
        <v/>
      </c>
    </row>
    <row r="85" spans="2:38" x14ac:dyDescent="0.25">
      <c r="B85" s="3"/>
      <c r="C85" s="3"/>
      <c r="H85" s="22"/>
      <c r="M85" s="14"/>
      <c r="N85" s="14"/>
      <c r="O85" s="14"/>
      <c r="P85" s="21"/>
      <c r="Q85" s="21"/>
      <c r="R85" s="21"/>
      <c r="AL85" t="str">
        <f t="shared" si="27"/>
        <v/>
      </c>
    </row>
    <row r="86" spans="2:38" x14ac:dyDescent="0.25">
      <c r="B86" s="3"/>
      <c r="C86" s="3"/>
      <c r="H86" s="22"/>
      <c r="M86" s="14"/>
      <c r="N86" s="14"/>
      <c r="O86" s="14"/>
      <c r="P86" s="21"/>
      <c r="Q86" s="21"/>
      <c r="R86" s="21"/>
      <c r="AL86" t="str">
        <f t="shared" si="27"/>
        <v/>
      </c>
    </row>
    <row r="87" spans="2:38" x14ac:dyDescent="0.25">
      <c r="B87" s="3"/>
      <c r="C87" s="3"/>
      <c r="H87" s="22"/>
      <c r="M87" s="14"/>
      <c r="N87" s="14"/>
      <c r="O87" s="14"/>
      <c r="P87" s="21"/>
      <c r="Q87" s="21"/>
      <c r="R87" s="21"/>
      <c r="AL87" t="str">
        <f t="shared" si="27"/>
        <v/>
      </c>
    </row>
    <row r="88" spans="2:38" x14ac:dyDescent="0.25">
      <c r="B88" s="3"/>
      <c r="C88" s="3"/>
      <c r="H88" s="22"/>
      <c r="M88" s="14"/>
      <c r="N88" s="14"/>
      <c r="O88" s="14"/>
      <c r="P88" s="21"/>
      <c r="Q88" s="21"/>
      <c r="R88" s="21"/>
      <c r="AL88" t="str">
        <f t="shared" si="27"/>
        <v/>
      </c>
    </row>
    <row r="89" spans="2:38" x14ac:dyDescent="0.25">
      <c r="B89" s="3"/>
      <c r="C89" s="3"/>
      <c r="H89" s="22"/>
      <c r="M89" s="14"/>
      <c r="N89" s="14"/>
      <c r="O89" s="14"/>
      <c r="P89" s="21"/>
      <c r="Q89" s="21"/>
      <c r="R89" s="21"/>
      <c r="AL89" t="str">
        <f t="shared" si="27"/>
        <v/>
      </c>
    </row>
    <row r="90" spans="2:38" x14ac:dyDescent="0.25">
      <c r="B90" s="3"/>
      <c r="C90" s="3"/>
      <c r="H90" s="22"/>
      <c r="M90" s="14"/>
      <c r="N90" s="14"/>
      <c r="O90" s="14"/>
      <c r="P90" s="21"/>
      <c r="Q90" s="21"/>
      <c r="R90" s="21"/>
      <c r="AL90" t="str">
        <f t="shared" si="27"/>
        <v/>
      </c>
    </row>
    <row r="91" spans="2:38" x14ac:dyDescent="0.25">
      <c r="B91" s="3"/>
      <c r="C91" s="3"/>
      <c r="H91" s="22"/>
      <c r="M91" s="14"/>
      <c r="N91" s="14"/>
      <c r="O91" s="14"/>
      <c r="P91" s="21"/>
      <c r="Q91" s="21"/>
      <c r="R91" s="21"/>
      <c r="AL91" t="str">
        <f t="shared" si="27"/>
        <v/>
      </c>
    </row>
    <row r="92" spans="2:38" x14ac:dyDescent="0.25">
      <c r="B92" s="3"/>
      <c r="C92" s="3"/>
      <c r="H92" s="22"/>
      <c r="M92" s="14"/>
      <c r="N92" s="14"/>
      <c r="O92" s="14"/>
      <c r="P92" s="21"/>
      <c r="Q92" s="21"/>
      <c r="R92" s="21"/>
      <c r="AL92" t="str">
        <f t="shared" si="27"/>
        <v/>
      </c>
    </row>
    <row r="93" spans="2:38" x14ac:dyDescent="0.25">
      <c r="B93" s="3"/>
      <c r="C93" s="3"/>
      <c r="H93" s="22"/>
      <c r="M93" s="14"/>
      <c r="N93" s="14"/>
      <c r="O93" s="14"/>
      <c r="P93" s="21"/>
      <c r="Q93" s="21"/>
      <c r="R93" s="21"/>
      <c r="AL93" t="str">
        <f t="shared" si="27"/>
        <v/>
      </c>
    </row>
    <row r="94" spans="2:38" x14ac:dyDescent="0.25">
      <c r="B94" s="3"/>
      <c r="C94" s="3"/>
      <c r="H94" s="22"/>
      <c r="M94" s="14"/>
      <c r="N94" s="14"/>
      <c r="O94" s="14"/>
      <c r="P94" s="21"/>
      <c r="Q94" s="21"/>
      <c r="R94" s="21"/>
      <c r="AL94" t="str">
        <f t="shared" si="27"/>
        <v/>
      </c>
    </row>
    <row r="95" spans="2:38" x14ac:dyDescent="0.25">
      <c r="B95" s="3"/>
      <c r="C95" s="3"/>
      <c r="H95" s="22"/>
      <c r="M95" s="14"/>
      <c r="N95" s="14"/>
      <c r="O95" s="14"/>
      <c r="P95" s="21"/>
      <c r="Q95" s="21"/>
      <c r="R95" s="21"/>
      <c r="AL95" t="str">
        <f t="shared" si="27"/>
        <v/>
      </c>
    </row>
    <row r="96" spans="2:38" x14ac:dyDescent="0.25">
      <c r="B96" s="3"/>
      <c r="C96" s="3"/>
      <c r="H96" s="22"/>
      <c r="M96" s="14"/>
      <c r="N96" s="14"/>
      <c r="O96" s="14"/>
      <c r="P96" s="21"/>
      <c r="Q96" s="21"/>
      <c r="R96" s="21"/>
      <c r="AL96" t="str">
        <f t="shared" si="27"/>
        <v/>
      </c>
    </row>
    <row r="97" spans="2:38" x14ac:dyDescent="0.25">
      <c r="B97" s="3"/>
      <c r="C97" s="3"/>
      <c r="H97" s="22"/>
      <c r="M97" s="14"/>
      <c r="N97" s="14"/>
      <c r="O97" s="14"/>
      <c r="P97" s="21"/>
      <c r="Q97" s="21"/>
      <c r="R97" s="21"/>
      <c r="AL97" t="str">
        <f t="shared" si="27"/>
        <v/>
      </c>
    </row>
    <row r="98" spans="2:38" x14ac:dyDescent="0.25">
      <c r="B98" s="3"/>
      <c r="C98" s="3"/>
      <c r="H98" s="22"/>
      <c r="M98" s="14"/>
      <c r="N98" s="14"/>
      <c r="O98" s="14"/>
      <c r="P98" s="21"/>
      <c r="Q98" s="21"/>
      <c r="R98" s="21"/>
      <c r="AL98" t="str">
        <f t="shared" si="27"/>
        <v/>
      </c>
    </row>
    <row r="99" spans="2:38" x14ac:dyDescent="0.25">
      <c r="B99" s="3"/>
      <c r="C99" s="3"/>
      <c r="H99" s="22"/>
      <c r="M99" s="14"/>
      <c r="N99" s="14"/>
      <c r="O99" s="14"/>
      <c r="P99" s="21"/>
      <c r="Q99" s="21"/>
      <c r="R99" s="21"/>
      <c r="AL99" t="str">
        <f t="shared" si="27"/>
        <v/>
      </c>
    </row>
    <row r="100" spans="2:38" x14ac:dyDescent="0.25">
      <c r="B100" s="3"/>
      <c r="C100" s="3"/>
      <c r="H100" s="22"/>
      <c r="M100" s="14"/>
      <c r="N100" s="14"/>
      <c r="O100" s="14"/>
      <c r="P100" s="21"/>
      <c r="Q100" s="21"/>
      <c r="R100" s="21"/>
      <c r="AL100" t="str">
        <f t="shared" si="27"/>
        <v/>
      </c>
    </row>
    <row r="101" spans="2:38" x14ac:dyDescent="0.25">
      <c r="B101" s="3"/>
      <c r="C101" s="3"/>
      <c r="H101" s="22"/>
      <c r="M101" s="14"/>
      <c r="N101" s="14"/>
      <c r="O101" s="14"/>
      <c r="P101" s="21"/>
      <c r="Q101" s="21"/>
      <c r="R101" s="21"/>
      <c r="AL101" t="str">
        <f t="shared" si="27"/>
        <v/>
      </c>
    </row>
    <row r="102" spans="2:38" x14ac:dyDescent="0.25">
      <c r="B102" s="3"/>
      <c r="C102" s="3"/>
      <c r="H102" s="22"/>
      <c r="M102" s="14"/>
      <c r="N102" s="14"/>
      <c r="O102" s="14"/>
      <c r="P102" s="21"/>
      <c r="Q102" s="21"/>
      <c r="R102" s="21"/>
      <c r="AL102" t="str">
        <f t="shared" si="27"/>
        <v/>
      </c>
    </row>
    <row r="103" spans="2:38" x14ac:dyDescent="0.25">
      <c r="B103" s="3"/>
      <c r="C103" s="3"/>
      <c r="H103" s="22"/>
      <c r="M103" s="14"/>
      <c r="N103" s="14"/>
      <c r="O103" s="14"/>
      <c r="P103" s="21"/>
      <c r="Q103" s="21"/>
      <c r="R103" s="21"/>
      <c r="AL103" t="str">
        <f t="shared" si="27"/>
        <v/>
      </c>
    </row>
    <row r="104" spans="2:38" x14ac:dyDescent="0.25">
      <c r="B104" s="3"/>
      <c r="C104" s="3"/>
      <c r="H104" s="22"/>
      <c r="M104" s="14"/>
      <c r="N104" s="14"/>
      <c r="O104" s="14"/>
      <c r="P104" s="21"/>
      <c r="Q104" s="21"/>
      <c r="R104" s="21"/>
      <c r="AL104" t="str">
        <f t="shared" si="27"/>
        <v/>
      </c>
    </row>
    <row r="105" spans="2:38" x14ac:dyDescent="0.25">
      <c r="B105" s="3"/>
      <c r="C105" s="3"/>
      <c r="H105" s="22"/>
      <c r="M105" s="14"/>
      <c r="N105" s="14"/>
      <c r="O105" s="14"/>
      <c r="P105" s="21"/>
      <c r="Q105" s="21"/>
      <c r="R105" s="21"/>
      <c r="AL105" t="str">
        <f t="shared" si="27"/>
        <v/>
      </c>
    </row>
    <row r="106" spans="2:38" x14ac:dyDescent="0.25">
      <c r="B106" s="3"/>
      <c r="C106" s="3"/>
      <c r="H106" s="22"/>
      <c r="M106" s="14"/>
      <c r="N106" s="14"/>
      <c r="O106" s="14"/>
      <c r="P106" s="21"/>
      <c r="Q106" s="21"/>
      <c r="R106" s="21"/>
      <c r="AL106" t="str">
        <f t="shared" si="27"/>
        <v/>
      </c>
    </row>
    <row r="107" spans="2:38" x14ac:dyDescent="0.25">
      <c r="B107" s="3"/>
      <c r="C107" s="3"/>
      <c r="H107" s="22"/>
      <c r="M107" s="14"/>
      <c r="N107" s="14"/>
      <c r="O107" s="14"/>
      <c r="P107" s="21"/>
      <c r="Q107" s="21"/>
      <c r="R107" s="21"/>
      <c r="AL107" t="str">
        <f t="shared" si="27"/>
        <v/>
      </c>
    </row>
    <row r="108" spans="2:38" x14ac:dyDescent="0.25">
      <c r="B108" s="3"/>
      <c r="C108" s="3"/>
      <c r="H108" s="22"/>
      <c r="M108" s="14"/>
      <c r="N108" s="14"/>
      <c r="O108" s="14"/>
      <c r="P108" s="21"/>
      <c r="Q108" s="21"/>
      <c r="R108" s="21"/>
      <c r="AL108" t="str">
        <f t="shared" si="27"/>
        <v/>
      </c>
    </row>
    <row r="109" spans="2:38" x14ac:dyDescent="0.25">
      <c r="B109" s="3"/>
      <c r="C109" s="3"/>
      <c r="H109" s="22"/>
      <c r="M109" s="14"/>
      <c r="N109" s="14"/>
      <c r="O109" s="14"/>
      <c r="P109" s="21"/>
      <c r="Q109" s="21"/>
      <c r="R109" s="21"/>
      <c r="AL109" t="str">
        <f t="shared" si="27"/>
        <v/>
      </c>
    </row>
    <row r="110" spans="2:38" x14ac:dyDescent="0.25">
      <c r="B110" s="3"/>
      <c r="C110" s="3"/>
      <c r="H110" s="22"/>
      <c r="M110" s="14"/>
      <c r="N110" s="14"/>
      <c r="O110" s="14"/>
      <c r="P110" s="21"/>
      <c r="Q110" s="21"/>
      <c r="R110" s="21"/>
      <c r="AL110" t="str">
        <f t="shared" si="27"/>
        <v/>
      </c>
    </row>
    <row r="111" spans="2:38" x14ac:dyDescent="0.25">
      <c r="B111" s="3"/>
      <c r="C111" s="3"/>
      <c r="H111" s="22"/>
      <c r="M111" s="14"/>
      <c r="N111" s="14"/>
      <c r="O111" s="14"/>
      <c r="P111" s="21"/>
      <c r="Q111" s="21"/>
      <c r="R111" s="21"/>
      <c r="AL111" t="str">
        <f t="shared" si="27"/>
        <v/>
      </c>
    </row>
    <row r="112" spans="2:38" x14ac:dyDescent="0.25">
      <c r="B112" s="3"/>
      <c r="C112" s="3"/>
      <c r="H112" s="22"/>
      <c r="M112" s="14"/>
      <c r="N112" s="14"/>
      <c r="O112" s="14"/>
      <c r="P112" s="21"/>
      <c r="Q112" s="21"/>
      <c r="R112" s="21"/>
      <c r="AL112" t="str">
        <f t="shared" si="27"/>
        <v/>
      </c>
    </row>
    <row r="113" spans="2:38" x14ac:dyDescent="0.25">
      <c r="B113" s="3"/>
      <c r="C113" s="3"/>
      <c r="H113" s="22"/>
      <c r="M113" s="14"/>
      <c r="N113" s="14"/>
      <c r="O113" s="14"/>
      <c r="P113" s="21"/>
      <c r="Q113" s="21"/>
      <c r="R113" s="21"/>
      <c r="AL113" t="str">
        <f t="shared" si="27"/>
        <v/>
      </c>
    </row>
    <row r="114" spans="2:38" x14ac:dyDescent="0.25">
      <c r="B114" s="3"/>
      <c r="C114" s="3"/>
      <c r="H114" s="22"/>
      <c r="M114" s="14"/>
      <c r="N114" s="14"/>
      <c r="O114" s="14"/>
      <c r="P114" s="21"/>
      <c r="Q114" s="21"/>
      <c r="R114" s="21"/>
      <c r="AL114" t="str">
        <f t="shared" si="27"/>
        <v/>
      </c>
    </row>
    <row r="115" spans="2:38" x14ac:dyDescent="0.25">
      <c r="B115" s="3"/>
      <c r="C115" s="3"/>
      <c r="H115" s="22"/>
      <c r="M115" s="14"/>
      <c r="N115" s="14"/>
      <c r="O115" s="14"/>
      <c r="P115" s="21"/>
      <c r="Q115" s="21"/>
      <c r="R115" s="21"/>
      <c r="AL115" t="str">
        <f t="shared" si="27"/>
        <v/>
      </c>
    </row>
    <row r="116" spans="2:38" x14ac:dyDescent="0.25">
      <c r="B116" s="3"/>
      <c r="C116" s="3"/>
      <c r="H116" s="22"/>
      <c r="M116" s="14"/>
      <c r="N116" s="14"/>
      <c r="O116" s="14"/>
      <c r="P116" s="21"/>
      <c r="Q116" s="21"/>
      <c r="R116" s="21"/>
      <c r="AL116" t="str">
        <f t="shared" ref="AL116:AL179" si="28">IF(AK116 = 0, "", B117)</f>
        <v/>
      </c>
    </row>
    <row r="117" spans="2:38" x14ac:dyDescent="0.25">
      <c r="B117" s="3"/>
      <c r="C117" s="3"/>
      <c r="H117" s="22"/>
      <c r="M117" s="14"/>
      <c r="N117" s="14"/>
      <c r="O117" s="14"/>
      <c r="P117" s="21"/>
      <c r="Q117" s="21"/>
      <c r="R117" s="21"/>
      <c r="AL117" t="str">
        <f t="shared" si="28"/>
        <v/>
      </c>
    </row>
    <row r="118" spans="2:38" x14ac:dyDescent="0.25">
      <c r="B118" s="3"/>
      <c r="C118" s="3"/>
      <c r="H118" s="22"/>
      <c r="M118" s="14"/>
      <c r="N118" s="14"/>
      <c r="O118" s="14"/>
      <c r="P118" s="21"/>
      <c r="Q118" s="21"/>
      <c r="R118" s="21"/>
      <c r="AL118" t="str">
        <f t="shared" si="28"/>
        <v/>
      </c>
    </row>
    <row r="119" spans="2:38" x14ac:dyDescent="0.25">
      <c r="B119" s="3"/>
      <c r="C119" s="3"/>
      <c r="H119" s="22"/>
      <c r="M119" s="14"/>
      <c r="N119" s="14"/>
      <c r="O119" s="14"/>
      <c r="P119" s="21"/>
      <c r="Q119" s="21"/>
      <c r="R119" s="21"/>
      <c r="AL119" t="str">
        <f t="shared" si="28"/>
        <v/>
      </c>
    </row>
    <row r="120" spans="2:38" x14ac:dyDescent="0.25">
      <c r="B120" s="3"/>
      <c r="C120" s="3"/>
      <c r="H120" s="22"/>
      <c r="M120" s="14"/>
      <c r="N120" s="14"/>
      <c r="O120" s="14"/>
      <c r="P120" s="21"/>
      <c r="Q120" s="21"/>
      <c r="R120" s="21"/>
      <c r="AL120" t="str">
        <f t="shared" si="28"/>
        <v/>
      </c>
    </row>
    <row r="121" spans="2:38" x14ac:dyDescent="0.25">
      <c r="B121" s="3"/>
      <c r="C121" s="3"/>
      <c r="H121" s="22"/>
      <c r="M121" s="14"/>
      <c r="N121" s="14"/>
      <c r="O121" s="14"/>
      <c r="P121" s="21"/>
      <c r="Q121" s="21"/>
      <c r="R121" s="21"/>
      <c r="AL121" t="str">
        <f t="shared" si="28"/>
        <v/>
      </c>
    </row>
    <row r="122" spans="2:38" x14ac:dyDescent="0.25">
      <c r="B122" s="3"/>
      <c r="C122" s="3"/>
      <c r="H122" s="22"/>
      <c r="M122" s="14"/>
      <c r="N122" s="14"/>
      <c r="O122" s="14"/>
      <c r="P122" s="21"/>
      <c r="Q122" s="21"/>
      <c r="R122" s="21"/>
      <c r="AL122" t="str">
        <f t="shared" si="28"/>
        <v/>
      </c>
    </row>
    <row r="123" spans="2:38" x14ac:dyDescent="0.25">
      <c r="B123" s="3"/>
      <c r="C123" s="3"/>
      <c r="H123" s="22"/>
      <c r="M123" s="14"/>
      <c r="N123" s="14"/>
      <c r="O123" s="14"/>
      <c r="P123" s="21"/>
      <c r="Q123" s="21"/>
      <c r="R123" s="21"/>
      <c r="AL123" t="str">
        <f t="shared" si="28"/>
        <v/>
      </c>
    </row>
    <row r="124" spans="2:38" x14ac:dyDescent="0.25">
      <c r="B124" s="3"/>
      <c r="C124" s="3"/>
      <c r="H124" s="22"/>
      <c r="M124" s="14"/>
      <c r="N124" s="14"/>
      <c r="O124" s="14"/>
      <c r="P124" s="21"/>
      <c r="Q124" s="21"/>
      <c r="R124" s="21"/>
      <c r="AL124" t="str">
        <f t="shared" si="28"/>
        <v/>
      </c>
    </row>
    <row r="125" spans="2:38" x14ac:dyDescent="0.25">
      <c r="B125" s="3"/>
      <c r="C125" s="3"/>
      <c r="H125" s="22"/>
      <c r="M125" s="14"/>
      <c r="N125" s="14"/>
      <c r="O125" s="14"/>
      <c r="P125" s="21"/>
      <c r="Q125" s="21"/>
      <c r="R125" s="21"/>
      <c r="AL125" t="str">
        <f t="shared" si="28"/>
        <v/>
      </c>
    </row>
    <row r="126" spans="2:38" x14ac:dyDescent="0.25">
      <c r="B126" s="3"/>
      <c r="C126" s="3"/>
      <c r="H126" s="22"/>
      <c r="M126" s="14"/>
      <c r="N126" s="14"/>
      <c r="O126" s="14"/>
      <c r="P126" s="21"/>
      <c r="Q126" s="21"/>
      <c r="R126" s="21"/>
      <c r="AL126" t="str">
        <f t="shared" si="28"/>
        <v/>
      </c>
    </row>
    <row r="127" spans="2:38" x14ac:dyDescent="0.25">
      <c r="B127" s="3"/>
      <c r="C127" s="3"/>
      <c r="H127" s="22"/>
      <c r="M127" s="14"/>
      <c r="N127" s="14"/>
      <c r="O127" s="14"/>
      <c r="P127" s="21"/>
      <c r="Q127" s="21"/>
      <c r="R127" s="21"/>
      <c r="AL127" t="str">
        <f t="shared" si="28"/>
        <v/>
      </c>
    </row>
    <row r="128" spans="2:38" x14ac:dyDescent="0.25">
      <c r="B128" s="3"/>
      <c r="C128" s="3"/>
      <c r="H128" s="22"/>
      <c r="M128" s="14"/>
      <c r="N128" s="14"/>
      <c r="O128" s="14"/>
      <c r="P128" s="21"/>
      <c r="Q128" s="21"/>
      <c r="R128" s="21"/>
      <c r="AL128" t="str">
        <f t="shared" si="28"/>
        <v/>
      </c>
    </row>
    <row r="129" spans="2:38" x14ac:dyDescent="0.25">
      <c r="B129" s="3"/>
      <c r="C129" s="3"/>
      <c r="H129" s="22"/>
      <c r="M129" s="14"/>
      <c r="N129" s="14"/>
      <c r="O129" s="14"/>
      <c r="P129" s="21"/>
      <c r="Q129" s="21"/>
      <c r="R129" s="21"/>
      <c r="AL129" t="str">
        <f t="shared" si="28"/>
        <v/>
      </c>
    </row>
    <row r="130" spans="2:38" x14ac:dyDescent="0.25">
      <c r="B130" s="3"/>
      <c r="C130" s="3"/>
      <c r="H130" s="22"/>
      <c r="M130" s="14"/>
      <c r="N130" s="14"/>
      <c r="O130" s="14"/>
      <c r="P130" s="21"/>
      <c r="Q130" s="21"/>
      <c r="R130" s="21"/>
      <c r="AL130" t="str">
        <f t="shared" si="28"/>
        <v/>
      </c>
    </row>
    <row r="131" spans="2:38" x14ac:dyDescent="0.25">
      <c r="B131" s="3"/>
      <c r="C131" s="3"/>
      <c r="H131" s="22"/>
      <c r="M131" s="14"/>
      <c r="N131" s="14"/>
      <c r="O131" s="14"/>
      <c r="P131" s="21"/>
      <c r="Q131" s="21"/>
      <c r="R131" s="21"/>
      <c r="AL131" t="str">
        <f t="shared" si="28"/>
        <v/>
      </c>
    </row>
    <row r="132" spans="2:38" x14ac:dyDescent="0.25">
      <c r="B132" s="3"/>
      <c r="C132" s="3"/>
      <c r="H132" s="22"/>
      <c r="M132" s="14"/>
      <c r="N132" s="14"/>
      <c r="O132" s="14"/>
      <c r="P132" s="21"/>
      <c r="Q132" s="21"/>
      <c r="R132" s="21"/>
      <c r="AL132" t="str">
        <f t="shared" si="28"/>
        <v/>
      </c>
    </row>
    <row r="133" spans="2:38" x14ac:dyDescent="0.25">
      <c r="B133" s="3"/>
      <c r="C133" s="3"/>
      <c r="H133" s="22"/>
      <c r="M133" s="14"/>
      <c r="N133" s="14"/>
      <c r="O133" s="14"/>
      <c r="P133" s="21"/>
      <c r="Q133" s="21"/>
      <c r="R133" s="21"/>
      <c r="AL133" t="str">
        <f t="shared" si="28"/>
        <v/>
      </c>
    </row>
    <row r="134" spans="2:38" x14ac:dyDescent="0.25">
      <c r="B134" s="3"/>
      <c r="C134" s="3"/>
      <c r="H134" s="22"/>
      <c r="M134" s="14"/>
      <c r="N134" s="14"/>
      <c r="O134" s="14"/>
      <c r="P134" s="21"/>
      <c r="Q134" s="21"/>
      <c r="R134" s="21"/>
      <c r="AL134" t="str">
        <f t="shared" si="28"/>
        <v/>
      </c>
    </row>
    <row r="135" spans="2:38" x14ac:dyDescent="0.25">
      <c r="B135" s="3"/>
      <c r="C135" s="3"/>
      <c r="H135" s="22"/>
      <c r="M135" s="14"/>
      <c r="N135" s="14"/>
      <c r="O135" s="14"/>
      <c r="P135" s="21"/>
      <c r="Q135" s="21"/>
      <c r="R135" s="21"/>
      <c r="AL135" t="str">
        <f t="shared" si="28"/>
        <v/>
      </c>
    </row>
    <row r="136" spans="2:38" x14ac:dyDescent="0.25">
      <c r="B136" s="3"/>
      <c r="C136" s="3"/>
      <c r="H136" s="22"/>
      <c r="M136" s="14"/>
      <c r="N136" s="14"/>
      <c r="O136" s="14"/>
      <c r="P136" s="21"/>
      <c r="Q136" s="21"/>
      <c r="R136" s="21"/>
      <c r="AL136" t="str">
        <f t="shared" si="28"/>
        <v/>
      </c>
    </row>
    <row r="137" spans="2:38" x14ac:dyDescent="0.25">
      <c r="B137" s="3"/>
      <c r="C137" s="3"/>
      <c r="H137" s="22"/>
      <c r="M137" s="14"/>
      <c r="N137" s="14"/>
      <c r="O137" s="14"/>
      <c r="P137" s="21"/>
      <c r="Q137" s="21"/>
      <c r="R137" s="21"/>
      <c r="AL137" t="str">
        <f t="shared" si="28"/>
        <v/>
      </c>
    </row>
    <row r="138" spans="2:38" x14ac:dyDescent="0.25">
      <c r="B138" s="3"/>
      <c r="C138" s="3"/>
      <c r="H138" s="22"/>
      <c r="M138" s="14"/>
      <c r="N138" s="14"/>
      <c r="O138" s="14"/>
      <c r="P138" s="21"/>
      <c r="Q138" s="21"/>
      <c r="R138" s="21"/>
      <c r="AL138" t="str">
        <f t="shared" si="28"/>
        <v/>
      </c>
    </row>
    <row r="139" spans="2:38" x14ac:dyDescent="0.25">
      <c r="B139" s="3"/>
      <c r="C139" s="3"/>
      <c r="H139" s="22"/>
      <c r="M139" s="14"/>
      <c r="N139" s="14"/>
      <c r="O139" s="14"/>
      <c r="P139" s="21"/>
      <c r="Q139" s="21"/>
      <c r="R139" s="21"/>
      <c r="AL139" t="str">
        <f t="shared" si="28"/>
        <v/>
      </c>
    </row>
    <row r="140" spans="2:38" x14ac:dyDescent="0.25">
      <c r="B140" s="3"/>
      <c r="C140" s="3"/>
      <c r="H140" s="22"/>
      <c r="M140" s="14"/>
      <c r="N140" s="14"/>
      <c r="O140" s="14"/>
      <c r="P140" s="21"/>
      <c r="Q140" s="21"/>
      <c r="R140" s="21"/>
      <c r="AL140" t="str">
        <f t="shared" si="28"/>
        <v/>
      </c>
    </row>
    <row r="141" spans="2:38" x14ac:dyDescent="0.25">
      <c r="B141" s="3"/>
      <c r="C141" s="3"/>
      <c r="H141" s="22"/>
      <c r="M141" s="14"/>
      <c r="N141" s="14"/>
      <c r="O141" s="14"/>
      <c r="P141" s="21"/>
      <c r="Q141" s="21"/>
      <c r="R141" s="21"/>
      <c r="AL141" t="str">
        <f t="shared" si="28"/>
        <v/>
      </c>
    </row>
    <row r="142" spans="2:38" x14ac:dyDescent="0.25">
      <c r="B142" s="3"/>
      <c r="C142" s="3"/>
      <c r="H142" s="22"/>
      <c r="M142" s="14"/>
      <c r="N142" s="14"/>
      <c r="O142" s="14"/>
      <c r="P142" s="21"/>
      <c r="Q142" s="21"/>
      <c r="R142" s="21"/>
      <c r="AL142" t="str">
        <f t="shared" si="28"/>
        <v/>
      </c>
    </row>
    <row r="143" spans="2:38" x14ac:dyDescent="0.25">
      <c r="B143" s="3"/>
      <c r="C143" s="3"/>
      <c r="H143" s="22"/>
      <c r="M143" s="14"/>
      <c r="N143" s="14"/>
      <c r="O143" s="14"/>
      <c r="P143" s="21"/>
      <c r="Q143" s="21"/>
      <c r="R143" s="21"/>
      <c r="AL143" t="str">
        <f t="shared" si="28"/>
        <v/>
      </c>
    </row>
    <row r="144" spans="2:38" x14ac:dyDescent="0.25">
      <c r="B144" s="3"/>
      <c r="C144" s="3"/>
      <c r="H144" s="22"/>
      <c r="M144" s="14"/>
      <c r="N144" s="14"/>
      <c r="O144" s="14"/>
      <c r="P144" s="21"/>
      <c r="Q144" s="21"/>
      <c r="R144" s="21"/>
      <c r="AL144" t="str">
        <f t="shared" si="28"/>
        <v/>
      </c>
    </row>
    <row r="145" spans="2:38" x14ac:dyDescent="0.25">
      <c r="B145" s="3"/>
      <c r="C145" s="3"/>
      <c r="H145" s="22"/>
      <c r="M145" s="14"/>
      <c r="N145" s="14"/>
      <c r="O145" s="14"/>
      <c r="P145" s="21"/>
      <c r="Q145" s="21"/>
      <c r="R145" s="21"/>
      <c r="AL145" t="str">
        <f t="shared" si="28"/>
        <v/>
      </c>
    </row>
    <row r="146" spans="2:38" x14ac:dyDescent="0.25">
      <c r="B146" s="3"/>
      <c r="C146" s="3"/>
      <c r="H146" s="22"/>
      <c r="M146" s="14"/>
      <c r="N146" s="14"/>
      <c r="O146" s="14"/>
      <c r="P146" s="21"/>
      <c r="Q146" s="21"/>
      <c r="R146" s="21"/>
      <c r="AL146" t="str">
        <f t="shared" si="28"/>
        <v/>
      </c>
    </row>
    <row r="147" spans="2:38" x14ac:dyDescent="0.25">
      <c r="B147" s="3"/>
      <c r="C147" s="3"/>
      <c r="H147" s="22"/>
      <c r="M147" s="14"/>
      <c r="N147" s="14"/>
      <c r="O147" s="14"/>
      <c r="P147" s="21"/>
      <c r="Q147" s="21"/>
      <c r="R147" s="21"/>
      <c r="AL147" t="str">
        <f t="shared" si="28"/>
        <v/>
      </c>
    </row>
    <row r="148" spans="2:38" x14ac:dyDescent="0.25">
      <c r="B148" s="3"/>
      <c r="C148" s="3"/>
      <c r="H148" s="22"/>
      <c r="M148" s="14"/>
      <c r="N148" s="14"/>
      <c r="O148" s="14"/>
      <c r="P148" s="21"/>
      <c r="Q148" s="21"/>
      <c r="R148" s="21"/>
      <c r="AL148" t="str">
        <f t="shared" si="28"/>
        <v/>
      </c>
    </row>
    <row r="149" spans="2:38" x14ac:dyDescent="0.25">
      <c r="B149" s="3"/>
      <c r="C149" s="3"/>
      <c r="H149" s="22"/>
      <c r="M149" s="14"/>
      <c r="N149" s="14"/>
      <c r="O149" s="14"/>
      <c r="P149" s="21"/>
      <c r="Q149" s="21"/>
      <c r="R149" s="21"/>
      <c r="AL149" t="str">
        <f t="shared" si="28"/>
        <v/>
      </c>
    </row>
    <row r="150" spans="2:38" x14ac:dyDescent="0.25">
      <c r="B150" s="3"/>
      <c r="C150" s="3"/>
      <c r="H150" s="22"/>
      <c r="M150" s="14"/>
      <c r="N150" s="14"/>
      <c r="O150" s="14"/>
      <c r="P150" s="21"/>
      <c r="Q150" s="21"/>
      <c r="R150" s="21"/>
      <c r="AL150" t="str">
        <f t="shared" si="28"/>
        <v/>
      </c>
    </row>
    <row r="151" spans="2:38" x14ac:dyDescent="0.25">
      <c r="B151" s="3"/>
      <c r="C151" s="3"/>
      <c r="H151" s="22"/>
      <c r="M151" s="14"/>
      <c r="N151" s="14"/>
      <c r="O151" s="14"/>
      <c r="P151" s="21"/>
      <c r="Q151" s="21"/>
      <c r="R151" s="21"/>
      <c r="AL151" t="str">
        <f t="shared" si="28"/>
        <v/>
      </c>
    </row>
    <row r="152" spans="2:38" x14ac:dyDescent="0.25">
      <c r="B152" s="3"/>
      <c r="C152" s="3"/>
      <c r="H152" s="22"/>
      <c r="M152" s="14"/>
      <c r="N152" s="14"/>
      <c r="O152" s="14"/>
      <c r="P152" s="21"/>
      <c r="Q152" s="21"/>
      <c r="R152" s="21"/>
      <c r="AL152" t="str">
        <f t="shared" si="28"/>
        <v/>
      </c>
    </row>
    <row r="153" spans="2:38" x14ac:dyDescent="0.25">
      <c r="B153" s="3"/>
      <c r="C153" s="3"/>
      <c r="H153" s="22"/>
      <c r="M153" s="14"/>
      <c r="N153" s="14"/>
      <c r="O153" s="14"/>
      <c r="P153" s="21"/>
      <c r="Q153" s="21"/>
      <c r="R153" s="21"/>
      <c r="AL153" t="str">
        <f t="shared" si="28"/>
        <v/>
      </c>
    </row>
    <row r="154" spans="2:38" x14ac:dyDescent="0.25">
      <c r="B154" s="3"/>
      <c r="C154" s="3"/>
      <c r="H154" s="22"/>
      <c r="M154" s="14"/>
      <c r="N154" s="14"/>
      <c r="O154" s="14"/>
      <c r="P154" s="21"/>
      <c r="Q154" s="21"/>
      <c r="R154" s="21"/>
      <c r="AL154" t="str">
        <f t="shared" si="28"/>
        <v/>
      </c>
    </row>
    <row r="155" spans="2:38" x14ac:dyDescent="0.25">
      <c r="B155" s="3"/>
      <c r="C155" s="3"/>
      <c r="H155" s="22"/>
      <c r="M155" s="14"/>
      <c r="N155" s="14"/>
      <c r="O155" s="14"/>
      <c r="P155" s="21"/>
      <c r="Q155" s="21"/>
      <c r="R155" s="21"/>
      <c r="AL155" t="str">
        <f t="shared" si="28"/>
        <v/>
      </c>
    </row>
    <row r="156" spans="2:38" x14ac:dyDescent="0.25">
      <c r="B156" s="3"/>
      <c r="C156" s="3"/>
      <c r="H156" s="22"/>
      <c r="M156" s="14"/>
      <c r="N156" s="14"/>
      <c r="O156" s="14"/>
      <c r="P156" s="21"/>
      <c r="Q156" s="21"/>
      <c r="R156" s="21"/>
      <c r="AL156" t="str">
        <f t="shared" si="28"/>
        <v/>
      </c>
    </row>
    <row r="157" spans="2:38" x14ac:dyDescent="0.25">
      <c r="B157" s="3"/>
      <c r="C157" s="3"/>
      <c r="H157" s="22"/>
      <c r="M157" s="14"/>
      <c r="N157" s="14"/>
      <c r="O157" s="14"/>
      <c r="P157" s="21"/>
      <c r="Q157" s="21"/>
      <c r="R157" s="21"/>
      <c r="AL157" t="str">
        <f t="shared" si="28"/>
        <v/>
      </c>
    </row>
    <row r="158" spans="2:38" x14ac:dyDescent="0.25">
      <c r="B158" s="3"/>
      <c r="C158" s="3"/>
      <c r="H158" s="22"/>
      <c r="M158" s="14"/>
      <c r="N158" s="14"/>
      <c r="O158" s="14"/>
      <c r="P158" s="21"/>
      <c r="Q158" s="21"/>
      <c r="R158" s="21"/>
      <c r="AL158" t="str">
        <f t="shared" si="28"/>
        <v/>
      </c>
    </row>
    <row r="159" spans="2:38" x14ac:dyDescent="0.25">
      <c r="B159" s="3"/>
      <c r="C159" s="3"/>
      <c r="H159" s="22"/>
      <c r="M159" s="14"/>
      <c r="N159" s="14"/>
      <c r="O159" s="14"/>
      <c r="P159" s="21"/>
      <c r="Q159" s="21"/>
      <c r="R159" s="21"/>
      <c r="AL159" t="str">
        <f t="shared" si="28"/>
        <v/>
      </c>
    </row>
    <row r="160" spans="2:38" x14ac:dyDescent="0.25">
      <c r="B160" s="3"/>
      <c r="C160" s="3"/>
      <c r="H160" s="22"/>
      <c r="M160" s="14"/>
      <c r="N160" s="14"/>
      <c r="O160" s="14"/>
      <c r="P160" s="21"/>
      <c r="Q160" s="21"/>
      <c r="R160" s="21"/>
      <c r="AL160" t="str">
        <f t="shared" si="28"/>
        <v/>
      </c>
    </row>
    <row r="161" spans="2:38" x14ac:dyDescent="0.25">
      <c r="B161" s="3"/>
      <c r="C161" s="3"/>
      <c r="H161" s="22"/>
      <c r="M161" s="14"/>
      <c r="N161" s="14"/>
      <c r="O161" s="14"/>
      <c r="P161" s="21"/>
      <c r="Q161" s="21"/>
      <c r="R161" s="21"/>
      <c r="AL161" t="str">
        <f t="shared" si="28"/>
        <v/>
      </c>
    </row>
    <row r="162" spans="2:38" x14ac:dyDescent="0.25">
      <c r="B162" s="3"/>
      <c r="C162" s="3"/>
      <c r="H162" s="22"/>
      <c r="M162" s="14"/>
      <c r="N162" s="14"/>
      <c r="O162" s="14"/>
      <c r="P162" s="21"/>
      <c r="Q162" s="21"/>
      <c r="R162" s="21"/>
      <c r="AL162" t="str">
        <f t="shared" si="28"/>
        <v/>
      </c>
    </row>
    <row r="163" spans="2:38" x14ac:dyDescent="0.25">
      <c r="B163" s="3"/>
      <c r="C163" s="3"/>
      <c r="H163" s="22"/>
      <c r="M163" s="14"/>
      <c r="N163" s="14"/>
      <c r="O163" s="14"/>
      <c r="P163" s="21"/>
      <c r="Q163" s="21"/>
      <c r="R163" s="21"/>
      <c r="AL163" t="str">
        <f t="shared" si="28"/>
        <v/>
      </c>
    </row>
    <row r="164" spans="2:38" x14ac:dyDescent="0.25">
      <c r="B164" s="3"/>
      <c r="C164" s="3"/>
      <c r="H164" s="22"/>
      <c r="M164" s="14"/>
      <c r="N164" s="14"/>
      <c r="O164" s="14"/>
      <c r="P164" s="21"/>
      <c r="Q164" s="21"/>
      <c r="R164" s="21"/>
      <c r="AL164" t="str">
        <f t="shared" si="28"/>
        <v/>
      </c>
    </row>
    <row r="165" spans="2:38" x14ac:dyDescent="0.25">
      <c r="B165" s="3"/>
      <c r="C165" s="3"/>
      <c r="H165" s="22"/>
      <c r="M165" s="14"/>
      <c r="N165" s="14"/>
      <c r="O165" s="14"/>
      <c r="P165" s="21"/>
      <c r="Q165" s="21"/>
      <c r="R165" s="21"/>
      <c r="AL165" t="str">
        <f t="shared" si="28"/>
        <v/>
      </c>
    </row>
    <row r="166" spans="2:38" x14ac:dyDescent="0.25">
      <c r="B166" s="3"/>
      <c r="C166" s="3"/>
      <c r="H166" s="22"/>
      <c r="M166" s="14"/>
      <c r="N166" s="14"/>
      <c r="O166" s="14"/>
      <c r="P166" s="21"/>
      <c r="Q166" s="21"/>
      <c r="R166" s="21"/>
      <c r="AL166" t="str">
        <f t="shared" si="28"/>
        <v/>
      </c>
    </row>
    <row r="167" spans="2:38" x14ac:dyDescent="0.25">
      <c r="B167" s="3"/>
      <c r="C167" s="3"/>
      <c r="H167" s="22"/>
      <c r="M167" s="14"/>
      <c r="N167" s="14"/>
      <c r="O167" s="14"/>
      <c r="P167" s="21"/>
      <c r="Q167" s="21"/>
      <c r="R167" s="21"/>
      <c r="AL167" t="str">
        <f t="shared" si="28"/>
        <v/>
      </c>
    </row>
    <row r="168" spans="2:38" x14ac:dyDescent="0.25">
      <c r="B168" s="3"/>
      <c r="C168" s="3"/>
      <c r="H168" s="22"/>
      <c r="M168" s="14"/>
      <c r="N168" s="14"/>
      <c r="O168" s="14"/>
      <c r="P168" s="21"/>
      <c r="Q168" s="21"/>
      <c r="R168" s="21"/>
      <c r="AL168" t="str">
        <f t="shared" si="28"/>
        <v/>
      </c>
    </row>
    <row r="169" spans="2:38" x14ac:dyDescent="0.25">
      <c r="B169" s="3"/>
      <c r="C169" s="3"/>
      <c r="H169" s="22"/>
      <c r="M169" s="14"/>
      <c r="N169" s="14"/>
      <c r="O169" s="14"/>
      <c r="P169" s="21"/>
      <c r="Q169" s="21"/>
      <c r="R169" s="21"/>
      <c r="AL169" t="str">
        <f t="shared" si="28"/>
        <v/>
      </c>
    </row>
    <row r="170" spans="2:38" x14ac:dyDescent="0.25">
      <c r="B170" s="3"/>
      <c r="C170" s="3"/>
      <c r="H170" s="22"/>
      <c r="M170" s="14"/>
      <c r="N170" s="14"/>
      <c r="O170" s="14"/>
      <c r="P170" s="21"/>
      <c r="Q170" s="21"/>
      <c r="R170" s="21"/>
      <c r="AL170" t="str">
        <f t="shared" si="28"/>
        <v/>
      </c>
    </row>
    <row r="171" spans="2:38" x14ac:dyDescent="0.25">
      <c r="B171" s="3"/>
      <c r="C171" s="3"/>
      <c r="H171" s="22"/>
      <c r="M171" s="14"/>
      <c r="N171" s="14"/>
      <c r="O171" s="14"/>
      <c r="P171" s="21"/>
      <c r="Q171" s="21"/>
      <c r="R171" s="21"/>
      <c r="AL171" t="str">
        <f t="shared" si="28"/>
        <v/>
      </c>
    </row>
    <row r="172" spans="2:38" x14ac:dyDescent="0.25">
      <c r="B172" s="3"/>
      <c r="C172" s="3"/>
      <c r="H172" s="22"/>
      <c r="M172" s="14"/>
      <c r="N172" s="14"/>
      <c r="O172" s="14"/>
      <c r="P172" s="21"/>
      <c r="Q172" s="21"/>
      <c r="R172" s="21"/>
      <c r="AL172" t="str">
        <f t="shared" si="28"/>
        <v/>
      </c>
    </row>
    <row r="173" spans="2:38" x14ac:dyDescent="0.25">
      <c r="B173" s="3"/>
      <c r="C173" s="3"/>
      <c r="H173" s="22"/>
      <c r="M173" s="14"/>
      <c r="N173" s="14"/>
      <c r="O173" s="14"/>
      <c r="P173" s="21"/>
      <c r="Q173" s="21"/>
      <c r="R173" s="21"/>
      <c r="AL173" t="str">
        <f t="shared" si="28"/>
        <v/>
      </c>
    </row>
    <row r="174" spans="2:38" x14ac:dyDescent="0.25">
      <c r="B174" s="3"/>
      <c r="C174" s="3"/>
      <c r="H174" s="22"/>
      <c r="M174" s="14"/>
      <c r="N174" s="14"/>
      <c r="O174" s="14"/>
      <c r="P174" s="21"/>
      <c r="Q174" s="21"/>
      <c r="R174" s="21"/>
      <c r="AL174" t="str">
        <f t="shared" si="28"/>
        <v/>
      </c>
    </row>
    <row r="175" spans="2:38" x14ac:dyDescent="0.25">
      <c r="B175" s="3"/>
      <c r="C175" s="3"/>
      <c r="H175" s="22"/>
      <c r="M175" s="14"/>
      <c r="N175" s="14"/>
      <c r="O175" s="14"/>
      <c r="P175" s="21"/>
      <c r="Q175" s="21"/>
      <c r="R175" s="21"/>
      <c r="AL175" t="str">
        <f t="shared" si="28"/>
        <v/>
      </c>
    </row>
    <row r="176" spans="2:38" x14ac:dyDescent="0.25">
      <c r="B176" s="3"/>
      <c r="C176" s="3"/>
      <c r="H176" s="22"/>
      <c r="M176" s="14"/>
      <c r="N176" s="14"/>
      <c r="O176" s="14"/>
      <c r="P176" s="21"/>
      <c r="Q176" s="21"/>
      <c r="R176" s="21"/>
      <c r="AL176" t="str">
        <f t="shared" si="28"/>
        <v/>
      </c>
    </row>
    <row r="177" spans="2:38" x14ac:dyDescent="0.25">
      <c r="B177" s="3"/>
      <c r="C177" s="3"/>
      <c r="H177" s="22"/>
      <c r="M177" s="14"/>
      <c r="N177" s="14"/>
      <c r="O177" s="14"/>
      <c r="P177" s="21"/>
      <c r="Q177" s="21"/>
      <c r="R177" s="21"/>
      <c r="AL177" t="str">
        <f t="shared" si="28"/>
        <v/>
      </c>
    </row>
    <row r="178" spans="2:38" x14ac:dyDescent="0.25">
      <c r="B178" s="3"/>
      <c r="C178" s="3"/>
      <c r="H178" s="22"/>
      <c r="M178" s="14"/>
      <c r="N178" s="14"/>
      <c r="O178" s="14"/>
      <c r="P178" s="21"/>
      <c r="Q178" s="21"/>
      <c r="R178" s="21"/>
      <c r="AL178" t="str">
        <f t="shared" si="28"/>
        <v/>
      </c>
    </row>
    <row r="179" spans="2:38" x14ac:dyDescent="0.25">
      <c r="B179" s="3"/>
      <c r="C179" s="3"/>
      <c r="H179" s="22"/>
      <c r="M179" s="14"/>
      <c r="N179" s="14"/>
      <c r="O179" s="14"/>
      <c r="P179" s="21"/>
      <c r="Q179" s="21"/>
      <c r="R179" s="21"/>
      <c r="AL179" t="str">
        <f t="shared" si="28"/>
        <v/>
      </c>
    </row>
    <row r="180" spans="2:38" x14ac:dyDescent="0.25">
      <c r="B180" s="3"/>
      <c r="C180" s="3"/>
      <c r="H180" s="22"/>
      <c r="M180" s="14"/>
      <c r="N180" s="14"/>
      <c r="O180" s="14"/>
      <c r="P180" s="21"/>
      <c r="Q180" s="21"/>
      <c r="R180" s="21"/>
      <c r="AL180" t="str">
        <f t="shared" ref="AL180:AL243" si="29">IF(AK180 = 0, "", B181)</f>
        <v/>
      </c>
    </row>
    <row r="181" spans="2:38" x14ac:dyDescent="0.25">
      <c r="B181" s="3"/>
      <c r="C181" s="3"/>
      <c r="H181" s="22"/>
      <c r="M181" s="14"/>
      <c r="N181" s="14"/>
      <c r="O181" s="14"/>
      <c r="P181" s="21"/>
      <c r="Q181" s="21"/>
      <c r="R181" s="21"/>
      <c r="AL181" t="str">
        <f t="shared" si="29"/>
        <v/>
      </c>
    </row>
    <row r="182" spans="2:38" x14ac:dyDescent="0.25">
      <c r="B182" s="3"/>
      <c r="C182" s="3"/>
      <c r="H182" s="22"/>
      <c r="M182" s="14"/>
      <c r="N182" s="14"/>
      <c r="O182" s="14"/>
      <c r="P182" s="21"/>
      <c r="Q182" s="21"/>
      <c r="R182" s="21"/>
      <c r="AL182" t="str">
        <f t="shared" si="29"/>
        <v/>
      </c>
    </row>
    <row r="183" spans="2:38" x14ac:dyDescent="0.25">
      <c r="B183" s="3"/>
      <c r="C183" s="3"/>
      <c r="H183" s="22"/>
      <c r="M183" s="14"/>
      <c r="N183" s="14"/>
      <c r="O183" s="14"/>
      <c r="P183" s="21"/>
      <c r="Q183" s="21"/>
      <c r="R183" s="21"/>
      <c r="AL183" t="str">
        <f t="shared" si="29"/>
        <v/>
      </c>
    </row>
    <row r="184" spans="2:38" x14ac:dyDescent="0.25">
      <c r="B184" s="3"/>
      <c r="C184" s="3"/>
      <c r="H184" s="22"/>
      <c r="M184" s="14"/>
      <c r="N184" s="14"/>
      <c r="O184" s="14"/>
      <c r="P184" s="21"/>
      <c r="Q184" s="21"/>
      <c r="R184" s="21"/>
      <c r="AL184" t="str">
        <f t="shared" si="29"/>
        <v/>
      </c>
    </row>
    <row r="185" spans="2:38" x14ac:dyDescent="0.25">
      <c r="B185" s="3"/>
      <c r="C185" s="3"/>
      <c r="H185" s="22"/>
      <c r="M185" s="14"/>
      <c r="N185" s="14"/>
      <c r="O185" s="14"/>
      <c r="P185" s="21"/>
      <c r="Q185" s="21"/>
      <c r="R185" s="21"/>
      <c r="AL185" t="str">
        <f t="shared" si="29"/>
        <v/>
      </c>
    </row>
    <row r="186" spans="2:38" x14ac:dyDescent="0.25">
      <c r="B186" s="3"/>
      <c r="C186" s="3"/>
      <c r="H186" s="22"/>
      <c r="M186" s="14"/>
      <c r="N186" s="14"/>
      <c r="O186" s="14"/>
      <c r="P186" s="21"/>
      <c r="Q186" s="21"/>
      <c r="R186" s="21"/>
      <c r="AL186" t="str">
        <f t="shared" si="29"/>
        <v/>
      </c>
    </row>
    <row r="187" spans="2:38" x14ac:dyDescent="0.25">
      <c r="B187" s="3"/>
      <c r="C187" s="3"/>
      <c r="H187" s="22"/>
      <c r="M187" s="14"/>
      <c r="N187" s="14"/>
      <c r="O187" s="14"/>
      <c r="P187" s="21"/>
      <c r="Q187" s="21"/>
      <c r="R187" s="21"/>
      <c r="AL187" t="str">
        <f t="shared" si="29"/>
        <v/>
      </c>
    </row>
    <row r="188" spans="2:38" x14ac:dyDescent="0.25">
      <c r="B188" s="3"/>
      <c r="C188" s="3"/>
      <c r="H188" s="22"/>
      <c r="M188" s="14"/>
      <c r="N188" s="14"/>
      <c r="O188" s="14"/>
      <c r="P188" s="21"/>
      <c r="Q188" s="21"/>
      <c r="R188" s="21"/>
      <c r="AL188" t="str">
        <f t="shared" si="29"/>
        <v/>
      </c>
    </row>
    <row r="189" spans="2:38" x14ac:dyDescent="0.25">
      <c r="B189" s="3"/>
      <c r="C189" s="3"/>
      <c r="H189" s="22"/>
      <c r="M189" s="14"/>
      <c r="N189" s="14"/>
      <c r="O189" s="14"/>
      <c r="P189" s="21"/>
      <c r="Q189" s="21"/>
      <c r="R189" s="21"/>
      <c r="AL189" t="str">
        <f t="shared" si="29"/>
        <v/>
      </c>
    </row>
    <row r="190" spans="2:38" x14ac:dyDescent="0.25">
      <c r="B190" s="3"/>
      <c r="C190" s="3"/>
      <c r="H190" s="22"/>
      <c r="M190" s="14"/>
      <c r="N190" s="14"/>
      <c r="O190" s="14"/>
      <c r="P190" s="21"/>
      <c r="Q190" s="21"/>
      <c r="R190" s="21"/>
      <c r="AL190" t="str">
        <f t="shared" si="29"/>
        <v/>
      </c>
    </row>
    <row r="191" spans="2:38" x14ac:dyDescent="0.25">
      <c r="B191" s="3"/>
      <c r="C191" s="3"/>
      <c r="H191" s="22"/>
      <c r="M191" s="14"/>
      <c r="N191" s="14"/>
      <c r="O191" s="14"/>
      <c r="P191" s="21"/>
      <c r="Q191" s="21"/>
      <c r="R191" s="21"/>
      <c r="AL191" t="str">
        <f t="shared" si="29"/>
        <v/>
      </c>
    </row>
    <row r="192" spans="2:38" x14ac:dyDescent="0.25">
      <c r="B192" s="3"/>
      <c r="C192" s="3"/>
      <c r="H192" s="22"/>
      <c r="M192" s="14"/>
      <c r="N192" s="14"/>
      <c r="O192" s="14"/>
      <c r="P192" s="21"/>
      <c r="Q192" s="21"/>
      <c r="R192" s="21"/>
      <c r="AL192" t="str">
        <f t="shared" si="29"/>
        <v/>
      </c>
    </row>
    <row r="193" spans="2:38" x14ac:dyDescent="0.25">
      <c r="B193" s="3"/>
      <c r="C193" s="3"/>
      <c r="H193" s="22"/>
      <c r="M193" s="14"/>
      <c r="N193" s="14"/>
      <c r="O193" s="14"/>
      <c r="P193" s="21"/>
      <c r="Q193" s="21"/>
      <c r="R193" s="21"/>
      <c r="AL193" t="str">
        <f t="shared" si="29"/>
        <v/>
      </c>
    </row>
    <row r="194" spans="2:38" x14ac:dyDescent="0.25">
      <c r="B194" s="3"/>
      <c r="C194" s="3"/>
      <c r="H194" s="22"/>
      <c r="M194" s="14"/>
      <c r="N194" s="14"/>
      <c r="O194" s="14"/>
      <c r="P194" s="21"/>
      <c r="Q194" s="21"/>
      <c r="R194" s="21"/>
      <c r="AL194" t="str">
        <f t="shared" si="29"/>
        <v/>
      </c>
    </row>
    <row r="195" spans="2:38" x14ac:dyDescent="0.25">
      <c r="B195" s="3"/>
      <c r="C195" s="3"/>
      <c r="H195" s="22"/>
      <c r="M195" s="14"/>
      <c r="N195" s="14"/>
      <c r="O195" s="14"/>
      <c r="P195" s="21"/>
      <c r="Q195" s="21"/>
      <c r="R195" s="21"/>
      <c r="AL195" t="str">
        <f t="shared" si="29"/>
        <v/>
      </c>
    </row>
    <row r="196" spans="2:38" x14ac:dyDescent="0.25">
      <c r="B196" s="3"/>
      <c r="C196" s="3"/>
      <c r="H196" s="22"/>
      <c r="M196" s="14"/>
      <c r="N196" s="14"/>
      <c r="O196" s="14"/>
      <c r="P196" s="21"/>
      <c r="Q196" s="21"/>
      <c r="R196" s="21"/>
      <c r="AL196" t="str">
        <f t="shared" si="29"/>
        <v/>
      </c>
    </row>
    <row r="197" spans="2:38" x14ac:dyDescent="0.25">
      <c r="B197" s="3"/>
      <c r="C197" s="3"/>
      <c r="H197" s="22"/>
      <c r="M197" s="14"/>
      <c r="N197" s="14"/>
      <c r="O197" s="14"/>
      <c r="P197" s="21"/>
      <c r="Q197" s="21"/>
      <c r="R197" s="21"/>
      <c r="AL197" t="str">
        <f t="shared" si="29"/>
        <v/>
      </c>
    </row>
    <row r="198" spans="2:38" x14ac:dyDescent="0.25">
      <c r="B198" s="3"/>
      <c r="C198" s="3"/>
      <c r="H198" s="22"/>
      <c r="M198" s="14"/>
      <c r="N198" s="14"/>
      <c r="O198" s="14"/>
      <c r="P198" s="21"/>
      <c r="Q198" s="21"/>
      <c r="R198" s="21"/>
      <c r="AL198" t="str">
        <f t="shared" si="29"/>
        <v/>
      </c>
    </row>
    <row r="199" spans="2:38" x14ac:dyDescent="0.25">
      <c r="B199" s="3"/>
      <c r="C199" s="3"/>
      <c r="H199" s="22"/>
      <c r="M199" s="14"/>
      <c r="N199" s="14"/>
      <c r="O199" s="14"/>
      <c r="P199" s="21"/>
      <c r="Q199" s="21"/>
      <c r="R199" s="21"/>
      <c r="AL199" t="str">
        <f t="shared" si="29"/>
        <v/>
      </c>
    </row>
    <row r="200" spans="2:38" x14ac:dyDescent="0.25">
      <c r="B200" s="3"/>
      <c r="C200" s="3"/>
      <c r="H200" s="22"/>
      <c r="M200" s="14"/>
      <c r="N200" s="14"/>
      <c r="O200" s="14"/>
      <c r="P200" s="21"/>
      <c r="Q200" s="21"/>
      <c r="R200" s="21"/>
      <c r="AL200" t="str">
        <f t="shared" si="29"/>
        <v/>
      </c>
    </row>
    <row r="201" spans="2:38" x14ac:dyDescent="0.25">
      <c r="B201" s="3"/>
      <c r="C201" s="3"/>
      <c r="H201" s="22"/>
      <c r="M201" s="14"/>
      <c r="N201" s="14"/>
      <c r="O201" s="14"/>
      <c r="P201" s="21"/>
      <c r="Q201" s="21"/>
      <c r="R201" s="21"/>
      <c r="AL201" t="str">
        <f t="shared" si="29"/>
        <v/>
      </c>
    </row>
    <row r="202" spans="2:38" x14ac:dyDescent="0.25">
      <c r="B202" s="3"/>
      <c r="C202" s="3"/>
      <c r="H202" s="22"/>
      <c r="M202" s="14"/>
      <c r="N202" s="14"/>
      <c r="O202" s="14"/>
      <c r="P202" s="21"/>
      <c r="Q202" s="21"/>
      <c r="R202" s="21"/>
      <c r="AL202" t="str">
        <f t="shared" si="29"/>
        <v/>
      </c>
    </row>
    <row r="203" spans="2:38" x14ac:dyDescent="0.25">
      <c r="B203" s="3"/>
      <c r="C203" s="3"/>
      <c r="H203" s="22"/>
      <c r="M203" s="14"/>
      <c r="N203" s="14"/>
      <c r="O203" s="14"/>
      <c r="P203" s="21"/>
      <c r="Q203" s="21"/>
      <c r="R203" s="21"/>
      <c r="AL203" t="str">
        <f t="shared" si="29"/>
        <v/>
      </c>
    </row>
    <row r="204" spans="2:38" x14ac:dyDescent="0.25">
      <c r="B204" s="3"/>
      <c r="C204" s="3"/>
      <c r="H204" s="22"/>
      <c r="M204" s="14"/>
      <c r="N204" s="14"/>
      <c r="O204" s="14"/>
      <c r="P204" s="21"/>
      <c r="Q204" s="21"/>
      <c r="R204" s="21"/>
      <c r="AL204" t="str">
        <f t="shared" si="29"/>
        <v/>
      </c>
    </row>
    <row r="205" spans="2:38" x14ac:dyDescent="0.25">
      <c r="B205" s="3"/>
      <c r="C205" s="3"/>
      <c r="H205" s="22"/>
      <c r="M205" s="14"/>
      <c r="N205" s="14"/>
      <c r="O205" s="14"/>
      <c r="P205" s="21"/>
      <c r="Q205" s="21"/>
      <c r="R205" s="21"/>
      <c r="AL205" t="str">
        <f t="shared" si="29"/>
        <v/>
      </c>
    </row>
    <row r="206" spans="2:38" x14ac:dyDescent="0.25">
      <c r="B206" s="3"/>
      <c r="C206" s="3"/>
      <c r="H206" s="22"/>
      <c r="M206" s="14"/>
      <c r="N206" s="14"/>
      <c r="O206" s="14"/>
      <c r="P206" s="21"/>
      <c r="Q206" s="21"/>
      <c r="R206" s="21"/>
      <c r="AL206" t="str">
        <f t="shared" si="29"/>
        <v/>
      </c>
    </row>
    <row r="207" spans="2:38" x14ac:dyDescent="0.25">
      <c r="B207" s="3"/>
      <c r="C207" s="3"/>
      <c r="H207" s="22"/>
      <c r="M207" s="14"/>
      <c r="N207" s="14"/>
      <c r="O207" s="14"/>
      <c r="P207" s="21"/>
      <c r="Q207" s="21"/>
      <c r="R207" s="21"/>
      <c r="AL207" t="str">
        <f t="shared" si="29"/>
        <v/>
      </c>
    </row>
    <row r="208" spans="2:38" x14ac:dyDescent="0.25">
      <c r="B208" s="3"/>
      <c r="C208" s="3"/>
      <c r="H208" s="22"/>
      <c r="M208" s="14"/>
      <c r="N208" s="14"/>
      <c r="O208" s="14"/>
      <c r="P208" s="21"/>
      <c r="Q208" s="21"/>
      <c r="R208" s="21"/>
      <c r="AL208" t="str">
        <f t="shared" si="29"/>
        <v/>
      </c>
    </row>
    <row r="209" spans="2:38" x14ac:dyDescent="0.25">
      <c r="B209" s="3"/>
      <c r="C209" s="3"/>
      <c r="H209" s="22"/>
      <c r="M209" s="14"/>
      <c r="N209" s="14"/>
      <c r="O209" s="14"/>
      <c r="P209" s="21"/>
      <c r="Q209" s="21"/>
      <c r="R209" s="21"/>
      <c r="AL209" t="str">
        <f t="shared" si="29"/>
        <v/>
      </c>
    </row>
    <row r="210" spans="2:38" x14ac:dyDescent="0.25">
      <c r="B210" s="3"/>
      <c r="C210" s="3"/>
      <c r="H210" s="22"/>
      <c r="M210" s="14"/>
      <c r="N210" s="14"/>
      <c r="O210" s="14"/>
      <c r="P210" s="21"/>
      <c r="Q210" s="21"/>
      <c r="R210" s="21"/>
      <c r="AL210" t="str">
        <f t="shared" si="29"/>
        <v/>
      </c>
    </row>
    <row r="211" spans="2:38" x14ac:dyDescent="0.25">
      <c r="B211" s="3"/>
      <c r="C211" s="3"/>
      <c r="H211" s="22"/>
      <c r="M211" s="14"/>
      <c r="N211" s="14"/>
      <c r="O211" s="14"/>
      <c r="P211" s="21"/>
      <c r="Q211" s="21"/>
      <c r="R211" s="21"/>
      <c r="AL211" t="str">
        <f t="shared" si="29"/>
        <v/>
      </c>
    </row>
    <row r="212" spans="2:38" x14ac:dyDescent="0.25">
      <c r="B212" s="3"/>
      <c r="C212" s="3"/>
      <c r="H212" s="22"/>
      <c r="M212" s="14"/>
      <c r="N212" s="14"/>
      <c r="O212" s="14"/>
      <c r="P212" s="21"/>
      <c r="Q212" s="21"/>
      <c r="R212" s="21"/>
      <c r="AL212" t="str">
        <f t="shared" si="29"/>
        <v/>
      </c>
    </row>
    <row r="213" spans="2:38" x14ac:dyDescent="0.25">
      <c r="B213" s="3"/>
      <c r="C213" s="3"/>
      <c r="H213" s="22"/>
      <c r="M213" s="14"/>
      <c r="N213" s="14"/>
      <c r="O213" s="14"/>
      <c r="P213" s="21"/>
      <c r="Q213" s="21"/>
      <c r="R213" s="21"/>
      <c r="AL213" t="str">
        <f t="shared" si="29"/>
        <v/>
      </c>
    </row>
    <row r="214" spans="2:38" x14ac:dyDescent="0.25">
      <c r="B214" s="3"/>
      <c r="C214" s="3"/>
      <c r="H214" s="22"/>
      <c r="M214" s="14"/>
      <c r="N214" s="14"/>
      <c r="O214" s="14"/>
      <c r="P214" s="21"/>
      <c r="Q214" s="21"/>
      <c r="R214" s="21"/>
      <c r="AL214" t="str">
        <f t="shared" si="29"/>
        <v/>
      </c>
    </row>
    <row r="215" spans="2:38" x14ac:dyDescent="0.25">
      <c r="B215" s="3"/>
      <c r="C215" s="3"/>
      <c r="H215" s="22"/>
      <c r="M215" s="14"/>
      <c r="N215" s="14"/>
      <c r="O215" s="14"/>
      <c r="P215" s="21"/>
      <c r="Q215" s="21"/>
      <c r="R215" s="21"/>
      <c r="AL215" t="str">
        <f t="shared" si="29"/>
        <v/>
      </c>
    </row>
    <row r="216" spans="2:38" x14ac:dyDescent="0.25">
      <c r="B216" s="3"/>
      <c r="C216" s="3"/>
      <c r="H216" s="22"/>
      <c r="M216" s="14"/>
      <c r="N216" s="14"/>
      <c r="O216" s="14"/>
      <c r="P216" s="21"/>
      <c r="Q216" s="21"/>
      <c r="R216" s="21"/>
      <c r="AL216" t="str">
        <f t="shared" si="29"/>
        <v/>
      </c>
    </row>
    <row r="217" spans="2:38" x14ac:dyDescent="0.25">
      <c r="B217" s="3"/>
      <c r="C217" s="3"/>
      <c r="H217" s="22"/>
      <c r="M217" s="14"/>
      <c r="N217" s="14"/>
      <c r="O217" s="14"/>
      <c r="P217" s="21"/>
      <c r="Q217" s="21"/>
      <c r="R217" s="21"/>
      <c r="AL217" t="str">
        <f t="shared" si="29"/>
        <v/>
      </c>
    </row>
    <row r="218" spans="2:38" x14ac:dyDescent="0.25">
      <c r="B218" s="3"/>
      <c r="C218" s="3"/>
      <c r="H218" s="22"/>
      <c r="M218" s="14"/>
      <c r="N218" s="14"/>
      <c r="O218" s="14"/>
      <c r="P218" s="21"/>
      <c r="Q218" s="21"/>
      <c r="R218" s="21"/>
      <c r="AL218" t="str">
        <f t="shared" si="29"/>
        <v/>
      </c>
    </row>
    <row r="219" spans="2:38" x14ac:dyDescent="0.25">
      <c r="B219" s="3"/>
      <c r="C219" s="3"/>
      <c r="H219" s="22"/>
      <c r="M219" s="14"/>
      <c r="N219" s="14"/>
      <c r="O219" s="14"/>
      <c r="P219" s="21"/>
      <c r="Q219" s="21"/>
      <c r="R219" s="21"/>
      <c r="AL219" t="str">
        <f t="shared" si="29"/>
        <v/>
      </c>
    </row>
    <row r="220" spans="2:38" x14ac:dyDescent="0.25">
      <c r="B220" s="3"/>
      <c r="C220" s="3"/>
      <c r="H220" s="22"/>
      <c r="M220" s="14"/>
      <c r="N220" s="14"/>
      <c r="O220" s="14"/>
      <c r="P220" s="21"/>
      <c r="Q220" s="21"/>
      <c r="R220" s="21"/>
      <c r="AL220" t="str">
        <f t="shared" si="29"/>
        <v/>
      </c>
    </row>
    <row r="221" spans="2:38" x14ac:dyDescent="0.25">
      <c r="B221" s="3"/>
      <c r="C221" s="3"/>
      <c r="H221" s="22"/>
      <c r="M221" s="14"/>
      <c r="N221" s="14"/>
      <c r="O221" s="14"/>
      <c r="P221" s="21"/>
      <c r="Q221" s="21"/>
      <c r="R221" s="21"/>
      <c r="AL221" t="str">
        <f t="shared" si="29"/>
        <v/>
      </c>
    </row>
    <row r="222" spans="2:38" x14ac:dyDescent="0.25">
      <c r="B222" s="3"/>
      <c r="C222" s="3"/>
      <c r="H222" s="22"/>
      <c r="M222" s="14"/>
      <c r="N222" s="14"/>
      <c r="O222" s="14"/>
      <c r="P222" s="21"/>
      <c r="Q222" s="21"/>
      <c r="R222" s="21"/>
      <c r="AL222" t="str">
        <f t="shared" si="29"/>
        <v/>
      </c>
    </row>
    <row r="223" spans="2:38" x14ac:dyDescent="0.25">
      <c r="B223" s="3"/>
      <c r="C223" s="3"/>
      <c r="H223" s="22"/>
      <c r="M223" s="14"/>
      <c r="N223" s="14"/>
      <c r="O223" s="14"/>
      <c r="P223" s="21"/>
      <c r="Q223" s="21"/>
      <c r="R223" s="21"/>
      <c r="AL223" t="str">
        <f t="shared" si="29"/>
        <v/>
      </c>
    </row>
    <row r="224" spans="2:38" x14ac:dyDescent="0.25">
      <c r="B224" s="3"/>
      <c r="C224" s="3"/>
      <c r="H224" s="22"/>
      <c r="M224" s="14"/>
      <c r="N224" s="14"/>
      <c r="O224" s="14"/>
      <c r="P224" s="21"/>
      <c r="Q224" s="21"/>
      <c r="R224" s="21"/>
      <c r="AL224" t="str">
        <f t="shared" si="29"/>
        <v/>
      </c>
    </row>
    <row r="225" spans="2:38" x14ac:dyDescent="0.25">
      <c r="B225" s="3"/>
      <c r="C225" s="3"/>
      <c r="H225" s="22"/>
      <c r="M225" s="14"/>
      <c r="N225" s="14"/>
      <c r="O225" s="14"/>
      <c r="P225" s="21"/>
      <c r="Q225" s="21"/>
      <c r="R225" s="21"/>
      <c r="AL225" t="str">
        <f t="shared" si="29"/>
        <v/>
      </c>
    </row>
    <row r="226" spans="2:38" x14ac:dyDescent="0.25">
      <c r="B226" s="3"/>
      <c r="C226" s="3"/>
      <c r="H226" s="22"/>
      <c r="M226" s="14"/>
      <c r="N226" s="14"/>
      <c r="O226" s="14"/>
      <c r="P226" s="21"/>
      <c r="Q226" s="21"/>
      <c r="R226" s="21"/>
      <c r="AL226" t="str">
        <f t="shared" si="29"/>
        <v/>
      </c>
    </row>
    <row r="227" spans="2:38" x14ac:dyDescent="0.25">
      <c r="B227" s="3"/>
      <c r="C227" s="3"/>
      <c r="H227" s="22"/>
      <c r="M227" s="14"/>
      <c r="N227" s="14"/>
      <c r="O227" s="14"/>
      <c r="P227" s="21"/>
      <c r="Q227" s="21"/>
      <c r="R227" s="21"/>
      <c r="AL227" t="str">
        <f t="shared" si="29"/>
        <v/>
      </c>
    </row>
    <row r="228" spans="2:38" x14ac:dyDescent="0.25">
      <c r="B228" s="3"/>
      <c r="C228" s="3"/>
      <c r="H228" s="22"/>
      <c r="M228" s="14"/>
      <c r="N228" s="14"/>
      <c r="O228" s="14"/>
      <c r="P228" s="21"/>
      <c r="Q228" s="21"/>
      <c r="R228" s="21"/>
      <c r="AL228" t="str">
        <f t="shared" si="29"/>
        <v/>
      </c>
    </row>
    <row r="229" spans="2:38" x14ac:dyDescent="0.25">
      <c r="B229" s="3"/>
      <c r="C229" s="3"/>
      <c r="H229" s="22"/>
      <c r="M229" s="14"/>
      <c r="N229" s="14"/>
      <c r="O229" s="14"/>
      <c r="P229" s="21"/>
      <c r="Q229" s="21"/>
      <c r="R229" s="21"/>
      <c r="AL229" t="str">
        <f t="shared" si="29"/>
        <v/>
      </c>
    </row>
    <row r="230" spans="2:38" x14ac:dyDescent="0.25">
      <c r="B230" s="3"/>
      <c r="C230" s="3"/>
      <c r="H230" s="22"/>
      <c r="M230" s="14"/>
      <c r="N230" s="14"/>
      <c r="O230" s="14"/>
      <c r="P230" s="21"/>
      <c r="Q230" s="21"/>
      <c r="R230" s="21"/>
      <c r="AL230" t="str">
        <f t="shared" si="29"/>
        <v/>
      </c>
    </row>
    <row r="231" spans="2:38" x14ac:dyDescent="0.25">
      <c r="B231" s="3"/>
      <c r="C231" s="3"/>
      <c r="H231" s="22"/>
      <c r="M231" s="14"/>
      <c r="N231" s="14"/>
      <c r="O231" s="14"/>
      <c r="P231" s="21"/>
      <c r="Q231" s="21"/>
      <c r="R231" s="21"/>
      <c r="AL231" t="str">
        <f t="shared" si="29"/>
        <v/>
      </c>
    </row>
    <row r="232" spans="2:38" x14ac:dyDescent="0.25">
      <c r="B232" s="3"/>
      <c r="C232" s="3"/>
      <c r="H232" s="22"/>
      <c r="M232" s="14"/>
      <c r="N232" s="14"/>
      <c r="O232" s="14"/>
      <c r="P232" s="21"/>
      <c r="Q232" s="21"/>
      <c r="R232" s="21"/>
      <c r="AL232" t="str">
        <f t="shared" si="29"/>
        <v/>
      </c>
    </row>
    <row r="233" spans="2:38" x14ac:dyDescent="0.25">
      <c r="B233" s="3"/>
      <c r="C233" s="3"/>
      <c r="H233" s="22"/>
      <c r="M233" s="14"/>
      <c r="N233" s="14"/>
      <c r="O233" s="14"/>
      <c r="P233" s="21"/>
      <c r="Q233" s="21"/>
      <c r="R233" s="21"/>
      <c r="AL233" t="str">
        <f t="shared" si="29"/>
        <v/>
      </c>
    </row>
    <row r="234" spans="2:38" x14ac:dyDescent="0.25">
      <c r="B234" s="3"/>
      <c r="C234" s="3"/>
      <c r="H234" s="22"/>
      <c r="M234" s="14"/>
      <c r="N234" s="14"/>
      <c r="O234" s="14"/>
      <c r="P234" s="21"/>
      <c r="Q234" s="21"/>
      <c r="R234" s="21"/>
      <c r="AL234" t="str">
        <f t="shared" si="29"/>
        <v/>
      </c>
    </row>
    <row r="235" spans="2:38" x14ac:dyDescent="0.25">
      <c r="B235" s="3"/>
      <c r="C235" s="3"/>
      <c r="H235" s="22"/>
      <c r="M235" s="14"/>
      <c r="N235" s="14"/>
      <c r="O235" s="14"/>
      <c r="P235" s="21"/>
      <c r="Q235" s="21"/>
      <c r="R235" s="21"/>
      <c r="AL235" t="str">
        <f t="shared" si="29"/>
        <v/>
      </c>
    </row>
    <row r="236" spans="2:38" x14ac:dyDescent="0.25">
      <c r="B236" s="3"/>
      <c r="C236" s="3"/>
      <c r="H236" s="22"/>
      <c r="M236" s="14"/>
      <c r="N236" s="14"/>
      <c r="O236" s="14"/>
      <c r="P236" s="21"/>
      <c r="Q236" s="21"/>
      <c r="R236" s="21"/>
      <c r="AL236" t="str">
        <f t="shared" si="29"/>
        <v/>
      </c>
    </row>
    <row r="237" spans="2:38" x14ac:dyDescent="0.25">
      <c r="B237" s="3"/>
      <c r="C237" s="3"/>
      <c r="H237" s="22"/>
      <c r="M237" s="14"/>
      <c r="N237" s="14"/>
      <c r="O237" s="14"/>
      <c r="P237" s="21"/>
      <c r="Q237" s="21"/>
      <c r="R237" s="21"/>
      <c r="AL237" t="str">
        <f t="shared" si="29"/>
        <v/>
      </c>
    </row>
    <row r="238" spans="2:38" x14ac:dyDescent="0.25">
      <c r="B238" s="3"/>
      <c r="C238" s="3"/>
      <c r="H238" s="22"/>
      <c r="M238" s="14"/>
      <c r="N238" s="14"/>
      <c r="O238" s="14"/>
      <c r="P238" s="21"/>
      <c r="Q238" s="21"/>
      <c r="R238" s="21"/>
      <c r="AL238" t="str">
        <f t="shared" si="29"/>
        <v/>
      </c>
    </row>
    <row r="239" spans="2:38" x14ac:dyDescent="0.25">
      <c r="B239" s="3"/>
      <c r="C239" s="3"/>
      <c r="H239" s="22"/>
      <c r="M239" s="14"/>
      <c r="N239" s="14"/>
      <c r="O239" s="14"/>
      <c r="P239" s="21"/>
      <c r="Q239" s="21"/>
      <c r="R239" s="21"/>
      <c r="AL239" t="str">
        <f t="shared" si="29"/>
        <v/>
      </c>
    </row>
    <row r="240" spans="2:38" x14ac:dyDescent="0.25">
      <c r="B240" s="3"/>
      <c r="C240" s="3"/>
      <c r="H240" s="22"/>
      <c r="M240" s="14"/>
      <c r="N240" s="14"/>
      <c r="O240" s="14"/>
      <c r="P240" s="21"/>
      <c r="Q240" s="21"/>
      <c r="R240" s="21"/>
      <c r="AL240" t="str">
        <f t="shared" si="29"/>
        <v/>
      </c>
    </row>
    <row r="241" spans="2:38" x14ac:dyDescent="0.25">
      <c r="B241" s="3"/>
      <c r="C241" s="3"/>
      <c r="H241" s="22"/>
      <c r="M241" s="14"/>
      <c r="N241" s="14"/>
      <c r="O241" s="14"/>
      <c r="P241" s="21"/>
      <c r="Q241" s="21"/>
      <c r="R241" s="21"/>
      <c r="AL241" t="str">
        <f t="shared" si="29"/>
        <v/>
      </c>
    </row>
    <row r="242" spans="2:38" x14ac:dyDescent="0.25">
      <c r="B242" s="3"/>
      <c r="C242" s="3"/>
      <c r="H242" s="22"/>
      <c r="M242" s="14"/>
      <c r="N242" s="14"/>
      <c r="O242" s="14"/>
      <c r="P242" s="21"/>
      <c r="Q242" s="21"/>
      <c r="R242" s="21"/>
      <c r="AL242" t="str">
        <f t="shared" si="29"/>
        <v/>
      </c>
    </row>
    <row r="243" spans="2:38" x14ac:dyDescent="0.25">
      <c r="B243" s="3"/>
      <c r="C243" s="3"/>
      <c r="H243" s="22"/>
      <c r="M243" s="14"/>
      <c r="N243" s="14"/>
      <c r="O243" s="14"/>
      <c r="P243" s="21"/>
      <c r="Q243" s="21"/>
      <c r="R243" s="21"/>
      <c r="AL243" t="str">
        <f t="shared" si="29"/>
        <v/>
      </c>
    </row>
    <row r="244" spans="2:38" x14ac:dyDescent="0.25">
      <c r="B244" s="3"/>
      <c r="C244" s="3"/>
      <c r="H244" s="22"/>
      <c r="M244" s="14"/>
      <c r="N244" s="14"/>
      <c r="O244" s="14"/>
      <c r="P244" s="21"/>
      <c r="Q244" s="21"/>
      <c r="R244" s="21"/>
      <c r="AL244" t="str">
        <f t="shared" ref="AL244:AL306" si="30">IF(AK244 = 0, "", B245)</f>
        <v/>
      </c>
    </row>
    <row r="245" spans="2:38" x14ac:dyDescent="0.25">
      <c r="B245" s="3"/>
      <c r="C245" s="3"/>
      <c r="H245" s="22"/>
      <c r="M245" s="14"/>
      <c r="N245" s="14"/>
      <c r="O245" s="14"/>
      <c r="P245" s="21"/>
      <c r="Q245" s="21"/>
      <c r="R245" s="21"/>
      <c r="AL245" t="str">
        <f t="shared" si="30"/>
        <v/>
      </c>
    </row>
    <row r="246" spans="2:38" x14ac:dyDescent="0.25">
      <c r="B246" s="3"/>
      <c r="C246" s="3"/>
      <c r="H246" s="22"/>
      <c r="M246" s="14"/>
      <c r="N246" s="14"/>
      <c r="O246" s="14"/>
      <c r="P246" s="21"/>
      <c r="Q246" s="21"/>
      <c r="R246" s="21"/>
      <c r="AL246" t="str">
        <f t="shared" si="30"/>
        <v/>
      </c>
    </row>
    <row r="247" spans="2:38" x14ac:dyDescent="0.25">
      <c r="B247" s="3"/>
      <c r="C247" s="3"/>
      <c r="H247" s="22"/>
      <c r="M247" s="14"/>
      <c r="N247" s="14"/>
      <c r="O247" s="14"/>
      <c r="P247" s="21"/>
      <c r="Q247" s="21"/>
      <c r="R247" s="21"/>
      <c r="AL247" t="str">
        <f t="shared" si="30"/>
        <v/>
      </c>
    </row>
    <row r="248" spans="2:38" x14ac:dyDescent="0.25">
      <c r="B248" s="3"/>
      <c r="C248" s="3"/>
      <c r="H248" s="22"/>
      <c r="M248" s="14"/>
      <c r="N248" s="14"/>
      <c r="O248" s="14"/>
      <c r="P248" s="21"/>
      <c r="Q248" s="21"/>
      <c r="R248" s="21"/>
      <c r="AL248" t="str">
        <f t="shared" si="30"/>
        <v/>
      </c>
    </row>
    <row r="249" spans="2:38" x14ac:dyDescent="0.25">
      <c r="B249" s="3"/>
      <c r="C249" s="3"/>
      <c r="H249" s="22"/>
      <c r="M249" s="14"/>
      <c r="N249" s="14"/>
      <c r="O249" s="14"/>
      <c r="P249" s="21"/>
      <c r="Q249" s="21"/>
      <c r="R249" s="21"/>
      <c r="AL249" t="str">
        <f t="shared" si="30"/>
        <v/>
      </c>
    </row>
    <row r="250" spans="2:38" x14ac:dyDescent="0.25">
      <c r="B250" s="3"/>
      <c r="C250" s="3"/>
      <c r="H250" s="22"/>
      <c r="M250" s="14"/>
      <c r="N250" s="14"/>
      <c r="O250" s="14"/>
      <c r="P250" s="21"/>
      <c r="Q250" s="21"/>
      <c r="R250" s="21"/>
      <c r="AL250" t="str">
        <f t="shared" si="30"/>
        <v/>
      </c>
    </row>
    <row r="251" spans="2:38" x14ac:dyDescent="0.25">
      <c r="B251" s="3"/>
      <c r="C251" s="3"/>
      <c r="H251" s="22"/>
      <c r="M251" s="14"/>
      <c r="N251" s="14"/>
      <c r="O251" s="14"/>
      <c r="P251" s="21"/>
      <c r="Q251" s="21"/>
      <c r="R251" s="21"/>
      <c r="AL251" t="str">
        <f t="shared" si="30"/>
        <v/>
      </c>
    </row>
    <row r="252" spans="2:38" x14ac:dyDescent="0.25">
      <c r="B252" s="3"/>
      <c r="C252" s="3"/>
      <c r="H252" s="22"/>
      <c r="M252" s="14"/>
      <c r="N252" s="14"/>
      <c r="O252" s="14"/>
      <c r="P252" s="21"/>
      <c r="Q252" s="21"/>
      <c r="R252" s="21"/>
      <c r="AL252" t="str">
        <f t="shared" si="30"/>
        <v/>
      </c>
    </row>
    <row r="253" spans="2:38" x14ac:dyDescent="0.25">
      <c r="B253" s="3"/>
      <c r="C253" s="3"/>
      <c r="H253" s="22"/>
      <c r="M253" s="14"/>
      <c r="N253" s="14"/>
      <c r="O253" s="14"/>
      <c r="P253" s="21"/>
      <c r="Q253" s="21"/>
      <c r="R253" s="21"/>
      <c r="AL253" t="str">
        <f t="shared" si="30"/>
        <v/>
      </c>
    </row>
    <row r="254" spans="2:38" x14ac:dyDescent="0.25">
      <c r="B254" s="3"/>
      <c r="C254" s="3"/>
      <c r="H254" s="22"/>
      <c r="M254" s="14"/>
      <c r="N254" s="14"/>
      <c r="O254" s="14"/>
      <c r="P254" s="21"/>
      <c r="Q254" s="21"/>
      <c r="R254" s="21"/>
      <c r="AL254" t="str">
        <f t="shared" si="30"/>
        <v/>
      </c>
    </row>
    <row r="255" spans="2:38" x14ac:dyDescent="0.25">
      <c r="B255" s="3"/>
      <c r="C255" s="3"/>
      <c r="H255" s="22"/>
      <c r="M255" s="14"/>
      <c r="N255" s="14"/>
      <c r="O255" s="14"/>
      <c r="P255" s="21"/>
      <c r="Q255" s="21"/>
      <c r="R255" s="21"/>
      <c r="AL255" t="str">
        <f t="shared" si="30"/>
        <v/>
      </c>
    </row>
    <row r="256" spans="2:38" x14ac:dyDescent="0.25">
      <c r="B256" s="3"/>
      <c r="C256" s="3"/>
      <c r="H256" s="22"/>
      <c r="M256" s="14"/>
      <c r="N256" s="14"/>
      <c r="O256" s="14"/>
      <c r="P256" s="21"/>
      <c r="Q256" s="21"/>
      <c r="R256" s="21"/>
      <c r="AL256" t="str">
        <f t="shared" si="30"/>
        <v/>
      </c>
    </row>
    <row r="257" spans="2:38" x14ac:dyDescent="0.25">
      <c r="B257" s="3"/>
      <c r="C257" s="3"/>
      <c r="H257" s="22"/>
      <c r="M257" s="14"/>
      <c r="N257" s="14"/>
      <c r="O257" s="14"/>
      <c r="P257" s="21"/>
      <c r="Q257" s="21"/>
      <c r="R257" s="21"/>
      <c r="AL257" t="str">
        <f t="shared" si="30"/>
        <v/>
      </c>
    </row>
    <row r="258" spans="2:38" x14ac:dyDescent="0.25">
      <c r="B258" s="3"/>
      <c r="C258" s="3"/>
      <c r="H258" s="22"/>
      <c r="M258" s="14"/>
      <c r="N258" s="14"/>
      <c r="O258" s="14"/>
      <c r="P258" s="21"/>
      <c r="Q258" s="21"/>
      <c r="R258" s="21"/>
      <c r="AL258" t="str">
        <f t="shared" si="30"/>
        <v/>
      </c>
    </row>
    <row r="259" spans="2:38" x14ac:dyDescent="0.25">
      <c r="B259" s="3"/>
      <c r="C259" s="3"/>
      <c r="H259" s="22"/>
      <c r="M259" s="14"/>
      <c r="N259" s="14"/>
      <c r="O259" s="14"/>
      <c r="P259" s="21"/>
      <c r="Q259" s="21"/>
      <c r="R259" s="21"/>
      <c r="AL259" t="str">
        <f t="shared" si="30"/>
        <v/>
      </c>
    </row>
    <row r="260" spans="2:38" x14ac:dyDescent="0.25">
      <c r="B260" s="3"/>
      <c r="C260" s="3"/>
      <c r="H260" s="22"/>
      <c r="M260" s="14"/>
      <c r="N260" s="14"/>
      <c r="O260" s="14"/>
      <c r="P260" s="21"/>
      <c r="Q260" s="21"/>
      <c r="R260" s="21"/>
      <c r="AL260" t="str">
        <f t="shared" si="30"/>
        <v/>
      </c>
    </row>
    <row r="261" spans="2:38" x14ac:dyDescent="0.25">
      <c r="B261" s="3"/>
      <c r="C261" s="3"/>
      <c r="H261" s="22"/>
      <c r="M261" s="14"/>
      <c r="N261" s="14"/>
      <c r="O261" s="14"/>
      <c r="P261" s="21"/>
      <c r="Q261" s="21"/>
      <c r="R261" s="21"/>
      <c r="AL261" t="str">
        <f t="shared" si="30"/>
        <v/>
      </c>
    </row>
    <row r="262" spans="2:38" x14ac:dyDescent="0.25">
      <c r="B262" s="3"/>
      <c r="C262" s="3"/>
      <c r="H262" s="22"/>
      <c r="M262" s="14"/>
      <c r="N262" s="14"/>
      <c r="O262" s="14"/>
      <c r="P262" s="21"/>
      <c r="Q262" s="21"/>
      <c r="R262" s="21"/>
      <c r="AL262" t="str">
        <f t="shared" si="30"/>
        <v/>
      </c>
    </row>
    <row r="263" spans="2:38" x14ac:dyDescent="0.25">
      <c r="B263" s="3"/>
      <c r="C263" s="3"/>
      <c r="H263" s="22"/>
      <c r="M263" s="14"/>
      <c r="N263" s="14"/>
      <c r="O263" s="14"/>
      <c r="P263" s="21"/>
      <c r="Q263" s="21"/>
      <c r="R263" s="21"/>
      <c r="AL263" t="str">
        <f t="shared" si="30"/>
        <v/>
      </c>
    </row>
    <row r="264" spans="2:38" x14ac:dyDescent="0.25">
      <c r="B264" s="3"/>
      <c r="C264" s="3"/>
      <c r="H264" s="22"/>
      <c r="M264" s="14"/>
      <c r="N264" s="14"/>
      <c r="O264" s="14"/>
      <c r="P264" s="21"/>
      <c r="Q264" s="21"/>
      <c r="R264" s="21"/>
      <c r="AL264" t="str">
        <f t="shared" si="30"/>
        <v/>
      </c>
    </row>
    <row r="265" spans="2:38" x14ac:dyDescent="0.25">
      <c r="B265" s="3"/>
      <c r="C265" s="3"/>
      <c r="H265" s="22"/>
      <c r="M265" s="14"/>
      <c r="N265" s="14"/>
      <c r="O265" s="14"/>
      <c r="P265" s="21"/>
      <c r="Q265" s="21"/>
      <c r="R265" s="21"/>
      <c r="AL265" t="str">
        <f t="shared" si="30"/>
        <v/>
      </c>
    </row>
    <row r="266" spans="2:38" x14ac:dyDescent="0.25">
      <c r="B266" s="3"/>
      <c r="C266" s="3"/>
      <c r="H266" s="22"/>
      <c r="M266" s="14"/>
      <c r="N266" s="14"/>
      <c r="O266" s="14"/>
      <c r="P266" s="21"/>
      <c r="Q266" s="21"/>
      <c r="R266" s="21"/>
      <c r="AL266" t="str">
        <f t="shared" si="30"/>
        <v/>
      </c>
    </row>
    <row r="267" spans="2:38" x14ac:dyDescent="0.25">
      <c r="B267" s="3"/>
      <c r="C267" s="3"/>
      <c r="H267" s="22"/>
      <c r="M267" s="14"/>
      <c r="N267" s="14"/>
      <c r="O267" s="14"/>
      <c r="P267" s="21"/>
      <c r="Q267" s="21"/>
      <c r="R267" s="21"/>
      <c r="AL267" t="str">
        <f t="shared" si="30"/>
        <v/>
      </c>
    </row>
    <row r="268" spans="2:38" x14ac:dyDescent="0.25">
      <c r="B268" s="3"/>
      <c r="C268" s="3"/>
      <c r="H268" s="22"/>
      <c r="M268" s="14"/>
      <c r="N268" s="14"/>
      <c r="O268" s="14"/>
      <c r="P268" s="21"/>
      <c r="Q268" s="21"/>
      <c r="R268" s="21"/>
      <c r="AL268" t="str">
        <f t="shared" si="30"/>
        <v/>
      </c>
    </row>
    <row r="269" spans="2:38" x14ac:dyDescent="0.25">
      <c r="B269" s="3"/>
      <c r="C269" s="3"/>
      <c r="H269" s="22"/>
      <c r="M269" s="14"/>
      <c r="N269" s="14"/>
      <c r="O269" s="14"/>
      <c r="P269" s="21"/>
      <c r="Q269" s="21"/>
      <c r="R269" s="21"/>
      <c r="AL269" t="str">
        <f t="shared" si="30"/>
        <v/>
      </c>
    </row>
    <row r="270" spans="2:38" x14ac:dyDescent="0.25">
      <c r="B270" s="3"/>
      <c r="C270" s="3"/>
      <c r="H270" s="22"/>
      <c r="M270" s="14"/>
      <c r="N270" s="14"/>
      <c r="O270" s="14"/>
      <c r="P270" s="21"/>
      <c r="Q270" s="21"/>
      <c r="R270" s="21"/>
      <c r="AL270" t="str">
        <f t="shared" si="30"/>
        <v/>
      </c>
    </row>
    <row r="271" spans="2:38" x14ac:dyDescent="0.25">
      <c r="B271" s="3"/>
      <c r="C271" s="3"/>
      <c r="H271" s="22"/>
      <c r="M271" s="14"/>
      <c r="N271" s="14"/>
      <c r="O271" s="14"/>
      <c r="P271" s="21"/>
      <c r="Q271" s="21"/>
      <c r="R271" s="21"/>
      <c r="AL271" t="str">
        <f t="shared" si="30"/>
        <v/>
      </c>
    </row>
    <row r="272" spans="2:38" x14ac:dyDescent="0.25">
      <c r="B272" s="3"/>
      <c r="C272" s="3"/>
      <c r="H272" s="22"/>
      <c r="M272" s="14"/>
      <c r="N272" s="14"/>
      <c r="O272" s="14"/>
      <c r="P272" s="21"/>
      <c r="Q272" s="21"/>
      <c r="R272" s="21"/>
      <c r="AL272" t="str">
        <f t="shared" si="30"/>
        <v/>
      </c>
    </row>
    <row r="273" spans="2:38" x14ac:dyDescent="0.25">
      <c r="B273" s="3"/>
      <c r="C273" s="3"/>
      <c r="H273" s="22"/>
      <c r="M273" s="14"/>
      <c r="N273" s="14"/>
      <c r="O273" s="14"/>
      <c r="P273" s="21"/>
      <c r="Q273" s="21"/>
      <c r="R273" s="21"/>
      <c r="AL273" t="str">
        <f t="shared" si="30"/>
        <v/>
      </c>
    </row>
    <row r="274" spans="2:38" x14ac:dyDescent="0.25">
      <c r="B274" s="3"/>
      <c r="C274" s="3"/>
      <c r="H274" s="22"/>
      <c r="M274" s="14"/>
      <c r="N274" s="14"/>
      <c r="O274" s="14"/>
      <c r="P274" s="21"/>
      <c r="Q274" s="21"/>
      <c r="R274" s="21"/>
      <c r="AL274" t="str">
        <f t="shared" si="30"/>
        <v/>
      </c>
    </row>
    <row r="275" spans="2:38" x14ac:dyDescent="0.25">
      <c r="B275" s="3"/>
      <c r="C275" s="3"/>
      <c r="H275" s="22"/>
      <c r="M275" s="14"/>
      <c r="N275" s="14"/>
      <c r="O275" s="14"/>
      <c r="P275" s="21"/>
      <c r="Q275" s="21"/>
      <c r="R275" s="21"/>
      <c r="AL275" t="str">
        <f t="shared" si="30"/>
        <v/>
      </c>
    </row>
    <row r="276" spans="2:38" x14ac:dyDescent="0.25">
      <c r="B276" s="3"/>
      <c r="C276" s="3"/>
      <c r="H276" s="22"/>
      <c r="M276" s="14"/>
      <c r="N276" s="14"/>
      <c r="O276" s="14"/>
      <c r="P276" s="21"/>
      <c r="Q276" s="21"/>
      <c r="R276" s="21"/>
      <c r="AL276" t="str">
        <f t="shared" si="30"/>
        <v/>
      </c>
    </row>
    <row r="277" spans="2:38" x14ac:dyDescent="0.25">
      <c r="B277" s="3"/>
      <c r="C277" s="3"/>
      <c r="H277" s="22"/>
      <c r="M277" s="14"/>
      <c r="N277" s="14"/>
      <c r="O277" s="14"/>
      <c r="P277" s="21"/>
      <c r="Q277" s="21"/>
      <c r="R277" s="21"/>
      <c r="AL277" t="str">
        <f t="shared" si="30"/>
        <v/>
      </c>
    </row>
    <row r="278" spans="2:38" x14ac:dyDescent="0.25">
      <c r="B278" s="3"/>
      <c r="C278" s="3"/>
      <c r="H278" s="22"/>
      <c r="M278" s="14"/>
      <c r="N278" s="14"/>
      <c r="O278" s="14"/>
      <c r="P278" s="21"/>
      <c r="Q278" s="21"/>
      <c r="R278" s="21"/>
      <c r="AL278" t="str">
        <f t="shared" si="30"/>
        <v/>
      </c>
    </row>
    <row r="279" spans="2:38" x14ac:dyDescent="0.25">
      <c r="B279" s="3"/>
      <c r="C279" s="3"/>
      <c r="H279" s="22"/>
      <c r="M279" s="14"/>
      <c r="N279" s="14"/>
      <c r="O279" s="14"/>
      <c r="P279" s="21"/>
      <c r="Q279" s="21"/>
      <c r="R279" s="21"/>
      <c r="AL279" t="str">
        <f t="shared" si="30"/>
        <v/>
      </c>
    </row>
    <row r="280" spans="2:38" x14ac:dyDescent="0.25">
      <c r="B280" s="3"/>
      <c r="C280" s="3"/>
      <c r="H280" s="22"/>
      <c r="M280" s="14"/>
      <c r="N280" s="14"/>
      <c r="O280" s="14"/>
      <c r="P280" s="21"/>
      <c r="Q280" s="21"/>
      <c r="R280" s="21"/>
      <c r="AL280" t="str">
        <f t="shared" si="30"/>
        <v/>
      </c>
    </row>
    <row r="281" spans="2:38" x14ac:dyDescent="0.25">
      <c r="B281" s="3"/>
      <c r="C281" s="3"/>
      <c r="H281" s="22"/>
      <c r="M281" s="14"/>
      <c r="N281" s="14"/>
      <c r="O281" s="14"/>
      <c r="P281" s="21"/>
      <c r="Q281" s="21"/>
      <c r="R281" s="21"/>
      <c r="AL281" t="str">
        <f t="shared" si="30"/>
        <v/>
      </c>
    </row>
    <row r="282" spans="2:38" x14ac:dyDescent="0.25">
      <c r="B282" s="3"/>
      <c r="C282" s="3"/>
      <c r="H282" s="22"/>
      <c r="M282" s="14"/>
      <c r="N282" s="14"/>
      <c r="O282" s="14"/>
      <c r="P282" s="21"/>
      <c r="Q282" s="21"/>
      <c r="R282" s="21"/>
      <c r="AL282" t="str">
        <f t="shared" si="30"/>
        <v/>
      </c>
    </row>
    <row r="283" spans="2:38" x14ac:dyDescent="0.25">
      <c r="B283" s="3"/>
      <c r="C283" s="3"/>
      <c r="H283" s="22"/>
      <c r="M283" s="14"/>
      <c r="N283" s="14"/>
      <c r="O283" s="14"/>
      <c r="P283" s="21"/>
      <c r="Q283" s="21"/>
      <c r="R283" s="21"/>
      <c r="AL283" t="str">
        <f t="shared" si="30"/>
        <v/>
      </c>
    </row>
    <row r="284" spans="2:38" x14ac:dyDescent="0.25">
      <c r="B284" s="3"/>
      <c r="C284" s="3"/>
      <c r="H284" s="22"/>
      <c r="M284" s="14"/>
      <c r="N284" s="14"/>
      <c r="O284" s="14"/>
      <c r="P284" s="21"/>
      <c r="Q284" s="21"/>
      <c r="R284" s="21"/>
      <c r="AL284" t="str">
        <f t="shared" si="30"/>
        <v/>
      </c>
    </row>
    <row r="285" spans="2:38" x14ac:dyDescent="0.25">
      <c r="B285" s="3"/>
      <c r="C285" s="3"/>
      <c r="H285" s="22"/>
      <c r="M285" s="14"/>
      <c r="N285" s="14"/>
      <c r="O285" s="14"/>
      <c r="P285" s="21"/>
      <c r="Q285" s="21"/>
      <c r="R285" s="21"/>
      <c r="AL285" t="str">
        <f t="shared" si="30"/>
        <v/>
      </c>
    </row>
    <row r="286" spans="2:38" x14ac:dyDescent="0.25">
      <c r="B286" s="3"/>
      <c r="C286" s="3"/>
      <c r="H286" s="22"/>
      <c r="M286" s="14"/>
      <c r="N286" s="14"/>
      <c r="O286" s="14"/>
      <c r="P286" s="21"/>
      <c r="Q286" s="21"/>
      <c r="R286" s="21"/>
      <c r="AL286" t="str">
        <f t="shared" si="30"/>
        <v/>
      </c>
    </row>
    <row r="287" spans="2:38" x14ac:dyDescent="0.25">
      <c r="B287" s="3"/>
      <c r="C287" s="3"/>
      <c r="H287" s="22"/>
      <c r="M287" s="14"/>
      <c r="N287" s="14"/>
      <c r="O287" s="14"/>
      <c r="P287" s="21"/>
      <c r="Q287" s="21"/>
      <c r="R287" s="21"/>
      <c r="AL287" t="str">
        <f t="shared" si="30"/>
        <v/>
      </c>
    </row>
    <row r="288" spans="2:38" x14ac:dyDescent="0.25">
      <c r="B288" s="3"/>
      <c r="C288" s="3"/>
      <c r="H288" s="22"/>
      <c r="M288" s="14"/>
      <c r="N288" s="14"/>
      <c r="O288" s="14"/>
      <c r="P288" s="21"/>
      <c r="Q288" s="21"/>
      <c r="R288" s="21"/>
      <c r="AL288" t="str">
        <f t="shared" si="30"/>
        <v/>
      </c>
    </row>
    <row r="289" spans="2:38" x14ac:dyDescent="0.25">
      <c r="B289" s="3"/>
      <c r="C289" s="3"/>
      <c r="H289" s="22"/>
      <c r="M289" s="14"/>
      <c r="N289" s="14"/>
      <c r="O289" s="14"/>
      <c r="P289" s="21"/>
      <c r="Q289" s="21"/>
      <c r="R289" s="21"/>
      <c r="AL289" t="str">
        <f t="shared" si="30"/>
        <v/>
      </c>
    </row>
    <row r="290" spans="2:38" x14ac:dyDescent="0.25">
      <c r="B290" s="3"/>
      <c r="C290" s="3"/>
      <c r="H290" s="22"/>
      <c r="M290" s="14"/>
      <c r="N290" s="14"/>
      <c r="O290" s="14"/>
      <c r="P290" s="21"/>
      <c r="Q290" s="21"/>
      <c r="R290" s="21"/>
      <c r="AL290" t="str">
        <f t="shared" si="30"/>
        <v/>
      </c>
    </row>
    <row r="291" spans="2:38" x14ac:dyDescent="0.25">
      <c r="B291" s="3"/>
      <c r="C291" s="3"/>
      <c r="H291" s="22"/>
      <c r="M291" s="14"/>
      <c r="N291" s="14"/>
      <c r="O291" s="14"/>
      <c r="P291" s="21"/>
      <c r="Q291" s="21"/>
      <c r="R291" s="21"/>
      <c r="AL291" t="str">
        <f t="shared" si="30"/>
        <v/>
      </c>
    </row>
    <row r="292" spans="2:38" x14ac:dyDescent="0.25">
      <c r="B292" s="3"/>
      <c r="C292" s="3"/>
      <c r="H292" s="22"/>
      <c r="M292" s="14"/>
      <c r="N292" s="14"/>
      <c r="O292" s="14"/>
      <c r="P292" s="21"/>
      <c r="Q292" s="21"/>
      <c r="R292" s="21"/>
      <c r="AL292" t="str">
        <f t="shared" si="30"/>
        <v/>
      </c>
    </row>
    <row r="293" spans="2:38" x14ac:dyDescent="0.25">
      <c r="B293" s="3"/>
      <c r="C293" s="3"/>
      <c r="H293" s="22"/>
      <c r="M293" s="14"/>
      <c r="N293" s="14"/>
      <c r="O293" s="14"/>
      <c r="P293" s="21"/>
      <c r="Q293" s="21"/>
      <c r="R293" s="21"/>
      <c r="AL293" t="str">
        <f t="shared" si="30"/>
        <v/>
      </c>
    </row>
    <row r="294" spans="2:38" x14ac:dyDescent="0.25">
      <c r="B294" s="3"/>
      <c r="C294" s="3"/>
      <c r="H294" s="22"/>
      <c r="M294" s="14"/>
      <c r="N294" s="14"/>
      <c r="O294" s="14"/>
      <c r="P294" s="21"/>
      <c r="Q294" s="21"/>
      <c r="R294" s="21"/>
      <c r="AL294" t="str">
        <f t="shared" si="30"/>
        <v/>
      </c>
    </row>
    <row r="295" spans="2:38" x14ac:dyDescent="0.25">
      <c r="B295" s="3"/>
      <c r="C295" s="3"/>
      <c r="H295" s="22"/>
      <c r="M295" s="14"/>
      <c r="N295" s="14"/>
      <c r="O295" s="14"/>
      <c r="P295" s="21"/>
      <c r="Q295" s="21"/>
      <c r="R295" s="21"/>
      <c r="AL295" t="str">
        <f t="shared" si="30"/>
        <v/>
      </c>
    </row>
    <row r="296" spans="2:38" x14ac:dyDescent="0.25">
      <c r="B296" s="3"/>
      <c r="C296" s="3"/>
      <c r="H296" s="22"/>
      <c r="M296" s="14"/>
      <c r="N296" s="14"/>
      <c r="O296" s="14"/>
      <c r="P296" s="21"/>
      <c r="Q296" s="21"/>
      <c r="R296" s="21"/>
      <c r="AL296" t="str">
        <f t="shared" si="30"/>
        <v/>
      </c>
    </row>
    <row r="297" spans="2:38" x14ac:dyDescent="0.25">
      <c r="B297" s="3"/>
      <c r="C297" s="3"/>
      <c r="H297" s="22"/>
      <c r="M297" s="14"/>
      <c r="N297" s="14"/>
      <c r="O297" s="14"/>
      <c r="P297" s="21"/>
      <c r="Q297" s="21"/>
      <c r="R297" s="21"/>
      <c r="AL297" t="str">
        <f t="shared" si="30"/>
        <v/>
      </c>
    </row>
    <row r="298" spans="2:38" x14ac:dyDescent="0.25">
      <c r="B298" s="3"/>
      <c r="C298" s="3"/>
      <c r="H298" s="22"/>
      <c r="M298" s="14"/>
      <c r="N298" s="14"/>
      <c r="O298" s="14"/>
      <c r="P298" s="21"/>
      <c r="Q298" s="21"/>
      <c r="R298" s="21"/>
      <c r="AL298" t="str">
        <f t="shared" si="30"/>
        <v/>
      </c>
    </row>
    <row r="299" spans="2:38" x14ac:dyDescent="0.25">
      <c r="B299" s="3"/>
      <c r="C299" s="3"/>
      <c r="H299" s="22"/>
      <c r="M299" s="14"/>
      <c r="N299" s="14"/>
      <c r="O299" s="14"/>
      <c r="P299" s="21"/>
      <c r="Q299" s="21"/>
      <c r="R299" s="21"/>
      <c r="AL299" t="str">
        <f t="shared" si="30"/>
        <v/>
      </c>
    </row>
    <row r="300" spans="2:38" x14ac:dyDescent="0.25">
      <c r="B300" s="3"/>
      <c r="C300" s="3"/>
      <c r="H300" s="22"/>
      <c r="M300" s="14"/>
      <c r="N300" s="14"/>
      <c r="O300" s="14"/>
      <c r="P300" s="21"/>
      <c r="Q300" s="21"/>
      <c r="R300" s="21"/>
      <c r="AL300" t="str">
        <f t="shared" si="30"/>
        <v/>
      </c>
    </row>
    <row r="301" spans="2:38" x14ac:dyDescent="0.25">
      <c r="B301" s="3"/>
      <c r="C301" s="3"/>
      <c r="H301" s="22"/>
      <c r="M301" s="14"/>
      <c r="N301" s="14"/>
      <c r="O301" s="14"/>
      <c r="P301" s="21"/>
      <c r="Q301" s="21"/>
      <c r="R301" s="21"/>
      <c r="AL301" t="str">
        <f t="shared" si="30"/>
        <v/>
      </c>
    </row>
    <row r="302" spans="2:38" x14ac:dyDescent="0.25">
      <c r="B302" s="3"/>
      <c r="C302" s="3"/>
      <c r="H302" s="22"/>
      <c r="M302" s="14"/>
      <c r="N302" s="14"/>
      <c r="O302" s="14"/>
      <c r="P302" s="21"/>
      <c r="Q302" s="21"/>
      <c r="R302" s="21"/>
      <c r="AL302" t="str">
        <f t="shared" si="30"/>
        <v/>
      </c>
    </row>
    <row r="303" spans="2:38" x14ac:dyDescent="0.25">
      <c r="B303" s="3"/>
      <c r="C303" s="3"/>
      <c r="H303" s="22"/>
      <c r="M303" s="14"/>
      <c r="N303" s="14"/>
      <c r="O303" s="14"/>
      <c r="P303" s="21"/>
      <c r="Q303" s="21"/>
      <c r="R303" s="21"/>
      <c r="AL303" t="str">
        <f t="shared" si="30"/>
        <v/>
      </c>
    </row>
    <row r="304" spans="2:38" x14ac:dyDescent="0.25">
      <c r="B304" s="3"/>
      <c r="C304" s="3"/>
      <c r="H304" s="22"/>
      <c r="M304" s="14"/>
      <c r="N304" s="14"/>
      <c r="O304" s="14"/>
      <c r="P304" s="21"/>
      <c r="Q304" s="21"/>
      <c r="R304" s="21"/>
      <c r="AL304" t="str">
        <f t="shared" si="30"/>
        <v/>
      </c>
    </row>
    <row r="305" spans="2:38" x14ac:dyDescent="0.25">
      <c r="B305" s="3"/>
      <c r="C305" s="3"/>
      <c r="H305" s="22"/>
      <c r="M305" s="14"/>
      <c r="N305" s="14"/>
      <c r="O305" s="14"/>
      <c r="P305" s="21"/>
      <c r="Q305" s="21"/>
      <c r="R305" s="21"/>
      <c r="AL305" t="str">
        <f t="shared" si="30"/>
        <v/>
      </c>
    </row>
    <row r="306" spans="2:38" x14ac:dyDescent="0.25">
      <c r="B306" s="3"/>
      <c r="C306" s="3"/>
      <c r="H306" s="22"/>
      <c r="M306" s="14"/>
      <c r="N306" s="14"/>
      <c r="O306" s="14"/>
      <c r="P306" s="21"/>
      <c r="Q306" s="21"/>
      <c r="R306" s="21"/>
      <c r="AL306" t="str">
        <f t="shared" si="30"/>
        <v/>
      </c>
    </row>
    <row r="307" spans="2:38" x14ac:dyDescent="0.25">
      <c r="B307" s="3"/>
      <c r="C307" s="3"/>
    </row>
    <row r="308" spans="2:38" x14ac:dyDescent="0.25">
      <c r="B308" s="3"/>
      <c r="C308" s="3"/>
    </row>
    <row r="309" spans="2:38" x14ac:dyDescent="0.25">
      <c r="B309" s="3"/>
      <c r="C309" s="3"/>
    </row>
    <row r="310" spans="2:38" x14ac:dyDescent="0.25">
      <c r="B310" s="3"/>
      <c r="C310" s="3"/>
    </row>
    <row r="311" spans="2:38" x14ac:dyDescent="0.25">
      <c r="B311" s="3"/>
      <c r="C311" s="3"/>
    </row>
    <row r="312" spans="2:38" x14ac:dyDescent="0.25">
      <c r="B312" s="3"/>
      <c r="C312" s="3"/>
    </row>
    <row r="313" spans="2:38" x14ac:dyDescent="0.25">
      <c r="B313" s="3"/>
      <c r="C313" s="3"/>
    </row>
    <row r="314" spans="2:38" x14ac:dyDescent="0.25">
      <c r="B314" s="3"/>
      <c r="C314" s="3"/>
    </row>
    <row r="315" spans="2:38" x14ac:dyDescent="0.25">
      <c r="B315" s="3"/>
      <c r="C315" s="3"/>
    </row>
    <row r="316" spans="2:38" x14ac:dyDescent="0.25">
      <c r="B316" s="3"/>
      <c r="C316" s="3"/>
    </row>
    <row r="317" spans="2:38" x14ac:dyDescent="0.25">
      <c r="B317" s="3"/>
      <c r="C317" s="3"/>
    </row>
    <row r="318" spans="2:38" x14ac:dyDescent="0.25">
      <c r="B318" s="3"/>
      <c r="C318" s="3"/>
    </row>
    <row r="319" spans="2:38" x14ac:dyDescent="0.25">
      <c r="B319" s="3"/>
      <c r="C319" s="3"/>
    </row>
    <row r="320" spans="2:38" x14ac:dyDescent="0.25">
      <c r="B320" s="3"/>
      <c r="C320" s="3"/>
    </row>
    <row r="321" spans="2:3" x14ac:dyDescent="0.25">
      <c r="B321" s="3"/>
      <c r="C321" s="3"/>
    </row>
    <row r="322" spans="2:3" x14ac:dyDescent="0.25">
      <c r="B322" s="3"/>
      <c r="C322" s="3"/>
    </row>
    <row r="323" spans="2:3" x14ac:dyDescent="0.25">
      <c r="B323" s="3"/>
      <c r="C323" s="3"/>
    </row>
    <row r="324" spans="2:3" x14ac:dyDescent="0.25">
      <c r="B324" s="3"/>
      <c r="C324" s="3"/>
    </row>
    <row r="325" spans="2:3" x14ac:dyDescent="0.25">
      <c r="B325" s="3"/>
      <c r="C325" s="3"/>
    </row>
    <row r="326" spans="2:3" x14ac:dyDescent="0.25">
      <c r="B326" s="3"/>
      <c r="C326" s="3"/>
    </row>
    <row r="327" spans="2:3" x14ac:dyDescent="0.25">
      <c r="B327" s="3"/>
      <c r="C327" s="3"/>
    </row>
    <row r="328" spans="2:3" x14ac:dyDescent="0.25">
      <c r="B328" s="3"/>
      <c r="C328" s="3"/>
    </row>
    <row r="329" spans="2:3" x14ac:dyDescent="0.25">
      <c r="B329" s="3"/>
      <c r="C329" s="3"/>
    </row>
    <row r="330" spans="2:3" x14ac:dyDescent="0.25">
      <c r="B330" s="3"/>
      <c r="C330" s="3"/>
    </row>
    <row r="331" spans="2:3" x14ac:dyDescent="0.25">
      <c r="B331" s="3"/>
      <c r="C331" s="3"/>
    </row>
    <row r="332" spans="2:3" x14ac:dyDescent="0.25">
      <c r="B332" s="3"/>
      <c r="C332" s="3"/>
    </row>
    <row r="333" spans="2:3" x14ac:dyDescent="0.25">
      <c r="B333" s="3"/>
      <c r="C333" s="3"/>
    </row>
    <row r="334" spans="2:3" x14ac:dyDescent="0.25">
      <c r="B334" s="3"/>
      <c r="C334" s="3"/>
    </row>
    <row r="335" spans="2:3" x14ac:dyDescent="0.25">
      <c r="B335" s="3"/>
      <c r="C335" s="3"/>
    </row>
    <row r="336" spans="2:3" x14ac:dyDescent="0.25">
      <c r="B336" s="3"/>
      <c r="C336" s="3"/>
    </row>
    <row r="337" spans="2:3" x14ac:dyDescent="0.25">
      <c r="B337" s="3"/>
      <c r="C337" s="3"/>
    </row>
    <row r="338" spans="2:3" x14ac:dyDescent="0.25">
      <c r="B338" s="3"/>
      <c r="C338" s="3"/>
    </row>
    <row r="339" spans="2:3" x14ac:dyDescent="0.25">
      <c r="B339" s="3"/>
      <c r="C339" s="3"/>
    </row>
    <row r="340" spans="2:3" x14ac:dyDescent="0.25">
      <c r="B340" s="3"/>
      <c r="C340" s="3"/>
    </row>
    <row r="341" spans="2:3" x14ac:dyDescent="0.25">
      <c r="B341" s="3"/>
      <c r="C341" s="3"/>
    </row>
    <row r="342" spans="2:3" x14ac:dyDescent="0.25">
      <c r="B342" s="3"/>
      <c r="C342" s="3"/>
    </row>
    <row r="343" spans="2:3" x14ac:dyDescent="0.25">
      <c r="B343" s="3"/>
      <c r="C343" s="3"/>
    </row>
    <row r="344" spans="2:3" x14ac:dyDescent="0.25">
      <c r="B344" s="3"/>
      <c r="C344" s="3"/>
    </row>
    <row r="345" spans="2:3" x14ac:dyDescent="0.25">
      <c r="B345" s="3"/>
      <c r="C345" s="3"/>
    </row>
    <row r="346" spans="2:3" x14ac:dyDescent="0.25">
      <c r="B346" s="3"/>
      <c r="C346" s="3"/>
    </row>
    <row r="347" spans="2:3" x14ac:dyDescent="0.25">
      <c r="B347" s="3"/>
      <c r="C347" s="3"/>
    </row>
    <row r="348" spans="2:3" x14ac:dyDescent="0.25">
      <c r="B348" s="3"/>
      <c r="C348" s="3"/>
    </row>
    <row r="349" spans="2:3" x14ac:dyDescent="0.25">
      <c r="B349" s="3"/>
      <c r="C349" s="3"/>
    </row>
    <row r="350" spans="2:3" x14ac:dyDescent="0.25">
      <c r="B350" s="3"/>
      <c r="C350" s="3"/>
    </row>
    <row r="351" spans="2:3" x14ac:dyDescent="0.25">
      <c r="B351" s="3"/>
      <c r="C351" s="3"/>
    </row>
    <row r="352" spans="2:3" x14ac:dyDescent="0.25">
      <c r="B352" s="3"/>
      <c r="C352" s="3"/>
    </row>
    <row r="353" spans="2:3" x14ac:dyDescent="0.25">
      <c r="B353" s="3"/>
      <c r="C353" s="3"/>
    </row>
    <row r="354" spans="2:3" x14ac:dyDescent="0.25">
      <c r="B354" s="3"/>
      <c r="C354" s="3"/>
    </row>
    <row r="355" spans="2:3" x14ac:dyDescent="0.25">
      <c r="B355" s="3"/>
      <c r="C355" s="3"/>
    </row>
    <row r="356" spans="2:3" x14ac:dyDescent="0.25">
      <c r="B356" s="3"/>
      <c r="C356" s="3"/>
    </row>
    <row r="357" spans="2:3" x14ac:dyDescent="0.25">
      <c r="B357" s="3"/>
      <c r="C357" s="3"/>
    </row>
    <row r="358" spans="2:3" x14ac:dyDescent="0.25">
      <c r="B358" s="3"/>
      <c r="C358" s="3"/>
    </row>
    <row r="359" spans="2:3" x14ac:dyDescent="0.25">
      <c r="B359" s="3"/>
      <c r="C359" s="3"/>
    </row>
    <row r="360" spans="2:3" x14ac:dyDescent="0.25">
      <c r="B360" s="3"/>
      <c r="C360" s="3"/>
    </row>
    <row r="361" spans="2:3" x14ac:dyDescent="0.25">
      <c r="B361" s="3"/>
      <c r="C361" s="3"/>
    </row>
    <row r="362" spans="2:3" x14ac:dyDescent="0.25">
      <c r="B362" s="3"/>
      <c r="C362" s="3"/>
    </row>
    <row r="363" spans="2:3" x14ac:dyDescent="0.25">
      <c r="B363" s="3"/>
      <c r="C363" s="3"/>
    </row>
  </sheetData>
  <mergeCells count="8">
    <mergeCell ref="A10:B10"/>
    <mergeCell ref="D10:E10"/>
    <mergeCell ref="Z10:AG10"/>
    <mergeCell ref="R10:Y10"/>
    <mergeCell ref="F10:G10"/>
    <mergeCell ref="H10:J10"/>
    <mergeCell ref="L10:N10"/>
    <mergeCell ref="O10:Q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2nduser</dc:creator>
  <cp:lastModifiedBy>Patrick Fitzgibbon</cp:lastModifiedBy>
  <dcterms:created xsi:type="dcterms:W3CDTF">2018-11-11T21:41:50Z</dcterms:created>
  <dcterms:modified xsi:type="dcterms:W3CDTF">2020-01-25T23:55:15Z</dcterms:modified>
</cp:coreProperties>
</file>