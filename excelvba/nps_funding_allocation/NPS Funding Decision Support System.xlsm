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2nduser\Documents\capstone\Capstone\"/>
    </mc:Choice>
  </mc:AlternateContent>
  <xr:revisionPtr revIDLastSave="0" documentId="13_ncr:1_{4A992FE7-3C86-4E73-9963-54179EEB542D}" xr6:coauthVersionLast="36" xr6:coauthVersionMax="36" xr10:uidLastSave="{00000000-0000-0000-0000-000000000000}"/>
  <bookViews>
    <workbookView xWindow="0" yWindow="0" windowWidth="28800" windowHeight="12225" tabRatio="781" xr2:uid="{00000000-000D-0000-FFFF-FFFF00000000}"/>
  </bookViews>
  <sheets>
    <sheet name="Input Screen" sheetId="1" r:id="rId1"/>
    <sheet name="SurveyResults" sheetId="4" state="hidden" r:id="rId2"/>
    <sheet name="CR_Calculation" sheetId="5" state="hidden" r:id="rId3"/>
    <sheet name="Topsis LP Auto" sheetId="3" state="hidden" r:id="rId4"/>
    <sheet name="Results" sheetId="6" state="hidden" r:id="rId5"/>
    <sheet name="Pivot CDM" sheetId="7" state="hidden" r:id="rId6"/>
    <sheet name="Pivot DM " sheetId="9" state="hidden" r:id="rId7"/>
    <sheet name="Pivot Map" sheetId="10" state="hidden" r:id="rId8"/>
    <sheet name="Dashboard" sheetId="8" r:id="rId9"/>
  </sheets>
  <externalReferences>
    <externalReference r:id="rId10"/>
  </externalReferences>
  <definedNames>
    <definedName name="_xlnm._FilterDatabase" localSheetId="8" hidden="1">Dashboard!$A$15:$E$116</definedName>
    <definedName name="_xlchart.v5.0" hidden="1">'Pivot Map'!$A$3</definedName>
    <definedName name="_xlchart.v5.1" hidden="1">'Pivot Map'!$A$4:$A$31</definedName>
    <definedName name="_xlchart.v5.2" hidden="1">'Pivot Map'!$B$3</definedName>
    <definedName name="_xlchart.v5.3" hidden="1">'Pivot Map'!$B$4:$B$31</definedName>
    <definedName name="Slicer_Park_Names">#N/A</definedName>
    <definedName name="Slicer_State">#N/A</definedName>
    <definedName name="solver_adj" localSheetId="0" hidden="1">'Input Screen'!$B$10:$C$109</definedName>
    <definedName name="solver_adj" localSheetId="3" hidden="1">'Topsis LP Auto'!$B$10:$C$109</definedName>
    <definedName name="solver_cvg" localSheetId="0" hidden="1">0.0001</definedName>
    <definedName name="solver_cvg" localSheetId="3" hidden="1">0.0001</definedName>
    <definedName name="solver_drv" localSheetId="0" hidden="1">2</definedName>
    <definedName name="solver_drv" localSheetId="3" hidden="1">2</definedName>
    <definedName name="solver_eng" localSheetId="0" hidden="1">2</definedName>
    <definedName name="solver_eng" localSheetId="3" hidden="1">2</definedName>
    <definedName name="solver_est" localSheetId="3" hidden="1">1</definedName>
    <definedName name="solver_itr" localSheetId="0" hidden="1">2147483647</definedName>
    <definedName name="solver_itr" localSheetId="3" hidden="1">2147483647</definedName>
    <definedName name="solver_lhs1" localSheetId="0" hidden="1">'Input Screen'!$B$10:$C$109</definedName>
    <definedName name="solver_lhs1" localSheetId="3" hidden="1">'Topsis LP Auto'!$B$10:$C$109</definedName>
    <definedName name="solver_lhs2" localSheetId="0" hidden="1">'Input Screen'!$B$10:$B$109</definedName>
    <definedName name="solver_lhs2" localSheetId="3" hidden="1">'Topsis LP Auto'!$B$10:$B$109</definedName>
    <definedName name="solver_lhs3" localSheetId="0" hidden="1">'Input Screen'!$B$10:$C$109</definedName>
    <definedName name="solver_lhs3" localSheetId="3" hidden="1">'Topsis LP Auto'!$B$10:$C$109</definedName>
    <definedName name="solver_lhs4" localSheetId="0" hidden="1">'Input Screen'!$D$10:$D$109</definedName>
    <definedName name="solver_lhs4" localSheetId="3" hidden="1">'Topsis LP Auto'!$D$10:$D$109</definedName>
    <definedName name="solver_lhs5" localSheetId="0" hidden="1">'Input Screen'!$K$4</definedName>
    <definedName name="solver_lhs5" localSheetId="3" hidden="1">'Topsis LP Auto'!$K$4</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0" hidden="1">1</definedName>
    <definedName name="solver_neg" localSheetId="3" hidden="1">1</definedName>
    <definedName name="solver_nod" localSheetId="3" hidden="1">2147483647</definedName>
    <definedName name="solver_num" localSheetId="0" hidden="1">5</definedName>
    <definedName name="solver_num" localSheetId="3" hidden="1">5</definedName>
    <definedName name="solver_nwt" localSheetId="3" hidden="1">1</definedName>
    <definedName name="solver_opt" localSheetId="0" hidden="1">'Input Screen'!$D$5</definedName>
    <definedName name="solver_opt" localSheetId="3" hidden="1">'Topsis LP Auto'!$D$5</definedName>
    <definedName name="solver_pre" localSheetId="0" hidden="1">0.000001</definedName>
    <definedName name="solver_pre" localSheetId="3" hidden="1">0.000001</definedName>
    <definedName name="solver_rbv" localSheetId="3" hidden="1">2</definedName>
    <definedName name="solver_rel1" localSheetId="0" hidden="1">4</definedName>
    <definedName name="solver_rel1" localSheetId="3" hidden="1">4</definedName>
    <definedName name="solver_rel2" localSheetId="0" hidden="1">1</definedName>
    <definedName name="solver_rel2" localSheetId="3" hidden="1">1</definedName>
    <definedName name="solver_rel3" localSheetId="0" hidden="1">3</definedName>
    <definedName name="solver_rel3" localSheetId="3" hidden="1">3</definedName>
    <definedName name="solver_rel4" localSheetId="0" hidden="1">1</definedName>
    <definedName name="solver_rel4" localSheetId="3" hidden="1">1</definedName>
    <definedName name="solver_rel5" localSheetId="0" hidden="1">2</definedName>
    <definedName name="solver_rel5" localSheetId="3" hidden="1">2</definedName>
    <definedName name="solver_rhs1" localSheetId="0" hidden="1">integer</definedName>
    <definedName name="solver_rhs1" localSheetId="3" hidden="1">integer</definedName>
    <definedName name="solver_rhs2" localSheetId="0" hidden="1">'Input Screen'!$J$10:$J$109</definedName>
    <definedName name="solver_rhs2" localSheetId="3" hidden="1">'Topsis LP Auto'!$J$10:$J$109</definedName>
    <definedName name="solver_rhs3" localSheetId="0" hidden="1">0</definedName>
    <definedName name="solver_rhs3" localSheetId="3" hidden="1">0</definedName>
    <definedName name="solver_rhs4" localSheetId="0" hidden="1">'Input Screen'!$I$10:$I$109</definedName>
    <definedName name="solver_rhs4" localSheetId="3" hidden="1">'Topsis LP Auto'!$I$10:$I$109</definedName>
    <definedName name="solver_rhs5" localSheetId="0" hidden="1">'Input Screen'!$K$3</definedName>
    <definedName name="solver_rhs5" localSheetId="3" hidden="1">'Topsis LP Auto'!$K$3</definedName>
    <definedName name="solver_rlx" localSheetId="3" hidden="1">2</definedName>
    <definedName name="solver_rsd" localSheetId="3" hidden="1">0</definedName>
    <definedName name="solver_scl" localSheetId="0" hidden="1">1</definedName>
    <definedName name="solver_scl" localSheetId="3" hidden="1">1</definedName>
    <definedName name="solver_sho" localSheetId="0" hidden="1">2</definedName>
    <definedName name="solver_sho" localSheetId="3" hidden="1">2</definedName>
    <definedName name="solver_ssz" localSheetId="3" hidden="1">100</definedName>
    <definedName name="solver_tim" localSheetId="0" hidden="1">2147483647</definedName>
    <definedName name="solver_tim" localSheetId="3" hidden="1">2147483647</definedName>
    <definedName name="solver_tol" localSheetId="3" hidden="1">0.01</definedName>
    <definedName name="solver_typ" localSheetId="0" hidden="1">1</definedName>
    <definedName name="solver_typ" localSheetId="3" hidden="1">1</definedName>
    <definedName name="solver_val" localSheetId="0" hidden="1">0</definedName>
    <definedName name="solver_val" localSheetId="3" hidden="1">0</definedName>
    <definedName name="solver_ver" localSheetId="0" hidden="1">3</definedName>
    <definedName name="solver_ver" localSheetId="3" hidden="1">3</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01" i="6" l="1"/>
  <c r="D101" i="6"/>
  <c r="B101" i="6"/>
  <c r="A101" i="6"/>
  <c r="E100" i="6"/>
  <c r="D100" i="6"/>
  <c r="B100" i="6"/>
  <c r="A100" i="6"/>
  <c r="E99" i="6"/>
  <c r="D99" i="6"/>
  <c r="B99" i="6"/>
  <c r="A99" i="6"/>
  <c r="E98" i="6"/>
  <c r="D98" i="6"/>
  <c r="B98" i="6"/>
  <c r="A98" i="6"/>
  <c r="E97" i="6"/>
  <c r="D97" i="6"/>
  <c r="B97" i="6"/>
  <c r="A97" i="6"/>
  <c r="E96" i="6"/>
  <c r="D96" i="6"/>
  <c r="B96" i="6"/>
  <c r="A96" i="6"/>
  <c r="E95" i="6"/>
  <c r="D95" i="6"/>
  <c r="B95" i="6"/>
  <c r="A95" i="6"/>
  <c r="E94" i="6"/>
  <c r="D94" i="6"/>
  <c r="B94" i="6"/>
  <c r="A94" i="6"/>
  <c r="E93" i="6"/>
  <c r="D93" i="6"/>
  <c r="B93" i="6"/>
  <c r="A93" i="6"/>
  <c r="E92" i="6"/>
  <c r="D92" i="6"/>
  <c r="B92" i="6"/>
  <c r="A92" i="6"/>
  <c r="E91" i="6"/>
  <c r="D91" i="6"/>
  <c r="B91" i="6"/>
  <c r="A91" i="6"/>
  <c r="E90" i="6"/>
  <c r="D90" i="6"/>
  <c r="B90" i="6"/>
  <c r="A90" i="6"/>
  <c r="E89" i="6"/>
  <c r="D89" i="6"/>
  <c r="B89" i="6"/>
  <c r="A89" i="6"/>
  <c r="E88" i="6"/>
  <c r="D88" i="6"/>
  <c r="B88" i="6"/>
  <c r="A88" i="6"/>
  <c r="E87" i="6"/>
  <c r="D87" i="6"/>
  <c r="B87" i="6"/>
  <c r="A87" i="6"/>
  <c r="E86" i="6"/>
  <c r="D86" i="6"/>
  <c r="B86" i="6"/>
  <c r="A86" i="6"/>
  <c r="E85" i="6"/>
  <c r="D85" i="6"/>
  <c r="B85" i="6"/>
  <c r="A85" i="6"/>
  <c r="E84" i="6"/>
  <c r="D84" i="6"/>
  <c r="B84" i="6"/>
  <c r="A84" i="6"/>
  <c r="E83" i="6"/>
  <c r="D83" i="6"/>
  <c r="B83" i="6"/>
  <c r="A83" i="6"/>
  <c r="E82" i="6"/>
  <c r="D82" i="6"/>
  <c r="B82" i="6"/>
  <c r="A82" i="6"/>
  <c r="E81" i="6"/>
  <c r="D81" i="6"/>
  <c r="B81" i="6"/>
  <c r="A81" i="6"/>
  <c r="E80" i="6"/>
  <c r="D80" i="6"/>
  <c r="B80" i="6"/>
  <c r="A80" i="6"/>
  <c r="E79" i="6"/>
  <c r="D79" i="6"/>
  <c r="B79" i="6"/>
  <c r="A79" i="6"/>
  <c r="E78" i="6"/>
  <c r="D78" i="6"/>
  <c r="B78" i="6"/>
  <c r="A78" i="6"/>
  <c r="E77" i="6"/>
  <c r="D77" i="6"/>
  <c r="B77" i="6"/>
  <c r="A77" i="6"/>
  <c r="E76" i="6"/>
  <c r="D76" i="6"/>
  <c r="B76" i="6"/>
  <c r="A76" i="6"/>
  <c r="E75" i="6"/>
  <c r="D75" i="6"/>
  <c r="B75" i="6"/>
  <c r="A75" i="6"/>
  <c r="E74" i="6"/>
  <c r="D74" i="6"/>
  <c r="B74" i="6"/>
  <c r="A74" i="6"/>
  <c r="E73" i="6"/>
  <c r="D73" i="6"/>
  <c r="B73" i="6"/>
  <c r="A73" i="6"/>
  <c r="E72" i="6"/>
  <c r="D72" i="6"/>
  <c r="B72" i="6"/>
  <c r="A72" i="6"/>
  <c r="E71" i="6"/>
  <c r="D71" i="6"/>
  <c r="B71" i="6"/>
  <c r="A71" i="6"/>
  <c r="E70" i="6"/>
  <c r="D70" i="6"/>
  <c r="B70" i="6"/>
  <c r="A70" i="6"/>
  <c r="E69" i="6"/>
  <c r="D69" i="6"/>
  <c r="B69" i="6"/>
  <c r="A69" i="6"/>
  <c r="E68" i="6"/>
  <c r="D68" i="6"/>
  <c r="B68" i="6"/>
  <c r="A68" i="6"/>
  <c r="E67" i="6"/>
  <c r="D67" i="6"/>
  <c r="B67" i="6"/>
  <c r="A67" i="6"/>
  <c r="E66" i="6"/>
  <c r="D66" i="6"/>
  <c r="B66" i="6"/>
  <c r="A66" i="6"/>
  <c r="E65" i="6"/>
  <c r="D65" i="6"/>
  <c r="B65" i="6"/>
  <c r="A65" i="6"/>
  <c r="E64" i="6"/>
  <c r="D64" i="6"/>
  <c r="B64" i="6"/>
  <c r="A64" i="6"/>
  <c r="E63" i="6"/>
  <c r="D63" i="6"/>
  <c r="B63" i="6"/>
  <c r="A63" i="6"/>
  <c r="E62" i="6"/>
  <c r="D62" i="6"/>
  <c r="B62" i="6"/>
  <c r="A62" i="6"/>
  <c r="E61" i="6"/>
  <c r="D61" i="6"/>
  <c r="B61" i="6"/>
  <c r="A61" i="6"/>
  <c r="E60" i="6"/>
  <c r="D60" i="6"/>
  <c r="B60" i="6"/>
  <c r="A60" i="6"/>
  <c r="E59" i="6"/>
  <c r="D59" i="6"/>
  <c r="B59" i="6"/>
  <c r="A59" i="6"/>
  <c r="E58" i="6"/>
  <c r="D58" i="6"/>
  <c r="B58" i="6"/>
  <c r="A58" i="6"/>
  <c r="E57" i="6"/>
  <c r="D57" i="6"/>
  <c r="B57" i="6"/>
  <c r="A57" i="6"/>
  <c r="E56" i="6"/>
  <c r="D56" i="6"/>
  <c r="B56" i="6"/>
  <c r="A56" i="6"/>
  <c r="E55" i="6"/>
  <c r="D55" i="6"/>
  <c r="B55" i="6"/>
  <c r="A55" i="6"/>
  <c r="E54" i="6"/>
  <c r="D54" i="6"/>
  <c r="B54" i="6"/>
  <c r="A54" i="6"/>
  <c r="E53" i="6"/>
  <c r="D53" i="6"/>
  <c r="B53" i="6"/>
  <c r="A53" i="6"/>
  <c r="E52" i="6"/>
  <c r="D52" i="6"/>
  <c r="B52" i="6"/>
  <c r="A52" i="6"/>
  <c r="E51" i="6"/>
  <c r="D51" i="6"/>
  <c r="B51" i="6"/>
  <c r="A51" i="6"/>
  <c r="E50" i="6"/>
  <c r="D50" i="6"/>
  <c r="B50" i="6"/>
  <c r="A50" i="6"/>
  <c r="E49" i="6"/>
  <c r="D49" i="6"/>
  <c r="B49" i="6"/>
  <c r="A49" i="6"/>
  <c r="E48" i="6"/>
  <c r="D48" i="6"/>
  <c r="B48" i="6"/>
  <c r="A48" i="6"/>
  <c r="E47" i="6"/>
  <c r="D47" i="6"/>
  <c r="B47" i="6"/>
  <c r="A47" i="6"/>
  <c r="E46" i="6"/>
  <c r="D46" i="6"/>
  <c r="B46" i="6"/>
  <c r="A46" i="6"/>
  <c r="E45" i="6"/>
  <c r="D45" i="6"/>
  <c r="B45" i="6"/>
  <c r="A45" i="6"/>
  <c r="E44" i="6"/>
  <c r="D44" i="6"/>
  <c r="B44" i="6"/>
  <c r="A44" i="6"/>
  <c r="E43" i="6"/>
  <c r="D43" i="6"/>
  <c r="B43" i="6"/>
  <c r="A43" i="6"/>
  <c r="E42" i="6"/>
  <c r="D42" i="6"/>
  <c r="B42" i="6"/>
  <c r="A42" i="6"/>
  <c r="E41" i="6"/>
  <c r="D41" i="6"/>
  <c r="B41" i="6"/>
  <c r="A41" i="6"/>
  <c r="E40" i="6"/>
  <c r="D40" i="6"/>
  <c r="B40" i="6"/>
  <c r="A40" i="6"/>
  <c r="E39" i="6"/>
  <c r="D39" i="6"/>
  <c r="B39" i="6"/>
  <c r="A39" i="6"/>
  <c r="E38" i="6"/>
  <c r="D38" i="6"/>
  <c r="B38" i="6"/>
  <c r="A38" i="6"/>
  <c r="E37" i="6"/>
  <c r="D37" i="6"/>
  <c r="B37" i="6"/>
  <c r="A37" i="6"/>
  <c r="E36" i="6"/>
  <c r="D36" i="6"/>
  <c r="B36" i="6"/>
  <c r="A36" i="6"/>
  <c r="E35" i="6"/>
  <c r="D35" i="6"/>
  <c r="B35" i="6"/>
  <c r="A35" i="6"/>
  <c r="E34" i="6"/>
  <c r="D34" i="6"/>
  <c r="B34" i="6"/>
  <c r="A34" i="6"/>
  <c r="E33" i="6"/>
  <c r="D33" i="6"/>
  <c r="B33" i="6"/>
  <c r="A33" i="6"/>
  <c r="E32" i="6"/>
  <c r="D32" i="6"/>
  <c r="B32" i="6"/>
  <c r="A32" i="6"/>
  <c r="E31" i="6"/>
  <c r="D31" i="6"/>
  <c r="B31" i="6"/>
  <c r="A31" i="6"/>
  <c r="E30" i="6"/>
  <c r="D30" i="6"/>
  <c r="B30" i="6"/>
  <c r="A30" i="6"/>
  <c r="E29" i="6"/>
  <c r="D29" i="6"/>
  <c r="B29" i="6"/>
  <c r="A29" i="6"/>
  <c r="E28" i="6"/>
  <c r="D28" i="6"/>
  <c r="B28" i="6"/>
  <c r="A28" i="6"/>
  <c r="E27" i="6"/>
  <c r="D27" i="6"/>
  <c r="B27" i="6"/>
  <c r="A27" i="6"/>
  <c r="E26" i="6"/>
  <c r="D26" i="6"/>
  <c r="B26" i="6"/>
  <c r="A26" i="6"/>
  <c r="E25" i="6"/>
  <c r="D25" i="6"/>
  <c r="B25" i="6"/>
  <c r="A25" i="6"/>
  <c r="E24" i="6"/>
  <c r="D24" i="6"/>
  <c r="B24" i="6"/>
  <c r="A24" i="6"/>
  <c r="E23" i="6"/>
  <c r="D23" i="6"/>
  <c r="B37" i="8" s="1"/>
  <c r="B23" i="6"/>
  <c r="A37" i="8" s="1"/>
  <c r="A23" i="6"/>
  <c r="E22" i="6"/>
  <c r="D22" i="6"/>
  <c r="B36" i="8" s="1"/>
  <c r="B22" i="6"/>
  <c r="A36" i="8" s="1"/>
  <c r="A22" i="6"/>
  <c r="E21" i="6"/>
  <c r="D21" i="6"/>
  <c r="B35" i="8" s="1"/>
  <c r="B21" i="6"/>
  <c r="A35" i="8" s="1"/>
  <c r="A21" i="6"/>
  <c r="E20" i="6"/>
  <c r="D20" i="6"/>
  <c r="B34" i="8" s="1"/>
  <c r="B20" i="6"/>
  <c r="A34" i="8" s="1"/>
  <c r="A20" i="6"/>
  <c r="E19" i="6"/>
  <c r="D19" i="6"/>
  <c r="B33" i="8" s="1"/>
  <c r="B19" i="6"/>
  <c r="A33" i="8" s="1"/>
  <c r="A19" i="6"/>
  <c r="E18" i="6"/>
  <c r="D18" i="6"/>
  <c r="B32" i="8" s="1"/>
  <c r="B18" i="6"/>
  <c r="A32" i="8" s="1"/>
  <c r="A18" i="6"/>
  <c r="E17" i="6"/>
  <c r="D17" i="6"/>
  <c r="B31" i="8" s="1"/>
  <c r="B17" i="6"/>
  <c r="A31" i="8" s="1"/>
  <c r="A17" i="6"/>
  <c r="E16" i="6"/>
  <c r="D16" i="6"/>
  <c r="B30" i="8" s="1"/>
  <c r="B16" i="6"/>
  <c r="A30" i="8" s="1"/>
  <c r="A16" i="6"/>
  <c r="E15" i="6"/>
  <c r="D15" i="6"/>
  <c r="B29" i="8" s="1"/>
  <c r="B15" i="6"/>
  <c r="A29" i="8" s="1"/>
  <c r="A15" i="6"/>
  <c r="E14" i="6"/>
  <c r="D14" i="6"/>
  <c r="B28" i="8" s="1"/>
  <c r="B14" i="6"/>
  <c r="A28" i="8" s="1"/>
  <c r="A14" i="6"/>
  <c r="E13" i="6"/>
  <c r="D13" i="6"/>
  <c r="B27" i="8" s="1"/>
  <c r="B13" i="6"/>
  <c r="A27" i="8" s="1"/>
  <c r="A13" i="6"/>
  <c r="E12" i="6"/>
  <c r="D12" i="6"/>
  <c r="B26" i="8" s="1"/>
  <c r="B12" i="6"/>
  <c r="A26" i="8" s="1"/>
  <c r="A12" i="6"/>
  <c r="E11" i="6"/>
  <c r="D11" i="6"/>
  <c r="B25" i="8" s="1"/>
  <c r="B11" i="6"/>
  <c r="A25" i="8" s="1"/>
  <c r="A11" i="6"/>
  <c r="E10" i="6"/>
  <c r="D10" i="6"/>
  <c r="B24" i="8" s="1"/>
  <c r="B10" i="6"/>
  <c r="A24" i="8" s="1"/>
  <c r="A10" i="6"/>
  <c r="E9" i="6"/>
  <c r="D9" i="6"/>
  <c r="B23" i="8" s="1"/>
  <c r="B9" i="6"/>
  <c r="A23" i="8" s="1"/>
  <c r="A9" i="6"/>
  <c r="E8" i="6"/>
  <c r="D8" i="6"/>
  <c r="B22" i="8" s="1"/>
  <c r="B8" i="6"/>
  <c r="A22" i="8" s="1"/>
  <c r="A8" i="6"/>
  <c r="E7" i="6"/>
  <c r="D7" i="6"/>
  <c r="B21" i="8" s="1"/>
  <c r="B7" i="6"/>
  <c r="A21" i="8" s="1"/>
  <c r="A7" i="6"/>
  <c r="E6" i="6"/>
  <c r="D6" i="6"/>
  <c r="B20" i="8" s="1"/>
  <c r="B6" i="6"/>
  <c r="A20" i="8" s="1"/>
  <c r="A6" i="6"/>
  <c r="E5" i="6"/>
  <c r="D5" i="6"/>
  <c r="B19" i="8" s="1"/>
  <c r="B5" i="6"/>
  <c r="A19" i="8" s="1"/>
  <c r="A5" i="6"/>
  <c r="E4" i="6"/>
  <c r="D4" i="6"/>
  <c r="B18" i="8" s="1"/>
  <c r="B4" i="6"/>
  <c r="A18" i="8" s="1"/>
  <c r="A4" i="6"/>
  <c r="E3" i="6"/>
  <c r="D3" i="6"/>
  <c r="B17" i="8" s="1"/>
  <c r="B3" i="6"/>
  <c r="A17" i="8" s="1"/>
  <c r="A3" i="6"/>
  <c r="E2" i="6"/>
  <c r="D2" i="6"/>
  <c r="B16" i="8" s="1"/>
  <c r="B2" i="6"/>
  <c r="A16" i="8" s="1"/>
  <c r="A2" i="6"/>
  <c r="L1" i="6"/>
  <c r="K1" i="6"/>
  <c r="J1" i="6"/>
  <c r="I1" i="6"/>
  <c r="H1" i="6"/>
  <c r="E15" i="8" s="1"/>
  <c r="G1" i="6"/>
  <c r="C15" i="8" s="1"/>
  <c r="F1" i="6"/>
  <c r="D15" i="8" s="1"/>
  <c r="E1" i="6"/>
  <c r="D1" i="6"/>
  <c r="B15" i="8" s="1"/>
  <c r="C1" i="6"/>
  <c r="B1" i="6"/>
  <c r="A15" i="8" s="1"/>
  <c r="A1" i="6"/>
  <c r="W109" i="3"/>
  <c r="M109" i="3"/>
  <c r="D109" i="3"/>
  <c r="A109" i="3"/>
  <c r="M108" i="3"/>
  <c r="D108" i="3"/>
  <c r="F100" i="6" s="1"/>
  <c r="A108" i="3"/>
  <c r="J108" i="3" s="1"/>
  <c r="W107" i="3"/>
  <c r="V107" i="3"/>
  <c r="M107" i="3"/>
  <c r="C99" i="6" s="1"/>
  <c r="D107" i="3"/>
  <c r="F99" i="6" s="1"/>
  <c r="X106" i="3"/>
  <c r="W106" i="3"/>
  <c r="V106" i="3"/>
  <c r="M106" i="3"/>
  <c r="C98" i="6" s="1"/>
  <c r="J106" i="3"/>
  <c r="L98" i="6" s="1"/>
  <c r="D106" i="3"/>
  <c r="F98" i="6" s="1"/>
  <c r="A106" i="3"/>
  <c r="I106" i="3" s="1"/>
  <c r="K98" i="6" s="1"/>
  <c r="M105" i="3"/>
  <c r="X105" i="3" s="1"/>
  <c r="D105" i="3"/>
  <c r="F97" i="6" s="1"/>
  <c r="X104" i="3"/>
  <c r="V104" i="3"/>
  <c r="M104" i="3"/>
  <c r="D104" i="3"/>
  <c r="V103" i="3"/>
  <c r="M103" i="3"/>
  <c r="W103" i="3" s="1"/>
  <c r="D103" i="3"/>
  <c r="X102" i="3"/>
  <c r="W102" i="3"/>
  <c r="V102" i="3"/>
  <c r="M102" i="3"/>
  <c r="C94" i="6" s="1"/>
  <c r="J102" i="3"/>
  <c r="I102" i="3"/>
  <c r="D102" i="3"/>
  <c r="F94" i="6" s="1"/>
  <c r="A102" i="3"/>
  <c r="M101" i="3"/>
  <c r="D101" i="3"/>
  <c r="F93" i="6" s="1"/>
  <c r="M100" i="3"/>
  <c r="X100" i="3" s="1"/>
  <c r="D100" i="3"/>
  <c r="F92" i="6" s="1"/>
  <c r="M99" i="3"/>
  <c r="D99" i="3"/>
  <c r="F91" i="6" s="1"/>
  <c r="X98" i="3"/>
  <c r="W98" i="3"/>
  <c r="M98" i="3"/>
  <c r="J98" i="3"/>
  <c r="I98" i="3"/>
  <c r="D98" i="3"/>
  <c r="F90" i="6" s="1"/>
  <c r="A98" i="3"/>
  <c r="X97" i="3"/>
  <c r="W97" i="3"/>
  <c r="M97" i="3"/>
  <c r="C89" i="6" s="1"/>
  <c r="J97" i="3"/>
  <c r="D97" i="3"/>
  <c r="F89" i="6" s="1"/>
  <c r="A97" i="3"/>
  <c r="M96" i="3"/>
  <c r="D96" i="3"/>
  <c r="M95" i="3"/>
  <c r="D95" i="3"/>
  <c r="F87" i="6" s="1"/>
  <c r="X94" i="3"/>
  <c r="W94" i="3"/>
  <c r="V94" i="3"/>
  <c r="M94" i="3"/>
  <c r="C86" i="6" s="1"/>
  <c r="J94" i="3"/>
  <c r="L86" i="6" s="1"/>
  <c r="I94" i="3"/>
  <c r="E94" i="3"/>
  <c r="G86" i="6" s="1"/>
  <c r="D94" i="3"/>
  <c r="F86" i="6" s="1"/>
  <c r="A94" i="3"/>
  <c r="X93" i="3"/>
  <c r="M93" i="3"/>
  <c r="W93" i="3" s="1"/>
  <c r="D93" i="3"/>
  <c r="M92" i="3"/>
  <c r="X92" i="3" s="1"/>
  <c r="D92" i="3"/>
  <c r="F84" i="6" s="1"/>
  <c r="A92" i="3"/>
  <c r="M91" i="3"/>
  <c r="D91" i="3"/>
  <c r="F83" i="6" s="1"/>
  <c r="X90" i="3"/>
  <c r="W90" i="3"/>
  <c r="V90" i="3"/>
  <c r="M90" i="3"/>
  <c r="C82" i="6" s="1"/>
  <c r="J90" i="3"/>
  <c r="I90" i="3"/>
  <c r="K82" i="6" s="1"/>
  <c r="D90" i="3"/>
  <c r="F82" i="6" s="1"/>
  <c r="A90" i="3"/>
  <c r="X89" i="3"/>
  <c r="W89" i="3"/>
  <c r="M89" i="3"/>
  <c r="C81" i="6" s="1"/>
  <c r="F89" i="3"/>
  <c r="H81" i="6" s="1"/>
  <c r="D89" i="3"/>
  <c r="F81" i="6" s="1"/>
  <c r="A89" i="3"/>
  <c r="I89" i="3" s="1"/>
  <c r="K81" i="6" s="1"/>
  <c r="X88" i="3"/>
  <c r="V88" i="3"/>
  <c r="M88" i="3"/>
  <c r="D88" i="3"/>
  <c r="F80" i="6" s="1"/>
  <c r="A88" i="3"/>
  <c r="M87" i="3"/>
  <c r="V87" i="3" s="1"/>
  <c r="D87" i="3"/>
  <c r="F79" i="6" s="1"/>
  <c r="X86" i="3"/>
  <c r="W86" i="3"/>
  <c r="V86" i="3"/>
  <c r="M86" i="3"/>
  <c r="C78" i="6" s="1"/>
  <c r="J86" i="3"/>
  <c r="I86" i="3"/>
  <c r="K78" i="6" s="1"/>
  <c r="D86" i="3"/>
  <c r="F78" i="6" s="1"/>
  <c r="A86" i="3"/>
  <c r="W85" i="3"/>
  <c r="M85" i="3"/>
  <c r="X85" i="3" s="1"/>
  <c r="D85" i="3"/>
  <c r="X84" i="3"/>
  <c r="M84" i="3"/>
  <c r="D84" i="3"/>
  <c r="A84" i="3"/>
  <c r="J84" i="3" s="1"/>
  <c r="M83" i="3"/>
  <c r="W83" i="3" s="1"/>
  <c r="D83" i="3"/>
  <c r="F75" i="6" s="1"/>
  <c r="X82" i="3"/>
  <c r="W82" i="3"/>
  <c r="V82" i="3"/>
  <c r="M82" i="3"/>
  <c r="C74" i="6" s="1"/>
  <c r="J82" i="3"/>
  <c r="L74" i="6" s="1"/>
  <c r="D82" i="3"/>
  <c r="F74" i="6" s="1"/>
  <c r="A82" i="3"/>
  <c r="I82" i="3" s="1"/>
  <c r="X81" i="3"/>
  <c r="W81" i="3"/>
  <c r="M81" i="3"/>
  <c r="C73" i="6" s="1"/>
  <c r="J81" i="3"/>
  <c r="D81" i="3"/>
  <c r="F73" i="6" s="1"/>
  <c r="A81" i="3"/>
  <c r="I81" i="3" s="1"/>
  <c r="K73" i="6" s="1"/>
  <c r="M80" i="3"/>
  <c r="V80" i="3" s="1"/>
  <c r="D80" i="3"/>
  <c r="F72" i="6" s="1"/>
  <c r="M79" i="3"/>
  <c r="V79" i="3" s="1"/>
  <c r="D79" i="3"/>
  <c r="F71" i="6" s="1"/>
  <c r="X78" i="3"/>
  <c r="W78" i="3"/>
  <c r="V78" i="3"/>
  <c r="M78" i="3"/>
  <c r="C70" i="6" s="1"/>
  <c r="J78" i="3"/>
  <c r="I78" i="3"/>
  <c r="D78" i="3"/>
  <c r="F70" i="6" s="1"/>
  <c r="A78" i="3"/>
  <c r="W77" i="3"/>
  <c r="M77" i="3"/>
  <c r="J77" i="3"/>
  <c r="D77" i="3"/>
  <c r="F69" i="6" s="1"/>
  <c r="A77" i="3"/>
  <c r="I77" i="3" s="1"/>
  <c r="K69" i="6" s="1"/>
  <c r="V76" i="3"/>
  <c r="M76" i="3"/>
  <c r="I76" i="3"/>
  <c r="D76" i="3"/>
  <c r="F68" i="6" s="1"/>
  <c r="A76" i="3"/>
  <c r="J76" i="3" s="1"/>
  <c r="L68" i="6" s="1"/>
  <c r="V75" i="3"/>
  <c r="M75" i="3"/>
  <c r="D75" i="3"/>
  <c r="F67" i="6" s="1"/>
  <c r="X74" i="3"/>
  <c r="W74" i="3"/>
  <c r="V74" i="3"/>
  <c r="M74" i="3"/>
  <c r="C66" i="6" s="1"/>
  <c r="J74" i="3"/>
  <c r="I74" i="3"/>
  <c r="K66" i="6" s="1"/>
  <c r="D74" i="3"/>
  <c r="F66" i="6" s="1"/>
  <c r="A74" i="3"/>
  <c r="X73" i="3"/>
  <c r="W73" i="3"/>
  <c r="M73" i="3"/>
  <c r="D73" i="3"/>
  <c r="M72" i="3"/>
  <c r="X72" i="3" s="1"/>
  <c r="D72" i="3"/>
  <c r="F64" i="6" s="1"/>
  <c r="A72" i="3"/>
  <c r="W71" i="3"/>
  <c r="M71" i="3"/>
  <c r="D71" i="3"/>
  <c r="F63" i="6" s="1"/>
  <c r="A71" i="3"/>
  <c r="X70" i="3"/>
  <c r="W70" i="3"/>
  <c r="V70" i="3"/>
  <c r="M70" i="3"/>
  <c r="C62" i="6" s="1"/>
  <c r="D70" i="3"/>
  <c r="F62" i="6" s="1"/>
  <c r="A70" i="3"/>
  <c r="J70" i="3" s="1"/>
  <c r="M69" i="3"/>
  <c r="D69" i="3"/>
  <c r="M68" i="3"/>
  <c r="D68" i="3"/>
  <c r="M67" i="3"/>
  <c r="J67" i="3"/>
  <c r="L59" i="6" s="1"/>
  <c r="I67" i="3"/>
  <c r="K59" i="6" s="1"/>
  <c r="D67" i="3"/>
  <c r="F59" i="6" s="1"/>
  <c r="A67" i="3"/>
  <c r="C59" i="6" s="1"/>
  <c r="M66" i="3"/>
  <c r="D66" i="3"/>
  <c r="A66" i="3"/>
  <c r="M65" i="3"/>
  <c r="D65" i="3"/>
  <c r="F57" i="6" s="1"/>
  <c r="M64" i="3"/>
  <c r="D64" i="3"/>
  <c r="F56" i="6" s="1"/>
  <c r="M63" i="3"/>
  <c r="J63" i="3"/>
  <c r="I63" i="3"/>
  <c r="K55" i="6" s="1"/>
  <c r="D63" i="3"/>
  <c r="F55" i="6" s="1"/>
  <c r="A63" i="3"/>
  <c r="C55" i="6" s="1"/>
  <c r="M62" i="3"/>
  <c r="D62" i="3"/>
  <c r="F54" i="6" s="1"/>
  <c r="A62" i="3"/>
  <c r="M61" i="3"/>
  <c r="D61" i="3"/>
  <c r="F53" i="6" s="1"/>
  <c r="M60" i="3"/>
  <c r="D60" i="3"/>
  <c r="F52" i="6" s="1"/>
  <c r="M59" i="3"/>
  <c r="J59" i="3"/>
  <c r="I59" i="3"/>
  <c r="K51" i="6" s="1"/>
  <c r="D59" i="3"/>
  <c r="F51" i="6" s="1"/>
  <c r="A59" i="3"/>
  <c r="C51" i="6" s="1"/>
  <c r="M58" i="3"/>
  <c r="J58" i="3"/>
  <c r="D58" i="3"/>
  <c r="A58" i="3"/>
  <c r="M57" i="3"/>
  <c r="D57" i="3"/>
  <c r="A57" i="3"/>
  <c r="M56" i="3"/>
  <c r="D56" i="3"/>
  <c r="F48" i="6" s="1"/>
  <c r="M55" i="3"/>
  <c r="J55" i="3"/>
  <c r="I55" i="3"/>
  <c r="K47" i="6" s="1"/>
  <c r="D55" i="3"/>
  <c r="F47" i="6" s="1"/>
  <c r="A55" i="3"/>
  <c r="C47" i="6" s="1"/>
  <c r="M54" i="3"/>
  <c r="J54" i="3"/>
  <c r="D54" i="3"/>
  <c r="F46" i="6" s="1"/>
  <c r="A54" i="3"/>
  <c r="M53" i="3"/>
  <c r="I53" i="3"/>
  <c r="D53" i="3"/>
  <c r="F45" i="6" s="1"/>
  <c r="A53" i="3"/>
  <c r="M52" i="3"/>
  <c r="D52" i="3"/>
  <c r="F44" i="6" s="1"/>
  <c r="M51" i="3"/>
  <c r="J51" i="3"/>
  <c r="I51" i="3"/>
  <c r="K43" i="6" s="1"/>
  <c r="D51" i="3"/>
  <c r="F43" i="6" s="1"/>
  <c r="A51" i="3"/>
  <c r="C43" i="6" s="1"/>
  <c r="M50" i="3"/>
  <c r="J50" i="3"/>
  <c r="D50" i="3"/>
  <c r="F42" i="6" s="1"/>
  <c r="A50" i="3"/>
  <c r="M49" i="3"/>
  <c r="I49" i="3"/>
  <c r="D49" i="3"/>
  <c r="F41" i="6" s="1"/>
  <c r="A49" i="3"/>
  <c r="M48" i="3"/>
  <c r="D48" i="3"/>
  <c r="F40" i="6" s="1"/>
  <c r="M47" i="3"/>
  <c r="J47" i="3"/>
  <c r="I47" i="3"/>
  <c r="K39" i="6" s="1"/>
  <c r="F47" i="3"/>
  <c r="H39" i="6" s="1"/>
  <c r="D47" i="3"/>
  <c r="F39" i="6" s="1"/>
  <c r="A47" i="3"/>
  <c r="C39" i="6" s="1"/>
  <c r="M46" i="3"/>
  <c r="D46" i="3"/>
  <c r="F38" i="6" s="1"/>
  <c r="M45" i="3"/>
  <c r="D45" i="3"/>
  <c r="F37" i="6" s="1"/>
  <c r="M44" i="3"/>
  <c r="D44" i="3"/>
  <c r="F36" i="6" s="1"/>
  <c r="M43" i="3"/>
  <c r="D43" i="3"/>
  <c r="F35" i="6" s="1"/>
  <c r="A43" i="3"/>
  <c r="M42" i="3"/>
  <c r="A42" i="3" s="1"/>
  <c r="D42" i="3"/>
  <c r="F34" i="6" s="1"/>
  <c r="M41" i="3"/>
  <c r="D41" i="3"/>
  <c r="F33" i="6" s="1"/>
  <c r="A41" i="3"/>
  <c r="M40" i="3"/>
  <c r="D40" i="3"/>
  <c r="M39" i="3"/>
  <c r="J39" i="3"/>
  <c r="L31" i="6" s="1"/>
  <c r="D39" i="3"/>
  <c r="A39" i="3"/>
  <c r="C31" i="6" s="1"/>
  <c r="M38" i="3"/>
  <c r="J38" i="3"/>
  <c r="I38" i="3"/>
  <c r="D38" i="3"/>
  <c r="F30" i="6" s="1"/>
  <c r="A38" i="3"/>
  <c r="C30" i="6" s="1"/>
  <c r="M37" i="3"/>
  <c r="A37" i="3" s="1"/>
  <c r="D37" i="3"/>
  <c r="M36" i="3"/>
  <c r="J36" i="3"/>
  <c r="L28" i="6" s="1"/>
  <c r="I36" i="3"/>
  <c r="K28" i="6" s="1"/>
  <c r="F36" i="3"/>
  <c r="H28" i="6" s="1"/>
  <c r="E36" i="3"/>
  <c r="G28" i="6" s="1"/>
  <c r="D36" i="3"/>
  <c r="F28" i="6" s="1"/>
  <c r="A36" i="3"/>
  <c r="C28" i="6" s="1"/>
  <c r="M35" i="3"/>
  <c r="J35" i="3"/>
  <c r="L27" i="6" s="1"/>
  <c r="I35" i="3"/>
  <c r="D35" i="3"/>
  <c r="F27" i="6" s="1"/>
  <c r="A35" i="3"/>
  <c r="C27" i="6" s="1"/>
  <c r="M34" i="3"/>
  <c r="D34" i="3"/>
  <c r="F26" i="6" s="1"/>
  <c r="M33" i="3"/>
  <c r="J33" i="3"/>
  <c r="L25" i="6" s="1"/>
  <c r="E33" i="3"/>
  <c r="G25" i="6" s="1"/>
  <c r="D33" i="3"/>
  <c r="F25" i="6" s="1"/>
  <c r="A33" i="3"/>
  <c r="M32" i="3"/>
  <c r="D32" i="3"/>
  <c r="F24" i="6" s="1"/>
  <c r="A32" i="3"/>
  <c r="M31" i="3"/>
  <c r="D31" i="3"/>
  <c r="F23" i="6" s="1"/>
  <c r="D37" i="8" s="1"/>
  <c r="M30" i="3"/>
  <c r="D30" i="3"/>
  <c r="M29" i="3"/>
  <c r="I29" i="3"/>
  <c r="K21" i="6" s="1"/>
  <c r="D29" i="3"/>
  <c r="F21" i="6" s="1"/>
  <c r="D35" i="8" s="1"/>
  <c r="A29" i="3"/>
  <c r="C21" i="6" s="1"/>
  <c r="M28" i="3"/>
  <c r="J28" i="3"/>
  <c r="D28" i="3"/>
  <c r="F20" i="6" s="1"/>
  <c r="D34" i="8" s="1"/>
  <c r="A28" i="3"/>
  <c r="M27" i="3"/>
  <c r="I27" i="3"/>
  <c r="D27" i="3"/>
  <c r="F19" i="6" s="1"/>
  <c r="D33" i="8" s="1"/>
  <c r="A27" i="3"/>
  <c r="M26" i="3"/>
  <c r="D26" i="3"/>
  <c r="F18" i="6" s="1"/>
  <c r="D32" i="8" s="1"/>
  <c r="M25" i="3"/>
  <c r="J25" i="3"/>
  <c r="L17" i="6" s="1"/>
  <c r="I25" i="3"/>
  <c r="K17" i="6" s="1"/>
  <c r="F25" i="3"/>
  <c r="H17" i="6" s="1"/>
  <c r="E31" i="8" s="1"/>
  <c r="D25" i="3"/>
  <c r="F17" i="6" s="1"/>
  <c r="D31" i="8" s="1"/>
  <c r="A25" i="3"/>
  <c r="C17" i="6" s="1"/>
  <c r="M24" i="3"/>
  <c r="J24" i="3"/>
  <c r="D24" i="3"/>
  <c r="F16" i="6" s="1"/>
  <c r="D30" i="8" s="1"/>
  <c r="A24" i="3"/>
  <c r="M23" i="3"/>
  <c r="I23" i="3"/>
  <c r="D23" i="3"/>
  <c r="F15" i="6" s="1"/>
  <c r="D29" i="8" s="1"/>
  <c r="A23" i="3"/>
  <c r="M22" i="3"/>
  <c r="D22" i="3"/>
  <c r="F14" i="6" s="1"/>
  <c r="D28" i="8" s="1"/>
  <c r="M21" i="3"/>
  <c r="J21" i="3"/>
  <c r="L13" i="6" s="1"/>
  <c r="I21" i="3"/>
  <c r="K13" i="6" s="1"/>
  <c r="E21" i="3"/>
  <c r="G13" i="6" s="1"/>
  <c r="C27" i="8" s="1"/>
  <c r="D21" i="3"/>
  <c r="F13" i="6" s="1"/>
  <c r="D27" i="8" s="1"/>
  <c r="A21" i="3"/>
  <c r="C13" i="6" s="1"/>
  <c r="M20" i="3"/>
  <c r="D20" i="3"/>
  <c r="F12" i="6" s="1"/>
  <c r="D26" i="8" s="1"/>
  <c r="M19" i="3"/>
  <c r="D19" i="3"/>
  <c r="F11" i="6" s="1"/>
  <c r="D25" i="8" s="1"/>
  <c r="M18" i="3"/>
  <c r="D18" i="3"/>
  <c r="F10" i="6" s="1"/>
  <c r="D24" i="8" s="1"/>
  <c r="M17" i="3"/>
  <c r="D17" i="3"/>
  <c r="F9" i="6" s="1"/>
  <c r="D23" i="8" s="1"/>
  <c r="A17" i="3"/>
  <c r="C9" i="6" s="1"/>
  <c r="M16" i="3"/>
  <c r="I16" i="3"/>
  <c r="K8" i="6" s="1"/>
  <c r="F16" i="3"/>
  <c r="H8" i="6" s="1"/>
  <c r="E22" i="8" s="1"/>
  <c r="D16" i="3"/>
  <c r="F8" i="6" s="1"/>
  <c r="D22" i="8" s="1"/>
  <c r="A16" i="3"/>
  <c r="C8" i="6" s="1"/>
  <c r="M15" i="3"/>
  <c r="D15" i="3"/>
  <c r="F7" i="6" s="1"/>
  <c r="D21" i="8" s="1"/>
  <c r="A15" i="3"/>
  <c r="M14" i="3"/>
  <c r="J14" i="3"/>
  <c r="L6" i="6" s="1"/>
  <c r="I14" i="3"/>
  <c r="K6" i="6" s="1"/>
  <c r="E14" i="3"/>
  <c r="G6" i="6" s="1"/>
  <c r="C20" i="8" s="1"/>
  <c r="D14" i="3"/>
  <c r="F6" i="6" s="1"/>
  <c r="D20" i="8" s="1"/>
  <c r="A14" i="3"/>
  <c r="C6" i="6" s="1"/>
  <c r="M13" i="3"/>
  <c r="I13" i="3"/>
  <c r="K5" i="6" s="1"/>
  <c r="F13" i="3"/>
  <c r="H5" i="6" s="1"/>
  <c r="E19" i="8" s="1"/>
  <c r="D13" i="3"/>
  <c r="F5" i="6" s="1"/>
  <c r="D19" i="8" s="1"/>
  <c r="A13" i="3"/>
  <c r="C5" i="6" s="1"/>
  <c r="M12" i="3"/>
  <c r="J12" i="3"/>
  <c r="L4" i="6" s="1"/>
  <c r="D12" i="3"/>
  <c r="F4" i="6" s="1"/>
  <c r="D18" i="8" s="1"/>
  <c r="A12" i="3"/>
  <c r="M11" i="3"/>
  <c r="D11" i="3"/>
  <c r="F3" i="6" s="1"/>
  <c r="D17" i="8" s="1"/>
  <c r="M10" i="3"/>
  <c r="D10" i="3"/>
  <c r="F2" i="6" s="1"/>
  <c r="D16" i="8" s="1"/>
  <c r="K4" i="3"/>
  <c r="F31" i="5"/>
  <c r="E32" i="5" s="1"/>
  <c r="E33" i="5" s="1"/>
  <c r="E27" i="5"/>
  <c r="F22" i="5"/>
  <c r="G21" i="5"/>
  <c r="E11" i="5"/>
  <c r="F6" i="5"/>
  <c r="G5" i="5"/>
  <c r="C2" i="5"/>
  <c r="B2" i="5"/>
  <c r="C12" i="4"/>
  <c r="F15" i="5" s="1"/>
  <c r="C11" i="4"/>
  <c r="G4" i="5" s="1"/>
  <c r="C10" i="4"/>
  <c r="C9" i="4"/>
  <c r="C8" i="4"/>
  <c r="F10" i="5" s="1"/>
  <c r="C7" i="4"/>
  <c r="F4" i="5" s="1"/>
  <c r="C6" i="4"/>
  <c r="C5" i="4"/>
  <c r="F20" i="5" s="1"/>
  <c r="C4" i="4"/>
  <c r="G20" i="5" s="1"/>
  <c r="C3" i="4"/>
  <c r="F26" i="5" s="1"/>
  <c r="J31" i="5" l="1"/>
  <c r="M31" i="5" s="1"/>
  <c r="J32" i="5"/>
  <c r="M32" i="5" s="1"/>
  <c r="E16" i="5"/>
  <c r="F17" i="5"/>
  <c r="K16" i="5" s="1"/>
  <c r="E28" i="5"/>
  <c r="J26" i="5" s="1"/>
  <c r="M26" i="5" s="1"/>
  <c r="J27" i="5"/>
  <c r="M27" i="5" s="1"/>
  <c r="K26" i="5"/>
  <c r="F28" i="5"/>
  <c r="K27" i="5" s="1"/>
  <c r="F23" i="5"/>
  <c r="E21" i="5"/>
  <c r="L4" i="5"/>
  <c r="E6" i="5"/>
  <c r="G7" i="5"/>
  <c r="L6" i="5" s="1"/>
  <c r="C29" i="6"/>
  <c r="J37" i="3"/>
  <c r="I37" i="3"/>
  <c r="C34" i="6"/>
  <c r="I42" i="3"/>
  <c r="J42" i="3"/>
  <c r="E22" i="5"/>
  <c r="G23" i="5"/>
  <c r="L22" i="5" s="1"/>
  <c r="F7" i="5"/>
  <c r="E5" i="5"/>
  <c r="E12" i="5"/>
  <c r="J10" i="5" s="1"/>
  <c r="M10" i="5" s="1"/>
  <c r="J11" i="5"/>
  <c r="M11" i="5" s="1"/>
  <c r="K10" i="5"/>
  <c r="F12" i="5"/>
  <c r="K11" i="5" s="1"/>
  <c r="L5" i="5"/>
  <c r="F49" i="6"/>
  <c r="F33" i="5"/>
  <c r="K32" i="5" s="1"/>
  <c r="I15" i="3"/>
  <c r="A19" i="3"/>
  <c r="A20" i="3"/>
  <c r="A22" i="3"/>
  <c r="J29" i="3"/>
  <c r="J32" i="3"/>
  <c r="C25" i="6"/>
  <c r="I33" i="3"/>
  <c r="F32" i="6"/>
  <c r="C35" i="6"/>
  <c r="J43" i="3"/>
  <c r="I43" i="3"/>
  <c r="A44" i="3"/>
  <c r="L47" i="6"/>
  <c r="E55" i="3"/>
  <c r="G47" i="6" s="1"/>
  <c r="K19" i="6"/>
  <c r="F27" i="3"/>
  <c r="H19" i="6" s="1"/>
  <c r="E33" i="8" s="1"/>
  <c r="C4" i="6"/>
  <c r="I12" i="3"/>
  <c r="C15" i="6"/>
  <c r="J23" i="3"/>
  <c r="C16" i="6"/>
  <c r="I24" i="3"/>
  <c r="A26" i="3"/>
  <c r="L39" i="6"/>
  <c r="E47" i="3"/>
  <c r="G39" i="6" s="1"/>
  <c r="J92" i="3"/>
  <c r="K92" i="3"/>
  <c r="I92" i="3"/>
  <c r="A30" i="3"/>
  <c r="C19" i="6"/>
  <c r="J27" i="3"/>
  <c r="C20" i="6"/>
  <c r="I28" i="3"/>
  <c r="F22" i="6"/>
  <c r="D36" i="8" s="1"/>
  <c r="A46" i="3"/>
  <c r="L46" i="6"/>
  <c r="E54" i="3"/>
  <c r="G46" i="6" s="1"/>
  <c r="L51" i="6"/>
  <c r="E59" i="3"/>
  <c r="G51" i="6" s="1"/>
  <c r="K74" i="6"/>
  <c r="F82" i="3"/>
  <c r="H74" i="6" s="1"/>
  <c r="C7" i="6"/>
  <c r="J15" i="3"/>
  <c r="E12" i="3"/>
  <c r="G4" i="6" s="1"/>
  <c r="C18" i="8" s="1"/>
  <c r="J13" i="3"/>
  <c r="F14" i="3"/>
  <c r="H6" i="6" s="1"/>
  <c r="E20" i="8" s="1"/>
  <c r="J16" i="3"/>
  <c r="F21" i="3"/>
  <c r="H13" i="6" s="1"/>
  <c r="E27" i="8" s="1"/>
  <c r="E25" i="3"/>
  <c r="G17" i="6" s="1"/>
  <c r="C31" i="8" s="1"/>
  <c r="E35" i="3"/>
  <c r="G27" i="6" s="1"/>
  <c r="K30" i="6"/>
  <c r="F38" i="3"/>
  <c r="H30" i="6" s="1"/>
  <c r="K31" i="5"/>
  <c r="K106" i="3"/>
  <c r="K102" i="3"/>
  <c r="K89" i="3"/>
  <c r="K98" i="3"/>
  <c r="K76" i="3"/>
  <c r="K77" i="3"/>
  <c r="K74" i="3"/>
  <c r="A10" i="3"/>
  <c r="K82" i="3"/>
  <c r="H82" i="3" s="1"/>
  <c r="J74" i="6" s="1"/>
  <c r="I17" i="3"/>
  <c r="A31" i="3"/>
  <c r="C24" i="6"/>
  <c r="I32" i="3"/>
  <c r="K27" i="6"/>
  <c r="F35" i="3"/>
  <c r="H27" i="6" s="1"/>
  <c r="F29" i="6"/>
  <c r="L30" i="6"/>
  <c r="E38" i="3"/>
  <c r="G30" i="6" s="1"/>
  <c r="L43" i="6"/>
  <c r="E51" i="3"/>
  <c r="G43" i="6" s="1"/>
  <c r="L50" i="6"/>
  <c r="E58" i="3"/>
  <c r="G50" i="6" s="1"/>
  <c r="L55" i="6"/>
  <c r="E63" i="3"/>
  <c r="G55" i="6" s="1"/>
  <c r="A18" i="3"/>
  <c r="J17" i="3"/>
  <c r="F29" i="3"/>
  <c r="H21" i="6" s="1"/>
  <c r="E35" i="8" s="1"/>
  <c r="A45" i="3"/>
  <c r="L42" i="6"/>
  <c r="E50" i="3"/>
  <c r="G42" i="6" s="1"/>
  <c r="K45" i="6"/>
  <c r="F53" i="3"/>
  <c r="H45" i="6" s="1"/>
  <c r="A11" i="3"/>
  <c r="L20" i="6"/>
  <c r="E28" i="3"/>
  <c r="G20" i="6" s="1"/>
  <c r="C34" i="8" s="1"/>
  <c r="K15" i="6"/>
  <c r="F23" i="3"/>
  <c r="H15" i="6" s="1"/>
  <c r="E29" i="8" s="1"/>
  <c r="L16" i="6"/>
  <c r="E24" i="3"/>
  <c r="G16" i="6" s="1"/>
  <c r="C30" i="8" s="1"/>
  <c r="C33" i="6"/>
  <c r="J41" i="3"/>
  <c r="I41" i="3"/>
  <c r="K41" i="6"/>
  <c r="F49" i="3"/>
  <c r="H41" i="6" s="1"/>
  <c r="F58" i="6"/>
  <c r="I39" i="3"/>
  <c r="A48" i="3"/>
  <c r="J62" i="3"/>
  <c r="C61" i="6"/>
  <c r="A69" i="3"/>
  <c r="I70" i="3"/>
  <c r="V72" i="3"/>
  <c r="K78" i="3"/>
  <c r="L82" i="6"/>
  <c r="E90" i="3"/>
  <c r="G82" i="6" s="1"/>
  <c r="L90" i="6"/>
  <c r="E98" i="3"/>
  <c r="G90" i="6" s="1"/>
  <c r="C41" i="6"/>
  <c r="J49" i="3"/>
  <c r="C42" i="6"/>
  <c r="I50" i="3"/>
  <c r="A52" i="3"/>
  <c r="A68" i="3"/>
  <c r="K70" i="3"/>
  <c r="K71" i="3"/>
  <c r="H71" i="3" s="1"/>
  <c r="J63" i="6" s="1"/>
  <c r="C45" i="6"/>
  <c r="J53" i="3"/>
  <c r="C46" i="6"/>
  <c r="I54" i="3"/>
  <c r="I57" i="3"/>
  <c r="J72" i="3"/>
  <c r="I72" i="3"/>
  <c r="F65" i="6"/>
  <c r="K70" i="6"/>
  <c r="F78" i="3"/>
  <c r="H70" i="6" s="1"/>
  <c r="C50" i="6"/>
  <c r="I58" i="3"/>
  <c r="C54" i="6"/>
  <c r="I62" i="3"/>
  <c r="L66" i="6"/>
  <c r="E74" i="3"/>
  <c r="G66" i="6" s="1"/>
  <c r="L69" i="6"/>
  <c r="E77" i="3"/>
  <c r="G69" i="6" s="1"/>
  <c r="L70" i="6"/>
  <c r="E78" i="3"/>
  <c r="G70" i="6" s="1"/>
  <c r="L73" i="6"/>
  <c r="E81" i="3"/>
  <c r="G73" i="6" s="1"/>
  <c r="F76" i="6"/>
  <c r="K86" i="6"/>
  <c r="F94" i="3"/>
  <c r="H86" i="6" s="1"/>
  <c r="A34" i="3"/>
  <c r="F31" i="6"/>
  <c r="F51" i="3"/>
  <c r="H43" i="6" s="1"/>
  <c r="F50" i="6"/>
  <c r="F59" i="3"/>
  <c r="H51" i="6" s="1"/>
  <c r="A65" i="3"/>
  <c r="F67" i="3"/>
  <c r="H59" i="6" s="1"/>
  <c r="C65" i="6"/>
  <c r="V73" i="3"/>
  <c r="A73" i="3"/>
  <c r="K68" i="6"/>
  <c r="F76" i="3"/>
  <c r="H68" i="6" s="1"/>
  <c r="E39" i="3"/>
  <c r="G31" i="6" s="1"/>
  <c r="A40" i="3"/>
  <c r="F55" i="3"/>
  <c r="H47" i="6" s="1"/>
  <c r="A61" i="3"/>
  <c r="F63" i="3"/>
  <c r="H55" i="6" s="1"/>
  <c r="F61" i="6"/>
  <c r="L62" i="6"/>
  <c r="E70" i="3"/>
  <c r="G62" i="6" s="1"/>
  <c r="K72" i="3"/>
  <c r="H72" i="3" s="1"/>
  <c r="J64" i="6" s="1"/>
  <c r="K90" i="3"/>
  <c r="C88" i="6"/>
  <c r="W96" i="3"/>
  <c r="X96" i="3"/>
  <c r="V96" i="3"/>
  <c r="A96" i="3"/>
  <c r="A56" i="3"/>
  <c r="C49" i="6"/>
  <c r="J57" i="3"/>
  <c r="A60" i="3"/>
  <c r="C58" i="6"/>
  <c r="J66" i="3"/>
  <c r="I66" i="3"/>
  <c r="F60" i="6"/>
  <c r="C64" i="6"/>
  <c r="W72" i="3"/>
  <c r="L78" i="6"/>
  <c r="E86" i="3"/>
  <c r="G78" i="6" s="1"/>
  <c r="K88" i="3"/>
  <c r="C83" i="6"/>
  <c r="A91" i="3"/>
  <c r="X91" i="3"/>
  <c r="W91" i="3"/>
  <c r="V91" i="3"/>
  <c r="C67" i="6"/>
  <c r="A75" i="3"/>
  <c r="X75" i="3"/>
  <c r="W75" i="3"/>
  <c r="C68" i="6"/>
  <c r="W76" i="3"/>
  <c r="X76" i="3"/>
  <c r="C69" i="6"/>
  <c r="V77" i="3"/>
  <c r="X77" i="3"/>
  <c r="K81" i="3"/>
  <c r="J89" i="3"/>
  <c r="K94" i="6"/>
  <c r="F102" i="3"/>
  <c r="H94" i="6" s="1"/>
  <c r="C71" i="6"/>
  <c r="X79" i="3"/>
  <c r="A79" i="3"/>
  <c r="W79" i="3"/>
  <c r="C72" i="6"/>
  <c r="W80" i="3"/>
  <c r="X80" i="3"/>
  <c r="C77" i="6"/>
  <c r="V85" i="3"/>
  <c r="K86" i="3"/>
  <c r="C93" i="6"/>
  <c r="V101" i="3"/>
  <c r="L94" i="6"/>
  <c r="E102" i="3"/>
  <c r="G94" i="6" s="1"/>
  <c r="F96" i="6"/>
  <c r="I71" i="3"/>
  <c r="A80" i="3"/>
  <c r="I84" i="3"/>
  <c r="C85" i="6"/>
  <c r="V93" i="3"/>
  <c r="K94" i="3"/>
  <c r="A100" i="3"/>
  <c r="V100" i="3"/>
  <c r="J71" i="3"/>
  <c r="F74" i="3"/>
  <c r="H66" i="6" s="1"/>
  <c r="E76" i="3"/>
  <c r="G68" i="6" s="1"/>
  <c r="F77" i="3"/>
  <c r="H69" i="6" s="1"/>
  <c r="E82" i="3"/>
  <c r="G74" i="6" s="1"/>
  <c r="K84" i="3"/>
  <c r="A85" i="3"/>
  <c r="C80" i="6"/>
  <c r="W88" i="3"/>
  <c r="F88" i="6"/>
  <c r="L89" i="6"/>
  <c r="E97" i="3"/>
  <c r="G89" i="6" s="1"/>
  <c r="A64" i="3"/>
  <c r="F81" i="3"/>
  <c r="H73" i="6" s="1"/>
  <c r="V83" i="3"/>
  <c r="C76" i="6"/>
  <c r="W84" i="3"/>
  <c r="V84" i="3"/>
  <c r="F77" i="6"/>
  <c r="F86" i="3"/>
  <c r="H78" i="6" s="1"/>
  <c r="A93" i="3"/>
  <c r="A101" i="3"/>
  <c r="W101" i="3"/>
  <c r="E67" i="3"/>
  <c r="G59" i="6" s="1"/>
  <c r="C63" i="6"/>
  <c r="X71" i="3"/>
  <c r="V71" i="3"/>
  <c r="J88" i="3"/>
  <c r="I88" i="3"/>
  <c r="F90" i="3"/>
  <c r="H82" i="6" s="1"/>
  <c r="C84" i="6"/>
  <c r="W92" i="3"/>
  <c r="V92" i="3"/>
  <c r="F85" i="6"/>
  <c r="C87" i="6"/>
  <c r="X95" i="3"/>
  <c r="W95" i="3"/>
  <c r="V95" i="3"/>
  <c r="A95" i="3"/>
  <c r="X101" i="3"/>
  <c r="C95" i="6"/>
  <c r="A103" i="3"/>
  <c r="X103" i="3"/>
  <c r="C75" i="6"/>
  <c r="A83" i="3"/>
  <c r="X83" i="3"/>
  <c r="L76" i="6"/>
  <c r="E84" i="3"/>
  <c r="G76" i="6" s="1"/>
  <c r="C79" i="6"/>
  <c r="X87" i="3"/>
  <c r="W87" i="3"/>
  <c r="A87" i="3"/>
  <c r="K97" i="3"/>
  <c r="K90" i="6"/>
  <c r="F98" i="3"/>
  <c r="H90" i="6" s="1"/>
  <c r="C92" i="6"/>
  <c r="W100" i="3"/>
  <c r="J109" i="3"/>
  <c r="I109" i="3"/>
  <c r="K109" i="3"/>
  <c r="I97" i="3"/>
  <c r="C90" i="6"/>
  <c r="V98" i="3"/>
  <c r="I108" i="3"/>
  <c r="F101" i="6"/>
  <c r="H109" i="3"/>
  <c r="J101" i="6" s="1"/>
  <c r="K108" i="3"/>
  <c r="C91" i="6"/>
  <c r="A99" i="3"/>
  <c r="V99" i="3"/>
  <c r="F95" i="6"/>
  <c r="C97" i="6"/>
  <c r="W105" i="3"/>
  <c r="V105" i="3"/>
  <c r="C100" i="6"/>
  <c r="X108" i="3"/>
  <c r="W108" i="3"/>
  <c r="V108" i="3"/>
  <c r="W99" i="3"/>
  <c r="E106" i="3"/>
  <c r="G98" i="6" s="1"/>
  <c r="H74" i="3"/>
  <c r="J66" i="6" s="1"/>
  <c r="V81" i="3"/>
  <c r="V89" i="3"/>
  <c r="H90" i="3"/>
  <c r="J82" i="6" s="1"/>
  <c r="V97" i="3"/>
  <c r="H98" i="3"/>
  <c r="J90" i="6" s="1"/>
  <c r="X99" i="3"/>
  <c r="W104" i="3"/>
  <c r="C96" i="6"/>
  <c r="A104" i="3"/>
  <c r="A105" i="3"/>
  <c r="F106" i="3"/>
  <c r="H98" i="6" s="1"/>
  <c r="C101" i="6"/>
  <c r="V109" i="3"/>
  <c r="X109" i="3"/>
  <c r="L100" i="6"/>
  <c r="E108" i="3"/>
  <c r="G100" i="6" s="1"/>
  <c r="H106" i="3"/>
  <c r="J98" i="6" s="1"/>
  <c r="A107" i="3"/>
  <c r="F38" i="8"/>
  <c r="X107" i="3"/>
  <c r="K80" i="6" l="1"/>
  <c r="F88" i="3"/>
  <c r="H80" i="6" s="1"/>
  <c r="L9" i="6"/>
  <c r="E17" i="3"/>
  <c r="G9" i="6" s="1"/>
  <c r="C23" i="8" s="1"/>
  <c r="K35" i="6"/>
  <c r="F43" i="3"/>
  <c r="H35" i="6" s="1"/>
  <c r="P22" i="5"/>
  <c r="S22" i="5" s="1"/>
  <c r="Q27" i="5"/>
  <c r="Q26" i="5"/>
  <c r="AB27" i="5"/>
  <c r="E1" i="3" s="1"/>
  <c r="K99" i="3"/>
  <c r="I99" i="3"/>
  <c r="J99" i="3"/>
  <c r="K103" i="3"/>
  <c r="J103" i="3"/>
  <c r="I103" i="3"/>
  <c r="L80" i="6"/>
  <c r="E88" i="3"/>
  <c r="G80" i="6" s="1"/>
  <c r="L63" i="6"/>
  <c r="E71" i="3"/>
  <c r="G63" i="6" s="1"/>
  <c r="K63" i="6"/>
  <c r="F71" i="3"/>
  <c r="H63" i="6" s="1"/>
  <c r="K91" i="3"/>
  <c r="J91" i="3"/>
  <c r="I91" i="3"/>
  <c r="C53" i="6"/>
  <c r="J61" i="3"/>
  <c r="I61" i="3"/>
  <c r="K64" i="6"/>
  <c r="F72" i="3"/>
  <c r="H64" i="6" s="1"/>
  <c r="L45" i="6"/>
  <c r="E53" i="3"/>
  <c r="G45" i="6" s="1"/>
  <c r="L41" i="6"/>
  <c r="E49" i="3"/>
  <c r="G41" i="6" s="1"/>
  <c r="L54" i="6"/>
  <c r="E62" i="3"/>
  <c r="G54" i="6" s="1"/>
  <c r="H102" i="3"/>
  <c r="J94" i="6" s="1"/>
  <c r="M94" i="6"/>
  <c r="G102" i="3"/>
  <c r="I94" i="6" s="1"/>
  <c r="L8" i="6"/>
  <c r="E16" i="3"/>
  <c r="G8" i="6" s="1"/>
  <c r="C22" i="8" s="1"/>
  <c r="K16" i="6"/>
  <c r="F24" i="3"/>
  <c r="H16" i="6" s="1"/>
  <c r="E30" i="8" s="1"/>
  <c r="L35" i="6"/>
  <c r="E43" i="3"/>
  <c r="G35" i="6" s="1"/>
  <c r="L24" i="6"/>
  <c r="E32" i="3"/>
  <c r="G24" i="6" s="1"/>
  <c r="L20" i="5"/>
  <c r="AB26" i="5"/>
  <c r="G1" i="3" s="1"/>
  <c r="P27" i="5"/>
  <c r="S27" i="5" s="1"/>
  <c r="T27" i="5" s="1"/>
  <c r="P26" i="5"/>
  <c r="S26" i="5" s="1"/>
  <c r="T26" i="5" s="1"/>
  <c r="V26" i="5" s="1"/>
  <c r="W26" i="5" s="1"/>
  <c r="X26" i="5" s="1"/>
  <c r="C48" i="6"/>
  <c r="J56" i="3"/>
  <c r="I56" i="3"/>
  <c r="C60" i="6"/>
  <c r="J68" i="3"/>
  <c r="I68" i="3"/>
  <c r="M74" i="6"/>
  <c r="G82" i="3"/>
  <c r="I74" i="6" s="1"/>
  <c r="K29" i="6"/>
  <c r="F37" i="3"/>
  <c r="H29" i="6" s="1"/>
  <c r="K87" i="3"/>
  <c r="J87" i="3"/>
  <c r="I87" i="3"/>
  <c r="M86" i="6"/>
  <c r="H94" i="3"/>
  <c r="J86" i="6" s="1"/>
  <c r="G94" i="3"/>
  <c r="I86" i="6" s="1"/>
  <c r="K58" i="6"/>
  <c r="F66" i="3"/>
  <c r="H58" i="6" s="1"/>
  <c r="L64" i="6"/>
  <c r="E72" i="3"/>
  <c r="G64" i="6" s="1"/>
  <c r="C44" i="6"/>
  <c r="J52" i="3"/>
  <c r="I52" i="3"/>
  <c r="M70" i="6"/>
  <c r="H78" i="3"/>
  <c r="J70" i="6" s="1"/>
  <c r="G78" i="3"/>
  <c r="I70" i="6" s="1"/>
  <c r="J69" i="3"/>
  <c r="I69" i="3"/>
  <c r="K33" i="6"/>
  <c r="F41" i="3"/>
  <c r="H33" i="6" s="1"/>
  <c r="C10" i="6"/>
  <c r="J18" i="3"/>
  <c r="I18" i="3"/>
  <c r="C23" i="6"/>
  <c r="J31" i="3"/>
  <c r="I31" i="3"/>
  <c r="C2" i="6"/>
  <c r="J10" i="3"/>
  <c r="I10" i="3"/>
  <c r="M98" i="6"/>
  <c r="G106" i="3"/>
  <c r="I98" i="6" s="1"/>
  <c r="L7" i="6"/>
  <c r="E15" i="3"/>
  <c r="G7" i="6" s="1"/>
  <c r="C21" i="8" s="1"/>
  <c r="K20" i="6"/>
  <c r="F28" i="3"/>
  <c r="H20" i="6" s="1"/>
  <c r="E34" i="8" s="1"/>
  <c r="L29" i="6"/>
  <c r="E37" i="3"/>
  <c r="G29" i="6" s="1"/>
  <c r="L21" i="5"/>
  <c r="P21" i="5"/>
  <c r="S21" i="5" s="1"/>
  <c r="J21" i="5"/>
  <c r="M21" i="5" s="1"/>
  <c r="E23" i="5"/>
  <c r="J20" i="5" s="1"/>
  <c r="M20" i="5" s="1"/>
  <c r="M76" i="6"/>
  <c r="G84" i="3"/>
  <c r="I76" i="6" s="1"/>
  <c r="M64" i="6"/>
  <c r="G72" i="3"/>
  <c r="I64" i="6" s="1"/>
  <c r="M101" i="6"/>
  <c r="G109" i="3"/>
  <c r="I101" i="6" s="1"/>
  <c r="K107" i="3"/>
  <c r="J107" i="3"/>
  <c r="I107" i="3"/>
  <c r="K101" i="6"/>
  <c r="F109" i="3"/>
  <c r="H101" i="6" s="1"/>
  <c r="K76" i="6"/>
  <c r="F84" i="3"/>
  <c r="H76" i="6" s="1"/>
  <c r="K79" i="3"/>
  <c r="J79" i="3"/>
  <c r="I79" i="3"/>
  <c r="L58" i="6"/>
  <c r="E66" i="3"/>
  <c r="G58" i="6" s="1"/>
  <c r="L49" i="6"/>
  <c r="E57" i="3"/>
  <c r="G49" i="6" s="1"/>
  <c r="C32" i="6"/>
  <c r="J40" i="3"/>
  <c r="I40" i="3"/>
  <c r="C40" i="6"/>
  <c r="I48" i="3"/>
  <c r="J48" i="3"/>
  <c r="C37" i="6"/>
  <c r="J45" i="3"/>
  <c r="I45" i="3"/>
  <c r="C22" i="6"/>
  <c r="J30" i="3"/>
  <c r="I30" i="3"/>
  <c r="K84" i="6"/>
  <c r="F92" i="3"/>
  <c r="H84" i="6" s="1"/>
  <c r="L15" i="6"/>
  <c r="E23" i="3"/>
  <c r="G15" i="6" s="1"/>
  <c r="C29" i="8" s="1"/>
  <c r="K7" i="6"/>
  <c r="F15" i="3"/>
  <c r="H7" i="6" s="1"/>
  <c r="E21" i="8" s="1"/>
  <c r="K21" i="5"/>
  <c r="K22" i="5"/>
  <c r="K15" i="5"/>
  <c r="K100" i="3"/>
  <c r="J100" i="3"/>
  <c r="I100" i="3"/>
  <c r="M81" i="6"/>
  <c r="G89" i="3"/>
  <c r="I81" i="6" s="1"/>
  <c r="H89" i="3"/>
  <c r="J81" i="6" s="1"/>
  <c r="I105" i="3"/>
  <c r="J105" i="3"/>
  <c r="K105" i="3"/>
  <c r="M100" i="6"/>
  <c r="G108" i="3"/>
  <c r="I100" i="6" s="1"/>
  <c r="H108" i="3"/>
  <c r="J100" i="6" s="1"/>
  <c r="K89" i="6"/>
  <c r="F97" i="3"/>
  <c r="H89" i="6" s="1"/>
  <c r="L101" i="6"/>
  <c r="E109" i="3"/>
  <c r="G101" i="6" s="1"/>
  <c r="I101" i="3"/>
  <c r="K101" i="3"/>
  <c r="J101" i="3"/>
  <c r="C56" i="6"/>
  <c r="J64" i="3"/>
  <c r="I64" i="3"/>
  <c r="L81" i="6"/>
  <c r="E89" i="3"/>
  <c r="G81" i="6" s="1"/>
  <c r="M80" i="6"/>
  <c r="H88" i="3"/>
  <c r="J80" i="6" s="1"/>
  <c r="G88" i="3"/>
  <c r="I80" i="6" s="1"/>
  <c r="J96" i="3"/>
  <c r="I96" i="3"/>
  <c r="K96" i="3"/>
  <c r="K50" i="6"/>
  <c r="F58" i="3"/>
  <c r="H50" i="6" s="1"/>
  <c r="K62" i="6"/>
  <c r="F70" i="3"/>
  <c r="H62" i="6" s="1"/>
  <c r="L33" i="6"/>
  <c r="E41" i="3"/>
  <c r="G33" i="6" s="1"/>
  <c r="C3" i="6"/>
  <c r="J11" i="3"/>
  <c r="I11" i="3"/>
  <c r="M66" i="6"/>
  <c r="G74" i="3"/>
  <c r="I66" i="6" s="1"/>
  <c r="L19" i="6"/>
  <c r="E27" i="3"/>
  <c r="G19" i="6" s="1"/>
  <c r="C33" i="8" s="1"/>
  <c r="M84" i="6"/>
  <c r="H92" i="3"/>
  <c r="J84" i="6" s="1"/>
  <c r="G92" i="3"/>
  <c r="I84" i="6" s="1"/>
  <c r="K4" i="6"/>
  <c r="F12" i="3"/>
  <c r="H4" i="6" s="1"/>
  <c r="E18" i="8" s="1"/>
  <c r="C36" i="6"/>
  <c r="I44" i="3"/>
  <c r="J44" i="3"/>
  <c r="L21" i="6"/>
  <c r="E29" i="3"/>
  <c r="G21" i="6" s="1"/>
  <c r="C35" i="8" s="1"/>
  <c r="E7" i="5"/>
  <c r="L34" i="6"/>
  <c r="E42" i="3"/>
  <c r="G34" i="6" s="1"/>
  <c r="K20" i="5"/>
  <c r="E17" i="5"/>
  <c r="J15" i="5" s="1"/>
  <c r="M15" i="5" s="1"/>
  <c r="K75" i="3"/>
  <c r="J75" i="3"/>
  <c r="I75" i="3"/>
  <c r="K49" i="6"/>
  <c r="F57" i="3"/>
  <c r="H49" i="6" s="1"/>
  <c r="K24" i="6"/>
  <c r="F32" i="3"/>
  <c r="H24" i="6" s="1"/>
  <c r="M69" i="6"/>
  <c r="H77" i="3"/>
  <c r="J69" i="6" s="1"/>
  <c r="G77" i="3"/>
  <c r="I69" i="6" s="1"/>
  <c r="L5" i="6"/>
  <c r="E13" i="3"/>
  <c r="G5" i="6" s="1"/>
  <c r="C19" i="8" s="1"/>
  <c r="L84" i="6"/>
  <c r="E92" i="3"/>
  <c r="G84" i="6" s="1"/>
  <c r="C12" i="6"/>
  <c r="I20" i="3"/>
  <c r="J20" i="3"/>
  <c r="Q11" i="5"/>
  <c r="Q10" i="5"/>
  <c r="AB11" i="5"/>
  <c r="R4" i="3" s="1"/>
  <c r="K5" i="5"/>
  <c r="K6" i="5"/>
  <c r="J6" i="5"/>
  <c r="M6" i="5" s="1"/>
  <c r="C52" i="6"/>
  <c r="J60" i="3"/>
  <c r="I60" i="3"/>
  <c r="I93" i="3"/>
  <c r="K93" i="3"/>
  <c r="J93" i="3"/>
  <c r="M78" i="6"/>
  <c r="H86" i="3"/>
  <c r="J78" i="6" s="1"/>
  <c r="G86" i="3"/>
  <c r="I78" i="6" s="1"/>
  <c r="C26" i="6"/>
  <c r="J34" i="3"/>
  <c r="I34" i="3"/>
  <c r="H84" i="3"/>
  <c r="J76" i="6" s="1"/>
  <c r="M63" i="6"/>
  <c r="G71" i="3"/>
  <c r="I63" i="6" s="1"/>
  <c r="M68" i="6"/>
  <c r="H76" i="3"/>
  <c r="J68" i="6" s="1"/>
  <c r="G76" i="3"/>
  <c r="I68" i="6" s="1"/>
  <c r="C18" i="6"/>
  <c r="I26" i="3"/>
  <c r="J26" i="3"/>
  <c r="AB10" i="5"/>
  <c r="Q4" i="3" s="1"/>
  <c r="P11" i="5"/>
  <c r="S11" i="5" s="1"/>
  <c r="T11" i="5" s="1"/>
  <c r="P10" i="5"/>
  <c r="S10" i="5" s="1"/>
  <c r="T10" i="5" s="1"/>
  <c r="V10" i="5" s="1"/>
  <c r="W10" i="5" s="1"/>
  <c r="X10" i="5" s="1"/>
  <c r="K4" i="5"/>
  <c r="K34" i="6"/>
  <c r="F42" i="3"/>
  <c r="H34" i="6" s="1"/>
  <c r="AB32" i="5"/>
  <c r="Q32" i="5"/>
  <c r="Q31" i="5"/>
  <c r="K54" i="6"/>
  <c r="F62" i="3"/>
  <c r="H54" i="6" s="1"/>
  <c r="K104" i="3"/>
  <c r="J104" i="3"/>
  <c r="I104" i="3"/>
  <c r="K95" i="3"/>
  <c r="J95" i="3"/>
  <c r="I95" i="3"/>
  <c r="J80" i="3"/>
  <c r="K80" i="3"/>
  <c r="I80" i="3"/>
  <c r="K100" i="6"/>
  <c r="F108" i="3"/>
  <c r="H100" i="6" s="1"/>
  <c r="M89" i="6"/>
  <c r="H97" i="3"/>
  <c r="J89" i="6" s="1"/>
  <c r="G97" i="3"/>
  <c r="I89" i="6" s="1"/>
  <c r="K83" i="3"/>
  <c r="J83" i="3"/>
  <c r="I83" i="3"/>
  <c r="I85" i="3"/>
  <c r="K85" i="3"/>
  <c r="J85" i="3"/>
  <c r="M73" i="6"/>
  <c r="H81" i="3"/>
  <c r="J73" i="6" s="1"/>
  <c r="G81" i="3"/>
  <c r="I73" i="6" s="1"/>
  <c r="M82" i="6"/>
  <c r="G90" i="3"/>
  <c r="I82" i="6" s="1"/>
  <c r="I73" i="3"/>
  <c r="J73" i="3"/>
  <c r="K73" i="3"/>
  <c r="C57" i="6"/>
  <c r="J65" i="3"/>
  <c r="I65" i="3"/>
  <c r="K46" i="6"/>
  <c r="F54" i="3"/>
  <c r="H46" i="6" s="1"/>
  <c r="M62" i="6"/>
  <c r="G70" i="3"/>
  <c r="I62" i="6" s="1"/>
  <c r="H70" i="3"/>
  <c r="J62" i="6" s="1"/>
  <c r="K42" i="6"/>
  <c r="F50" i="3"/>
  <c r="H42" i="6" s="1"/>
  <c r="K31" i="6"/>
  <c r="F39" i="3"/>
  <c r="H31" i="6" s="1"/>
  <c r="K9" i="6"/>
  <c r="F17" i="3"/>
  <c r="H9" i="6" s="1"/>
  <c r="E23" i="8" s="1"/>
  <c r="M90" i="6"/>
  <c r="G98" i="3"/>
  <c r="I90" i="6" s="1"/>
  <c r="C38" i="6"/>
  <c r="I46" i="3"/>
  <c r="J46" i="3"/>
  <c r="K25" i="6"/>
  <c r="F33" i="3"/>
  <c r="H25" i="6" s="1"/>
  <c r="C14" i="6"/>
  <c r="I22" i="3"/>
  <c r="J22" i="3"/>
  <c r="C11" i="6"/>
  <c r="J19" i="3"/>
  <c r="I19" i="3"/>
  <c r="P31" i="5"/>
  <c r="S31" i="5" s="1"/>
  <c r="T31" i="5" s="1"/>
  <c r="V31" i="5" s="1"/>
  <c r="W31" i="5" s="1"/>
  <c r="X31" i="5" s="1"/>
  <c r="AB31" i="5"/>
  <c r="P32" i="5"/>
  <c r="S32" i="5" s="1"/>
  <c r="T32" i="5" s="1"/>
  <c r="L48" i="6" l="1"/>
  <c r="E56" i="3"/>
  <c r="G48" i="6" s="1"/>
  <c r="K38" i="6"/>
  <c r="F46" i="3"/>
  <c r="H38" i="6" s="1"/>
  <c r="M75" i="6"/>
  <c r="G83" i="3"/>
  <c r="I75" i="6" s="1"/>
  <c r="H83" i="3"/>
  <c r="J75" i="6" s="1"/>
  <c r="L72" i="6"/>
  <c r="E80" i="3"/>
  <c r="G72" i="6" s="1"/>
  <c r="K67" i="6"/>
  <c r="F75" i="3"/>
  <c r="H67" i="6" s="1"/>
  <c r="J4" i="5"/>
  <c r="M4" i="5" s="1"/>
  <c r="F36" i="5"/>
  <c r="L93" i="6"/>
  <c r="E101" i="3"/>
  <c r="G93" i="6" s="1"/>
  <c r="K92" i="6"/>
  <c r="F100" i="3"/>
  <c r="H92" i="6" s="1"/>
  <c r="K32" i="6"/>
  <c r="F40" i="3"/>
  <c r="H32" i="6" s="1"/>
  <c r="K71" i="6"/>
  <c r="F79" i="3"/>
  <c r="H71" i="6" s="1"/>
  <c r="L99" i="6"/>
  <c r="E107" i="3"/>
  <c r="G99" i="6" s="1"/>
  <c r="AB20" i="5"/>
  <c r="N3" i="3" s="1"/>
  <c r="P20" i="5"/>
  <c r="S20" i="5" s="1"/>
  <c r="T20" i="5" s="1"/>
  <c r="V20" i="5" s="1"/>
  <c r="W20" i="5" s="1"/>
  <c r="X20" i="5" s="1"/>
  <c r="K23" i="6"/>
  <c r="F31" i="3"/>
  <c r="H23" i="6" s="1"/>
  <c r="E37" i="8" s="1"/>
  <c r="K44" i="6"/>
  <c r="F52" i="3"/>
  <c r="H44" i="6" s="1"/>
  <c r="M95" i="6"/>
  <c r="G103" i="3"/>
  <c r="I95" i="6" s="1"/>
  <c r="H103" i="3"/>
  <c r="J95" i="6" s="1"/>
  <c r="J22" i="5"/>
  <c r="M22" i="5" s="1"/>
  <c r="K57" i="6"/>
  <c r="F65" i="3"/>
  <c r="H57" i="6" s="1"/>
  <c r="K99" i="6"/>
  <c r="F107" i="3"/>
  <c r="H99" i="6" s="1"/>
  <c r="M83" i="6"/>
  <c r="G91" i="3"/>
  <c r="I83" i="6" s="1"/>
  <c r="H91" i="3"/>
  <c r="J83" i="6" s="1"/>
  <c r="K14" i="6"/>
  <c r="F22" i="3"/>
  <c r="H14" i="6" s="1"/>
  <c r="E28" i="8" s="1"/>
  <c r="L57" i="6"/>
  <c r="E65" i="3"/>
  <c r="G57" i="6" s="1"/>
  <c r="K87" i="6"/>
  <c r="F95" i="3"/>
  <c r="H87" i="6" s="1"/>
  <c r="Q6" i="3"/>
  <c r="L12" i="6"/>
  <c r="E20" i="3"/>
  <c r="G12" i="6" s="1"/>
  <c r="C26" i="8" s="1"/>
  <c r="L67" i="6"/>
  <c r="E75" i="3"/>
  <c r="G67" i="6" s="1"/>
  <c r="J5" i="5"/>
  <c r="M5" i="5" s="1"/>
  <c r="M93" i="6"/>
  <c r="G101" i="3"/>
  <c r="I93" i="6" s="1"/>
  <c r="H101" i="3"/>
  <c r="J93" i="6" s="1"/>
  <c r="L92" i="6"/>
  <c r="E100" i="3"/>
  <c r="G92" i="6" s="1"/>
  <c r="K37" i="6"/>
  <c r="F45" i="3"/>
  <c r="H37" i="6" s="1"/>
  <c r="L32" i="6"/>
  <c r="E40" i="3"/>
  <c r="G32" i="6" s="1"/>
  <c r="L71" i="6"/>
  <c r="E79" i="3"/>
  <c r="G71" i="6" s="1"/>
  <c r="M99" i="6"/>
  <c r="G107" i="3"/>
  <c r="I99" i="6" s="1"/>
  <c r="H107" i="3"/>
  <c r="J99" i="6" s="1"/>
  <c r="AB21" i="5"/>
  <c r="Q3" i="3" s="1"/>
  <c r="Q21" i="5"/>
  <c r="Q20" i="5"/>
  <c r="Q22" i="5"/>
  <c r="L23" i="6"/>
  <c r="E31" i="3"/>
  <c r="G23" i="6" s="1"/>
  <c r="C37" i="8" s="1"/>
  <c r="L44" i="6"/>
  <c r="E52" i="3"/>
  <c r="G44" i="6" s="1"/>
  <c r="L91" i="6"/>
  <c r="E99" i="3"/>
  <c r="G91" i="6" s="1"/>
  <c r="L87" i="6"/>
  <c r="E95" i="3"/>
  <c r="G87" i="6" s="1"/>
  <c r="L18" i="6"/>
  <c r="E26" i="3"/>
  <c r="G18" i="6" s="1"/>
  <c r="C32" i="8" s="1"/>
  <c r="M67" i="6"/>
  <c r="G75" i="3"/>
  <c r="I67" i="6" s="1"/>
  <c r="H75" i="3"/>
  <c r="J67" i="6" s="1"/>
  <c r="K3" i="6"/>
  <c r="F11" i="3"/>
  <c r="H3" i="6" s="1"/>
  <c r="E17" i="8" s="1"/>
  <c r="K93" i="6"/>
  <c r="F101" i="3"/>
  <c r="H93" i="6" s="1"/>
  <c r="M97" i="6"/>
  <c r="G105" i="3"/>
  <c r="I97" i="6" s="1"/>
  <c r="H105" i="3"/>
  <c r="J97" i="6" s="1"/>
  <c r="M92" i="6"/>
  <c r="G100" i="3"/>
  <c r="I92" i="6" s="1"/>
  <c r="H100" i="3"/>
  <c r="J92" i="6" s="1"/>
  <c r="L37" i="6"/>
  <c r="E45" i="3"/>
  <c r="G37" i="6" s="1"/>
  <c r="M71" i="6"/>
  <c r="G79" i="3"/>
  <c r="I71" i="6" s="1"/>
  <c r="H79" i="3"/>
  <c r="J71" i="6" s="1"/>
  <c r="T21" i="5"/>
  <c r="K61" i="6"/>
  <c r="F69" i="3"/>
  <c r="H61" i="6" s="1"/>
  <c r="K60" i="6"/>
  <c r="F68" i="3"/>
  <c r="H60" i="6" s="1"/>
  <c r="K53" i="6"/>
  <c r="F61" i="3"/>
  <c r="H53" i="6" s="1"/>
  <c r="K91" i="6"/>
  <c r="F99" i="3"/>
  <c r="H91" i="6" s="1"/>
  <c r="L75" i="6"/>
  <c r="E83" i="3"/>
  <c r="G75" i="6" s="1"/>
  <c r="L14" i="6"/>
  <c r="E22" i="3"/>
  <c r="G14" i="6" s="1"/>
  <c r="C28" i="8" s="1"/>
  <c r="L97" i="6"/>
  <c r="E105" i="3"/>
  <c r="G97" i="6" s="1"/>
  <c r="L61" i="6"/>
  <c r="E69" i="3"/>
  <c r="G61" i="6" s="1"/>
  <c r="K79" i="6"/>
  <c r="F87" i="3"/>
  <c r="H79" i="6" s="1"/>
  <c r="L60" i="6"/>
  <c r="E68" i="3"/>
  <c r="G60" i="6" s="1"/>
  <c r="L53" i="6"/>
  <c r="E61" i="3"/>
  <c r="G53" i="6" s="1"/>
  <c r="M91" i="6"/>
  <c r="H99" i="3"/>
  <c r="J91" i="6" s="1"/>
  <c r="G99" i="3"/>
  <c r="I91" i="6" s="1"/>
  <c r="M72" i="6"/>
  <c r="H80" i="3"/>
  <c r="J72" i="6" s="1"/>
  <c r="G80" i="3"/>
  <c r="I72" i="6" s="1"/>
  <c r="L95" i="6"/>
  <c r="E103" i="3"/>
  <c r="G95" i="6" s="1"/>
  <c r="L77" i="6"/>
  <c r="E85" i="3"/>
  <c r="G77" i="6" s="1"/>
  <c r="K18" i="6"/>
  <c r="F26" i="3"/>
  <c r="H18" i="6" s="1"/>
  <c r="E32" i="8" s="1"/>
  <c r="R6" i="5"/>
  <c r="R4" i="5"/>
  <c r="R5" i="5"/>
  <c r="AB6" i="5"/>
  <c r="P4" i="3" s="1"/>
  <c r="P15" i="5"/>
  <c r="S15" i="5" s="1"/>
  <c r="T15" i="5" s="1"/>
  <c r="V15" i="5" s="1"/>
  <c r="W15" i="5" s="1"/>
  <c r="X15" i="5" s="1"/>
  <c r="AB15" i="5"/>
  <c r="P16" i="5"/>
  <c r="S16" i="5" s="1"/>
  <c r="K11" i="6"/>
  <c r="F19" i="3"/>
  <c r="H11" i="6" s="1"/>
  <c r="E25" i="8" s="1"/>
  <c r="M77" i="6"/>
  <c r="G85" i="3"/>
  <c r="I77" i="6" s="1"/>
  <c r="H85" i="3"/>
  <c r="J77" i="6" s="1"/>
  <c r="F104" i="3"/>
  <c r="H96" i="6" s="1"/>
  <c r="K96" i="6"/>
  <c r="K26" i="6"/>
  <c r="F34" i="3"/>
  <c r="H26" i="6" s="1"/>
  <c r="M85" i="6"/>
  <c r="G93" i="3"/>
  <c r="I85" i="6" s="1"/>
  <c r="H93" i="3"/>
  <c r="J85" i="6" s="1"/>
  <c r="J16" i="5"/>
  <c r="M16" i="5" s="1"/>
  <c r="M88" i="6"/>
  <c r="G96" i="3"/>
  <c r="I88" i="6" s="1"/>
  <c r="H96" i="3"/>
  <c r="J88" i="6" s="1"/>
  <c r="K56" i="6"/>
  <c r="F64" i="3"/>
  <c r="H56" i="6" s="1"/>
  <c r="K97" i="6"/>
  <c r="F105" i="3"/>
  <c r="H97" i="6" s="1"/>
  <c r="K22" i="6"/>
  <c r="F30" i="3"/>
  <c r="H22" i="6" s="1"/>
  <c r="E36" i="8" s="1"/>
  <c r="L40" i="6"/>
  <c r="E48" i="3"/>
  <c r="G40" i="6" s="1"/>
  <c r="K2" i="6"/>
  <c r="F10" i="3"/>
  <c r="H2" i="6" s="1"/>
  <c r="E16" i="8" s="1"/>
  <c r="K10" i="6"/>
  <c r="F18" i="3"/>
  <c r="H10" i="6" s="1"/>
  <c r="E24" i="8" s="1"/>
  <c r="L79" i="6"/>
  <c r="E87" i="3"/>
  <c r="G79" i="6" s="1"/>
  <c r="G2" i="3"/>
  <c r="G3" i="3" s="1"/>
  <c r="H2" i="3"/>
  <c r="H3" i="3" s="1"/>
  <c r="F2" i="3"/>
  <c r="F3" i="3" s="1"/>
  <c r="E2" i="3"/>
  <c r="E3" i="3" s="1"/>
  <c r="L38" i="6"/>
  <c r="E46" i="3"/>
  <c r="G38" i="6" s="1"/>
  <c r="M65" i="6"/>
  <c r="G73" i="3"/>
  <c r="I65" i="6" s="1"/>
  <c r="H73" i="3"/>
  <c r="J65" i="6" s="1"/>
  <c r="M87" i="6"/>
  <c r="G95" i="3"/>
  <c r="I87" i="6" s="1"/>
  <c r="H95" i="3"/>
  <c r="J87" i="6" s="1"/>
  <c r="L85" i="6"/>
  <c r="E93" i="3"/>
  <c r="G85" i="6" s="1"/>
  <c r="K12" i="6"/>
  <c r="F20" i="3"/>
  <c r="H12" i="6" s="1"/>
  <c r="E26" i="8" s="1"/>
  <c r="L3" i="6"/>
  <c r="E11" i="3"/>
  <c r="G3" i="6" s="1"/>
  <c r="C17" i="8" s="1"/>
  <c r="L65" i="6"/>
  <c r="E73" i="3"/>
  <c r="G65" i="6" s="1"/>
  <c r="K65" i="6"/>
  <c r="F73" i="3"/>
  <c r="H65" i="6" s="1"/>
  <c r="K77" i="6"/>
  <c r="F85" i="3"/>
  <c r="H77" i="6" s="1"/>
  <c r="L96" i="6"/>
  <c r="E104" i="3"/>
  <c r="G96" i="6" s="1"/>
  <c r="L26" i="6"/>
  <c r="E34" i="3"/>
  <c r="G26" i="6" s="1"/>
  <c r="K85" i="6"/>
  <c r="F93" i="3"/>
  <c r="H85" i="6" s="1"/>
  <c r="L36" i="6"/>
  <c r="E44" i="3"/>
  <c r="G36" i="6" s="1"/>
  <c r="K88" i="6"/>
  <c r="F96" i="3"/>
  <c r="H88" i="6" s="1"/>
  <c r="L56" i="6"/>
  <c r="E64" i="3"/>
  <c r="G56" i="6" s="1"/>
  <c r="L22" i="6"/>
  <c r="E30" i="3"/>
  <c r="G22" i="6" s="1"/>
  <c r="C36" i="8" s="1"/>
  <c r="K40" i="6"/>
  <c r="F48" i="3"/>
  <c r="H40" i="6" s="1"/>
  <c r="L2" i="6"/>
  <c r="E10" i="3"/>
  <c r="G2" i="6" s="1"/>
  <c r="C16" i="8" s="1"/>
  <c r="L10" i="6"/>
  <c r="E18" i="3"/>
  <c r="G10" i="6" s="1"/>
  <c r="C24" i="8" s="1"/>
  <c r="M79" i="6"/>
  <c r="G87" i="3"/>
  <c r="I79" i="6" s="1"/>
  <c r="H87" i="3"/>
  <c r="J79" i="6" s="1"/>
  <c r="K83" i="6"/>
  <c r="F91" i="3"/>
  <c r="H83" i="6" s="1"/>
  <c r="L52" i="6"/>
  <c r="E60" i="3"/>
  <c r="G52" i="6" s="1"/>
  <c r="L11" i="6"/>
  <c r="E19" i="3"/>
  <c r="G11" i="6" s="1"/>
  <c r="C25" i="8" s="1"/>
  <c r="K75" i="6"/>
  <c r="F83" i="3"/>
  <c r="H75" i="6" s="1"/>
  <c r="K72" i="6"/>
  <c r="F80" i="3"/>
  <c r="H72" i="6" s="1"/>
  <c r="M96" i="6"/>
  <c r="G104" i="3"/>
  <c r="I96" i="6" s="1"/>
  <c r="H104" i="3"/>
  <c r="J96" i="6" s="1"/>
  <c r="K52" i="6"/>
  <c r="F60" i="3"/>
  <c r="H52" i="6" s="1"/>
  <c r="R6" i="3"/>
  <c r="K36" i="6"/>
  <c r="F44" i="3"/>
  <c r="H36" i="6" s="1"/>
  <c r="L88" i="6"/>
  <c r="E96" i="3"/>
  <c r="G88" i="6" s="1"/>
  <c r="K48" i="6"/>
  <c r="F56" i="3"/>
  <c r="H48" i="6" s="1"/>
  <c r="L83" i="6"/>
  <c r="E91" i="3"/>
  <c r="G83" i="6" s="1"/>
  <c r="K95" i="6"/>
  <c r="F103" i="3"/>
  <c r="H95" i="6" s="1"/>
  <c r="E5" i="3" l="1"/>
  <c r="D5" i="3" s="1"/>
  <c r="Q102" i="3"/>
  <c r="Q107" i="3"/>
  <c r="Q94" i="3"/>
  <c r="Q86" i="3"/>
  <c r="Q78" i="3"/>
  <c r="Q104" i="3"/>
  <c r="Q88" i="3"/>
  <c r="Q84" i="3"/>
  <c r="Q89" i="3"/>
  <c r="Q81" i="3"/>
  <c r="Q77" i="3"/>
  <c r="Q76" i="3"/>
  <c r="Q75" i="3"/>
  <c r="Q67" i="3"/>
  <c r="Q59" i="3"/>
  <c r="Q51" i="3"/>
  <c r="Q43" i="3"/>
  <c r="Q99" i="3"/>
  <c r="Q61" i="3"/>
  <c r="Q57" i="3"/>
  <c r="Q62" i="3"/>
  <c r="Q35" i="3"/>
  <c r="Q70" i="3"/>
  <c r="Q50" i="3"/>
  <c r="Q49" i="3"/>
  <c r="Q48" i="3"/>
  <c r="Q97" i="3"/>
  <c r="Q92" i="3"/>
  <c r="Q65" i="3"/>
  <c r="Q40" i="3"/>
  <c r="Q64" i="3"/>
  <c r="Q29" i="3"/>
  <c r="Q21" i="3"/>
  <c r="Q31" i="3"/>
  <c r="Q34" i="3"/>
  <c r="Q12" i="3"/>
  <c r="Q32" i="3"/>
  <c r="Q28" i="3"/>
  <c r="Q27" i="3"/>
  <c r="Q26" i="3"/>
  <c r="Q24" i="3"/>
  <c r="Q23" i="3"/>
  <c r="Q22" i="3"/>
  <c r="Q14" i="3"/>
  <c r="Q36" i="3"/>
  <c r="Q13" i="3"/>
  <c r="G3" i="1"/>
  <c r="Q30" i="3"/>
  <c r="Q19" i="3"/>
  <c r="Q69" i="3"/>
  <c r="Q56" i="3"/>
  <c r="Q101" i="3"/>
  <c r="Q47" i="3"/>
  <c r="Q58" i="3"/>
  <c r="Q80" i="3"/>
  <c r="Q20" i="3"/>
  <c r="Q42" i="3"/>
  <c r="Q45" i="3"/>
  <c r="Q52" i="3"/>
  <c r="Q79" i="3"/>
  <c r="Q100" i="3"/>
  <c r="Q53" i="3"/>
  <c r="Q17" i="3"/>
  <c r="Q87" i="3"/>
  <c r="Q93" i="3"/>
  <c r="Q41" i="3"/>
  <c r="Q11" i="3"/>
  <c r="Q54" i="3"/>
  <c r="Q83" i="3"/>
  <c r="Q106" i="3"/>
  <c r="Q68" i="3"/>
  <c r="Q71" i="3"/>
  <c r="Q37" i="3"/>
  <c r="Q15" i="3"/>
  <c r="Q60" i="3"/>
  <c r="Q96" i="3"/>
  <c r="Q90" i="3"/>
  <c r="Q105" i="3"/>
  <c r="Q109" i="3"/>
  <c r="Q44" i="3"/>
  <c r="Q25" i="3"/>
  <c r="Q95" i="3"/>
  <c r="Q82" i="3"/>
  <c r="Q46" i="3"/>
  <c r="Q66" i="3"/>
  <c r="Q38" i="3"/>
  <c r="Q18" i="3"/>
  <c r="Q63" i="3"/>
  <c r="Q103" i="3"/>
  <c r="Q108" i="3"/>
  <c r="Q74" i="3"/>
  <c r="Q10" i="3"/>
  <c r="Q16" i="3"/>
  <c r="Q39" i="3"/>
  <c r="Q73" i="3"/>
  <c r="Q91" i="3"/>
  <c r="Q85" i="3"/>
  <c r="Q98" i="3"/>
  <c r="Q33" i="3"/>
  <c r="Q55" i="3"/>
  <c r="Q72" i="3"/>
  <c r="F5" i="3"/>
  <c r="T16" i="5"/>
  <c r="T4" i="3"/>
  <c r="S4" i="3"/>
  <c r="AB5" i="5"/>
  <c r="O4" i="3" s="1"/>
  <c r="O6" i="3" s="1"/>
  <c r="Q5" i="5"/>
  <c r="Q6" i="5"/>
  <c r="Q4" i="5"/>
  <c r="AB4" i="5"/>
  <c r="N4" i="3" s="1"/>
  <c r="N6" i="3" s="1"/>
  <c r="P4" i="5"/>
  <c r="S4" i="5" s="1"/>
  <c r="T4" i="5" s="1"/>
  <c r="V4" i="5" s="1"/>
  <c r="W4" i="5" s="1"/>
  <c r="X4" i="5" s="1"/>
  <c r="P5" i="5"/>
  <c r="S5" i="5" s="1"/>
  <c r="P6" i="5"/>
  <c r="S6" i="5" s="1"/>
  <c r="T6" i="5" s="1"/>
  <c r="R106" i="3"/>
  <c r="R102" i="3"/>
  <c r="R107" i="3"/>
  <c r="R104" i="3"/>
  <c r="R94" i="3"/>
  <c r="R78" i="3"/>
  <c r="R63" i="3"/>
  <c r="R90" i="3"/>
  <c r="R86" i="3"/>
  <c r="R74" i="3"/>
  <c r="R82" i="3"/>
  <c r="R100" i="3"/>
  <c r="R87" i="3"/>
  <c r="R99" i="3"/>
  <c r="R84" i="3"/>
  <c r="R51" i="3"/>
  <c r="R33" i="3"/>
  <c r="R70" i="3"/>
  <c r="R59" i="3"/>
  <c r="R55" i="3"/>
  <c r="R47" i="3"/>
  <c r="R95" i="3"/>
  <c r="R67" i="3"/>
  <c r="R65" i="3"/>
  <c r="R43" i="3"/>
  <c r="R68" i="3"/>
  <c r="R40" i="3"/>
  <c r="R64" i="3"/>
  <c r="R71" i="3"/>
  <c r="R36" i="3"/>
  <c r="R29" i="3"/>
  <c r="R27" i="3"/>
  <c r="R26" i="3"/>
  <c r="R25" i="3"/>
  <c r="R23" i="3"/>
  <c r="R22" i="3"/>
  <c r="R21" i="3"/>
  <c r="R14" i="3"/>
  <c r="R39" i="3"/>
  <c r="R15" i="3"/>
  <c r="R17" i="3"/>
  <c r="R35" i="3"/>
  <c r="R13" i="3"/>
  <c r="R57" i="3"/>
  <c r="R10" i="3"/>
  <c r="H3" i="1"/>
  <c r="R24" i="3"/>
  <c r="R18" i="3"/>
  <c r="R45" i="3"/>
  <c r="R89" i="3"/>
  <c r="R32" i="3"/>
  <c r="R28" i="3"/>
  <c r="R30" i="3"/>
  <c r="R46" i="3"/>
  <c r="R58" i="3"/>
  <c r="R56" i="3"/>
  <c r="R93" i="3"/>
  <c r="R98" i="3"/>
  <c r="R41" i="3"/>
  <c r="R42" i="3"/>
  <c r="R73" i="3"/>
  <c r="R52" i="3"/>
  <c r="R37" i="3"/>
  <c r="R69" i="3"/>
  <c r="R53" i="3"/>
  <c r="R96" i="3"/>
  <c r="R62" i="3"/>
  <c r="R83" i="3"/>
  <c r="R79" i="3"/>
  <c r="R105" i="3"/>
  <c r="R109" i="3"/>
  <c r="R76" i="3"/>
  <c r="R81" i="3"/>
  <c r="R19" i="3"/>
  <c r="R12" i="3"/>
  <c r="R50" i="3"/>
  <c r="R66" i="3"/>
  <c r="R34" i="3"/>
  <c r="R77" i="3"/>
  <c r="R92" i="3"/>
  <c r="R80" i="3"/>
  <c r="R103" i="3"/>
  <c r="R97" i="3"/>
  <c r="R16" i="3"/>
  <c r="R38" i="3"/>
  <c r="R31" i="3"/>
  <c r="R20" i="3"/>
  <c r="R54" i="3"/>
  <c r="R60" i="3"/>
  <c r="R48" i="3"/>
  <c r="R91" i="3"/>
  <c r="R85" i="3"/>
  <c r="R101" i="3"/>
  <c r="R44" i="3"/>
  <c r="R11" i="3"/>
  <c r="R61" i="3"/>
  <c r="R49" i="3"/>
  <c r="R72" i="3"/>
  <c r="R88" i="3"/>
  <c r="R75" i="3"/>
  <c r="R108" i="3"/>
  <c r="AB16" i="5"/>
  <c r="U4" i="3" s="1"/>
  <c r="Q16" i="5"/>
  <c r="Q15" i="5"/>
  <c r="P6" i="3"/>
  <c r="R22" i="5"/>
  <c r="T22" i="5" s="1"/>
  <c r="R20" i="5"/>
  <c r="R21" i="5"/>
  <c r="AB22" i="5"/>
  <c r="S3" i="3" s="1"/>
  <c r="O109" i="3" l="1"/>
  <c r="O106" i="3"/>
  <c r="O102" i="3"/>
  <c r="O98" i="3"/>
  <c r="O107" i="3"/>
  <c r="O97" i="3"/>
  <c r="O70" i="3"/>
  <c r="O94" i="3"/>
  <c r="O90" i="3"/>
  <c r="O89" i="3"/>
  <c r="O78" i="3"/>
  <c r="O86" i="3"/>
  <c r="O82" i="3"/>
  <c r="O81" i="3"/>
  <c r="O75" i="3"/>
  <c r="O74" i="3"/>
  <c r="O77" i="3"/>
  <c r="O63" i="3"/>
  <c r="O62" i="3"/>
  <c r="O55" i="3"/>
  <c r="O52" i="3"/>
  <c r="O51" i="3"/>
  <c r="O35" i="3"/>
  <c r="O59" i="3"/>
  <c r="O58" i="3"/>
  <c r="O54" i="3"/>
  <c r="O48" i="3"/>
  <c r="O47" i="3"/>
  <c r="O67" i="3"/>
  <c r="O50" i="3"/>
  <c r="O43" i="3"/>
  <c r="O71" i="3"/>
  <c r="O16" i="3"/>
  <c r="O10" i="3"/>
  <c r="E3" i="1"/>
  <c r="O40" i="3"/>
  <c r="O34" i="3"/>
  <c r="O13" i="3"/>
  <c r="O29" i="3"/>
  <c r="O25" i="3"/>
  <c r="O28" i="3"/>
  <c r="O22" i="3"/>
  <c r="O21" i="3"/>
  <c r="O14" i="3"/>
  <c r="O64" i="3"/>
  <c r="O36" i="3"/>
  <c r="O24" i="3"/>
  <c r="O17" i="3"/>
  <c r="O33" i="3"/>
  <c r="O30" i="3"/>
  <c r="O44" i="3"/>
  <c r="O18" i="3"/>
  <c r="O12" i="3"/>
  <c r="O19" i="3"/>
  <c r="O31" i="3"/>
  <c r="O61" i="3"/>
  <c r="O60" i="3"/>
  <c r="O76" i="3"/>
  <c r="O88" i="3"/>
  <c r="O84" i="3"/>
  <c r="O101" i="3"/>
  <c r="O56" i="3"/>
  <c r="O49" i="3"/>
  <c r="O53" i="3"/>
  <c r="O39" i="3"/>
  <c r="O83" i="3"/>
  <c r="O80" i="3"/>
  <c r="O93" i="3"/>
  <c r="O66" i="3"/>
  <c r="O69" i="3"/>
  <c r="O103" i="3"/>
  <c r="O20" i="3"/>
  <c r="O11" i="3"/>
  <c r="O65" i="3"/>
  <c r="O68" i="3"/>
  <c r="O38" i="3"/>
  <c r="O32" i="3"/>
  <c r="O72" i="3"/>
  <c r="O79" i="3"/>
  <c r="O92" i="3"/>
  <c r="O87" i="3"/>
  <c r="O37" i="3"/>
  <c r="O23" i="3"/>
  <c r="O26" i="3"/>
  <c r="O41" i="3"/>
  <c r="O15" i="3"/>
  <c r="O45" i="3"/>
  <c r="O85" i="3"/>
  <c r="O95" i="3"/>
  <c r="O100" i="3"/>
  <c r="O105" i="3"/>
  <c r="O108" i="3"/>
  <c r="O91" i="3"/>
  <c r="O27" i="3"/>
  <c r="O42" i="3"/>
  <c r="O96" i="3"/>
  <c r="O104" i="3"/>
  <c r="O46" i="3"/>
  <c r="O57" i="3"/>
  <c r="O73" i="3"/>
  <c r="O99" i="3"/>
  <c r="S6" i="3"/>
  <c r="P109" i="3"/>
  <c r="P106" i="3"/>
  <c r="P102" i="3"/>
  <c r="P98" i="3"/>
  <c r="P90" i="3"/>
  <c r="P82" i="3"/>
  <c r="P99" i="3"/>
  <c r="P97" i="3"/>
  <c r="P104" i="3"/>
  <c r="P88" i="3"/>
  <c r="P84" i="3"/>
  <c r="P70" i="3"/>
  <c r="P94" i="3"/>
  <c r="P89" i="3"/>
  <c r="P78" i="3"/>
  <c r="P86" i="3"/>
  <c r="P81" i="3"/>
  <c r="P74" i="3"/>
  <c r="P63" i="3"/>
  <c r="P55" i="3"/>
  <c r="P77" i="3"/>
  <c r="P76" i="3"/>
  <c r="P73" i="3"/>
  <c r="P66" i="3"/>
  <c r="P57" i="3"/>
  <c r="P62" i="3"/>
  <c r="P51" i="3"/>
  <c r="P35" i="3"/>
  <c r="P59" i="3"/>
  <c r="P58" i="3"/>
  <c r="P54" i="3"/>
  <c r="P53" i="3"/>
  <c r="P47" i="3"/>
  <c r="P33" i="3"/>
  <c r="P69" i="3"/>
  <c r="P67" i="3"/>
  <c r="P50" i="3"/>
  <c r="P49" i="3"/>
  <c r="P43" i="3"/>
  <c r="P39" i="3"/>
  <c r="P16" i="3"/>
  <c r="P29" i="3"/>
  <c r="P25" i="3"/>
  <c r="P72" i="3"/>
  <c r="P32" i="3"/>
  <c r="P21" i="3"/>
  <c r="P24" i="3"/>
  <c r="P23" i="3"/>
  <c r="P17" i="3"/>
  <c r="P10" i="3"/>
  <c r="P13" i="3"/>
  <c r="F3" i="1"/>
  <c r="P101" i="3"/>
  <c r="P71" i="3"/>
  <c r="P103" i="3"/>
  <c r="P87" i="3"/>
  <c r="P44" i="3"/>
  <c r="P11" i="3"/>
  <c r="P19" i="3"/>
  <c r="P40" i="3"/>
  <c r="P65" i="3"/>
  <c r="P68" i="3"/>
  <c r="P91" i="3"/>
  <c r="P85" i="3"/>
  <c r="P107" i="3"/>
  <c r="P79" i="3"/>
  <c r="P14" i="3"/>
  <c r="P20" i="3"/>
  <c r="P30" i="3"/>
  <c r="P12" i="3"/>
  <c r="P42" i="3"/>
  <c r="P45" i="3"/>
  <c r="P56" i="3"/>
  <c r="P26" i="3"/>
  <c r="P15" i="3"/>
  <c r="P52" i="3"/>
  <c r="P36" i="3"/>
  <c r="P95" i="3"/>
  <c r="P83" i="3"/>
  <c r="P108" i="3"/>
  <c r="P18" i="3"/>
  <c r="P41" i="3"/>
  <c r="P34" i="3"/>
  <c r="P96" i="3"/>
  <c r="P75" i="3"/>
  <c r="P80" i="3"/>
  <c r="P93" i="3"/>
  <c r="P27" i="3"/>
  <c r="P37" i="3"/>
  <c r="P38" i="3"/>
  <c r="P64" i="3"/>
  <c r="P100" i="3"/>
  <c r="P105" i="3"/>
  <c r="P22" i="3"/>
  <c r="P46" i="3"/>
  <c r="P28" i="3"/>
  <c r="P31" i="3"/>
  <c r="P48" i="3"/>
  <c r="P60" i="3"/>
  <c r="P92" i="3"/>
  <c r="P61" i="3"/>
  <c r="T5" i="5"/>
  <c r="T6" i="3"/>
  <c r="U6" i="3"/>
  <c r="N106" i="3"/>
  <c r="N67" i="3"/>
  <c r="N104" i="3"/>
  <c r="N102" i="3"/>
  <c r="N70" i="3"/>
  <c r="N98" i="3"/>
  <c r="N94" i="3"/>
  <c r="N90" i="3"/>
  <c r="N78" i="3"/>
  <c r="N86" i="3"/>
  <c r="N82" i="3"/>
  <c r="N76" i="3"/>
  <c r="N74" i="3"/>
  <c r="N71" i="3"/>
  <c r="N64" i="3"/>
  <c r="N87" i="3"/>
  <c r="N36" i="3"/>
  <c r="N29" i="3"/>
  <c r="N63" i="3"/>
  <c r="N55" i="3"/>
  <c r="N53" i="3"/>
  <c r="N52" i="3"/>
  <c r="N51" i="3"/>
  <c r="N35" i="3"/>
  <c r="N107" i="3"/>
  <c r="N100" i="3"/>
  <c r="N83" i="3"/>
  <c r="N69" i="3"/>
  <c r="N59" i="3"/>
  <c r="N49" i="3"/>
  <c r="N48" i="3"/>
  <c r="N47" i="3"/>
  <c r="N43" i="3"/>
  <c r="N13" i="3"/>
  <c r="D3" i="1"/>
  <c r="N56" i="3"/>
  <c r="N31" i="3"/>
  <c r="N10" i="3"/>
  <c r="N12" i="3"/>
  <c r="N75" i="3"/>
  <c r="N40" i="3"/>
  <c r="N34" i="3"/>
  <c r="N27" i="3"/>
  <c r="N26" i="3"/>
  <c r="N25" i="3"/>
  <c r="N33" i="3"/>
  <c r="N41" i="3"/>
  <c r="N23" i="3"/>
  <c r="N22" i="3"/>
  <c r="N21" i="3"/>
  <c r="N14" i="3"/>
  <c r="N17" i="3"/>
  <c r="N60" i="3"/>
  <c r="N46" i="3"/>
  <c r="N39" i="3"/>
  <c r="N72" i="3"/>
  <c r="N91" i="3"/>
  <c r="N85" i="3"/>
  <c r="N79" i="3"/>
  <c r="N88" i="3"/>
  <c r="N62" i="3"/>
  <c r="N19" i="3"/>
  <c r="N44" i="3"/>
  <c r="N37" i="3"/>
  <c r="N57" i="3"/>
  <c r="N73" i="3"/>
  <c r="N89" i="3"/>
  <c r="N109" i="3"/>
  <c r="N80" i="3"/>
  <c r="N84" i="3"/>
  <c r="N28" i="3"/>
  <c r="N45" i="3"/>
  <c r="N38" i="3"/>
  <c r="N99" i="3"/>
  <c r="N20" i="3"/>
  <c r="N61" i="3"/>
  <c r="N108" i="3"/>
  <c r="N30" i="3"/>
  <c r="N15" i="3"/>
  <c r="N42" i="3"/>
  <c r="N54" i="3"/>
  <c r="N58" i="3"/>
  <c r="N101" i="3"/>
  <c r="N93" i="3"/>
  <c r="N81" i="3"/>
  <c r="N95" i="3"/>
  <c r="N16" i="3"/>
  <c r="N65" i="3"/>
  <c r="N68" i="3"/>
  <c r="N96" i="3"/>
  <c r="N92" i="3"/>
  <c r="N103" i="3"/>
  <c r="N50" i="3"/>
  <c r="N32" i="3"/>
  <c r="N77" i="3"/>
  <c r="N97" i="3"/>
  <c r="N11" i="3"/>
  <c r="N18" i="3"/>
  <c r="N24" i="3"/>
  <c r="N66" i="3"/>
  <c r="N105" i="3"/>
  <c r="U109" i="3" l="1"/>
  <c r="U98" i="3"/>
  <c r="U105" i="3"/>
  <c r="U99" i="3"/>
  <c r="U95" i="3"/>
  <c r="U84" i="3"/>
  <c r="U93" i="3"/>
  <c r="U77" i="3"/>
  <c r="U58" i="3"/>
  <c r="U50" i="3"/>
  <c r="U65" i="3"/>
  <c r="U79" i="3"/>
  <c r="U36" i="3"/>
  <c r="U104" i="3"/>
  <c r="U39" i="3"/>
  <c r="U57" i="3"/>
  <c r="U80" i="3"/>
  <c r="U75" i="3"/>
  <c r="U24" i="3"/>
  <c r="U23" i="3"/>
  <c r="U22" i="3"/>
  <c r="U54" i="3"/>
  <c r="K3" i="1"/>
  <c r="U52" i="3"/>
  <c r="U48" i="3"/>
  <c r="U27" i="3"/>
  <c r="U76" i="3"/>
  <c r="U49" i="3"/>
  <c r="U14" i="3"/>
  <c r="U66" i="3"/>
  <c r="U53" i="3"/>
  <c r="U28" i="3"/>
  <c r="U26" i="3"/>
  <c r="U20" i="3"/>
  <c r="U12" i="3"/>
  <c r="U41" i="3"/>
  <c r="U18" i="3"/>
  <c r="U38" i="3"/>
  <c r="U35" i="3"/>
  <c r="U17" i="3"/>
  <c r="U82" i="3"/>
  <c r="U81" i="3"/>
  <c r="U70" i="3"/>
  <c r="U86" i="3"/>
  <c r="U108" i="3"/>
  <c r="U106" i="3"/>
  <c r="U102" i="3"/>
  <c r="U11" i="3"/>
  <c r="U88" i="3"/>
  <c r="U19" i="3"/>
  <c r="U37" i="3"/>
  <c r="U25" i="3"/>
  <c r="U67" i="3"/>
  <c r="U51" i="3"/>
  <c r="U56" i="3"/>
  <c r="U64" i="3"/>
  <c r="U96" i="3"/>
  <c r="U47" i="3"/>
  <c r="U89" i="3"/>
  <c r="U90" i="3"/>
  <c r="U97" i="3"/>
  <c r="U46" i="3"/>
  <c r="U13" i="3"/>
  <c r="U55" i="3"/>
  <c r="U103" i="3"/>
  <c r="U43" i="3"/>
  <c r="U30" i="3"/>
  <c r="U33" i="3"/>
  <c r="U59" i="3"/>
  <c r="U73" i="3"/>
  <c r="U62" i="3"/>
  <c r="U87" i="3"/>
  <c r="U78" i="3"/>
  <c r="U10" i="3"/>
  <c r="U21" i="3"/>
  <c r="U44" i="3"/>
  <c r="U34" i="3"/>
  <c r="U69" i="3"/>
  <c r="U32" i="3"/>
  <c r="U60" i="3"/>
  <c r="U68" i="3"/>
  <c r="U72" i="3"/>
  <c r="U91" i="3"/>
  <c r="U63" i="3"/>
  <c r="U40" i="3"/>
  <c r="U61" i="3"/>
  <c r="U94" i="3"/>
  <c r="U92" i="3"/>
  <c r="U16" i="3"/>
  <c r="U31" i="3"/>
  <c r="U29" i="3"/>
  <c r="U42" i="3"/>
  <c r="U45" i="3"/>
  <c r="U71" i="3"/>
  <c r="U83" i="3"/>
  <c r="U101" i="3"/>
  <c r="U85" i="3"/>
  <c r="U100" i="3"/>
  <c r="U74" i="3"/>
  <c r="U107" i="3"/>
  <c r="U15" i="3"/>
  <c r="S107" i="3"/>
  <c r="S106" i="3"/>
  <c r="S94" i="3"/>
  <c r="S89" i="3"/>
  <c r="S79" i="3"/>
  <c r="S78" i="3"/>
  <c r="S102" i="3"/>
  <c r="S93" i="3"/>
  <c r="S90" i="3"/>
  <c r="S86" i="3"/>
  <c r="S81" i="3"/>
  <c r="S75" i="3"/>
  <c r="S74" i="3"/>
  <c r="S82" i="3"/>
  <c r="S98" i="3"/>
  <c r="S67" i="3"/>
  <c r="S97" i="3"/>
  <c r="S70" i="3"/>
  <c r="S62" i="3"/>
  <c r="S52" i="3"/>
  <c r="S51" i="3"/>
  <c r="S59" i="3"/>
  <c r="S55" i="3"/>
  <c r="S48" i="3"/>
  <c r="S47" i="3"/>
  <c r="W47" i="3" s="1"/>
  <c r="S63" i="3"/>
  <c r="S43" i="3"/>
  <c r="W43" i="3" s="1"/>
  <c r="S68" i="3"/>
  <c r="W68" i="3" s="1"/>
  <c r="S36" i="3"/>
  <c r="W36" i="3" s="1"/>
  <c r="S38" i="3"/>
  <c r="V38" i="3" s="1"/>
  <c r="S34" i="3"/>
  <c r="W34" i="3" s="1"/>
  <c r="S29" i="3"/>
  <c r="S26" i="3"/>
  <c r="S25" i="3"/>
  <c r="S12" i="3"/>
  <c r="S32" i="3"/>
  <c r="S28" i="3"/>
  <c r="S22" i="3"/>
  <c r="V22" i="3" s="1"/>
  <c r="S21" i="3"/>
  <c r="V21" i="3" s="1"/>
  <c r="S14" i="3"/>
  <c r="S24" i="3"/>
  <c r="S17" i="3"/>
  <c r="S10" i="3"/>
  <c r="I3" i="1"/>
  <c r="S13" i="3"/>
  <c r="S16" i="3"/>
  <c r="S33" i="3"/>
  <c r="S105" i="3"/>
  <c r="S35" i="3"/>
  <c r="W35" i="3" s="1"/>
  <c r="S37" i="3"/>
  <c r="V37" i="3" s="1"/>
  <c r="S42" i="3"/>
  <c r="V42" i="3" s="1"/>
  <c r="S40" i="3"/>
  <c r="W40" i="3" s="1"/>
  <c r="S56" i="3"/>
  <c r="S77" i="3"/>
  <c r="S100" i="3"/>
  <c r="S108" i="3"/>
  <c r="S49" i="3"/>
  <c r="S20" i="3"/>
  <c r="S19" i="3"/>
  <c r="S39" i="3"/>
  <c r="S72" i="3"/>
  <c r="S76" i="3"/>
  <c r="S83" i="3"/>
  <c r="S96" i="3"/>
  <c r="S109" i="3"/>
  <c r="S23" i="3"/>
  <c r="V23" i="3" s="1"/>
  <c r="S57" i="3"/>
  <c r="V57" i="3" s="1"/>
  <c r="S104" i="3"/>
  <c r="S45" i="3"/>
  <c r="W45" i="3" s="1"/>
  <c r="S60" i="3"/>
  <c r="S95" i="3"/>
  <c r="S66" i="3"/>
  <c r="S84" i="3"/>
  <c r="S103" i="3"/>
  <c r="S30" i="3"/>
  <c r="S69" i="3"/>
  <c r="S53" i="3"/>
  <c r="S91" i="3"/>
  <c r="S46" i="3"/>
  <c r="S54" i="3"/>
  <c r="V54" i="3" s="1"/>
  <c r="S64" i="3"/>
  <c r="S50" i="3"/>
  <c r="S18" i="3"/>
  <c r="W18" i="3" s="1"/>
  <c r="S11" i="3"/>
  <c r="W11" i="3" s="1"/>
  <c r="S44" i="3"/>
  <c r="S15" i="3"/>
  <c r="V16" i="3" s="1"/>
  <c r="S61" i="3"/>
  <c r="S58" i="3"/>
  <c r="S73" i="3"/>
  <c r="S88" i="3"/>
  <c r="S27" i="3"/>
  <c r="S101" i="3"/>
  <c r="S99" i="3"/>
  <c r="S41" i="3"/>
  <c r="W29" i="3" s="1"/>
  <c r="X29" i="3" s="1"/>
  <c r="K29" i="3" s="1"/>
  <c r="S31" i="3"/>
  <c r="S65" i="3"/>
  <c r="W65" i="3" s="1"/>
  <c r="S87" i="3"/>
  <c r="S85" i="3"/>
  <c r="S92" i="3"/>
  <c r="S80" i="3"/>
  <c r="S71" i="3"/>
  <c r="T108" i="3"/>
  <c r="T94" i="3"/>
  <c r="T86" i="3"/>
  <c r="T97" i="3"/>
  <c r="T102" i="3"/>
  <c r="T93" i="3"/>
  <c r="T90" i="3"/>
  <c r="T81" i="3"/>
  <c r="T80" i="3"/>
  <c r="T82" i="3"/>
  <c r="T77" i="3"/>
  <c r="T76" i="3"/>
  <c r="T98" i="3"/>
  <c r="T67" i="3"/>
  <c r="T59" i="3"/>
  <c r="T109" i="3"/>
  <c r="T92" i="3"/>
  <c r="T106" i="3"/>
  <c r="T105" i="3"/>
  <c r="T84" i="3"/>
  <c r="T66" i="3"/>
  <c r="T55" i="3"/>
  <c r="T54" i="3"/>
  <c r="T53" i="3"/>
  <c r="T78" i="3"/>
  <c r="T70" i="3"/>
  <c r="T63" i="3"/>
  <c r="T58" i="3"/>
  <c r="T50" i="3"/>
  <c r="T49" i="3"/>
  <c r="T43" i="3"/>
  <c r="T34" i="3"/>
  <c r="T89" i="3"/>
  <c r="T88" i="3"/>
  <c r="T36" i="3"/>
  <c r="T39" i="3"/>
  <c r="W39" i="3" s="1"/>
  <c r="T57" i="3"/>
  <c r="T35" i="3"/>
  <c r="T51" i="3"/>
  <c r="W51" i="3" s="1"/>
  <c r="T32" i="3"/>
  <c r="T28" i="3"/>
  <c r="T27" i="3"/>
  <c r="T21" i="3"/>
  <c r="T14" i="3"/>
  <c r="T29" i="3"/>
  <c r="V29" i="3" s="1"/>
  <c r="T74" i="3"/>
  <c r="T24" i="3"/>
  <c r="T23" i="3"/>
  <c r="T17" i="3"/>
  <c r="T47" i="3"/>
  <c r="T13" i="3"/>
  <c r="T61" i="3"/>
  <c r="J3" i="1"/>
  <c r="T33" i="3"/>
  <c r="T38" i="3"/>
  <c r="T25" i="3"/>
  <c r="T12" i="3"/>
  <c r="T62" i="3"/>
  <c r="T26" i="3"/>
  <c r="T95" i="3"/>
  <c r="T104" i="3"/>
  <c r="T75" i="3"/>
  <c r="T41" i="3"/>
  <c r="W41" i="3" s="1"/>
  <c r="T19" i="3"/>
  <c r="T11" i="3"/>
  <c r="T65" i="3"/>
  <c r="T60" i="3"/>
  <c r="T44" i="3"/>
  <c r="W44" i="3" s="1"/>
  <c r="T20" i="3"/>
  <c r="T37" i="3"/>
  <c r="T96" i="3"/>
  <c r="T30" i="3"/>
  <c r="T46" i="3"/>
  <c r="T48" i="3"/>
  <c r="V48" i="3" s="1"/>
  <c r="T40" i="3"/>
  <c r="T79" i="3"/>
  <c r="T42" i="3"/>
  <c r="T45" i="3"/>
  <c r="T83" i="3"/>
  <c r="T10" i="3"/>
  <c r="V32" i="3" s="1"/>
  <c r="T31" i="3"/>
  <c r="T18" i="3"/>
  <c r="T52" i="3"/>
  <c r="T73" i="3"/>
  <c r="T64" i="3"/>
  <c r="W64" i="3" s="1"/>
  <c r="T87" i="3"/>
  <c r="T100" i="3"/>
  <c r="T15" i="3"/>
  <c r="W15" i="3" s="1"/>
  <c r="T72" i="3"/>
  <c r="T91" i="3"/>
  <c r="T85" i="3"/>
  <c r="T103" i="3"/>
  <c r="T99" i="3"/>
  <c r="T107" i="3"/>
  <c r="T16" i="3"/>
  <c r="W19" i="3" s="1"/>
  <c r="X19" i="3" s="1"/>
  <c r="K19" i="3" s="1"/>
  <c r="T69" i="3"/>
  <c r="T68" i="3"/>
  <c r="T56" i="3"/>
  <c r="T101" i="3"/>
  <c r="V19" i="3" s="1"/>
  <c r="T22" i="3"/>
  <c r="T71" i="3"/>
  <c r="W67" i="3"/>
  <c r="V30" i="3"/>
  <c r="V46" i="3"/>
  <c r="W46" i="3"/>
  <c r="X46" i="3" s="1"/>
  <c r="K46" i="3" s="1"/>
  <c r="W33" i="3"/>
  <c r="V10" i="3"/>
  <c r="V49" i="3"/>
  <c r="W49" i="3"/>
  <c r="V52" i="3"/>
  <c r="W52" i="3"/>
  <c r="X52" i="3" s="1"/>
  <c r="K52" i="3" s="1"/>
  <c r="W50" i="3"/>
  <c r="W62" i="3"/>
  <c r="V62" i="3"/>
  <c r="V60" i="3"/>
  <c r="W60" i="3"/>
  <c r="W25" i="3"/>
  <c r="V25" i="3"/>
  <c r="V31" i="3"/>
  <c r="W31" i="3"/>
  <c r="V59" i="3"/>
  <c r="W59" i="3"/>
  <c r="X59" i="3" s="1"/>
  <c r="K59" i="3" s="1"/>
  <c r="W53" i="3"/>
  <c r="X53" i="3" s="1"/>
  <c r="K53" i="3" s="1"/>
  <c r="V53" i="3"/>
  <c r="W13" i="3"/>
  <c r="V13" i="3"/>
  <c r="W66" i="3"/>
  <c r="X66" i="3" s="1"/>
  <c r="K66" i="3" s="1"/>
  <c r="V66" i="3"/>
  <c r="W61" i="3"/>
  <c r="V61" i="3"/>
  <c r="V17" i="3"/>
  <c r="W17" i="3"/>
  <c r="V26" i="3"/>
  <c r="W26" i="3"/>
  <c r="X26" i="3" s="1"/>
  <c r="K26" i="3" s="1"/>
  <c r="W56" i="3"/>
  <c r="X56" i="3" s="1"/>
  <c r="K56" i="3" s="1"/>
  <c r="V56" i="3"/>
  <c r="V69" i="3"/>
  <c r="W69" i="3"/>
  <c r="X69" i="3" s="1"/>
  <c r="K69" i="3" s="1"/>
  <c r="W55" i="3"/>
  <c r="X55" i="3" s="1"/>
  <c r="K55" i="3" s="1"/>
  <c r="V55" i="3"/>
  <c r="W58" i="3"/>
  <c r="V58" i="3"/>
  <c r="W24" i="3"/>
  <c r="X24" i="3" s="1"/>
  <c r="K24" i="3" s="1"/>
  <c r="V24" i="3"/>
  <c r="W20" i="3"/>
  <c r="V20" i="3"/>
  <c r="W14" i="3"/>
  <c r="X14" i="3" s="1"/>
  <c r="K14" i="3" s="1"/>
  <c r="V14" i="3"/>
  <c r="V27" i="3"/>
  <c r="W27" i="3"/>
  <c r="X27" i="3" s="1"/>
  <c r="K27" i="3" s="1"/>
  <c r="V63" i="3"/>
  <c r="W63" i="3"/>
  <c r="M21" i="6" l="1"/>
  <c r="H29" i="3"/>
  <c r="J21" i="6" s="1"/>
  <c r="G29" i="3"/>
  <c r="I21" i="6" s="1"/>
  <c r="M11" i="6"/>
  <c r="H19" i="3"/>
  <c r="J11" i="6" s="1"/>
  <c r="G19" i="3"/>
  <c r="I11" i="6" s="1"/>
  <c r="M6" i="6"/>
  <c r="G14" i="3"/>
  <c r="I6" i="6" s="1"/>
  <c r="H14" i="3"/>
  <c r="J6" i="6" s="1"/>
  <c r="X20" i="3"/>
  <c r="K20" i="3" s="1"/>
  <c r="X61" i="3"/>
  <c r="K61" i="3" s="1"/>
  <c r="X62" i="3"/>
  <c r="K62" i="3" s="1"/>
  <c r="W10" i="3"/>
  <c r="X10" i="3" s="1"/>
  <c r="K10" i="3" s="1"/>
  <c r="W30" i="3"/>
  <c r="X30" i="3" s="1"/>
  <c r="K30" i="3" s="1"/>
  <c r="V12" i="3"/>
  <c r="V28" i="3"/>
  <c r="W37" i="3"/>
  <c r="X37" i="3" s="1"/>
  <c r="K37" i="3" s="1"/>
  <c r="V11" i="3"/>
  <c r="X11" i="3" s="1"/>
  <c r="K11" i="3" s="1"/>
  <c r="V43" i="3"/>
  <c r="X43" i="3" s="1"/>
  <c r="K43" i="3" s="1"/>
  <c r="W38" i="3"/>
  <c r="X38" i="3" s="1"/>
  <c r="K38" i="3" s="1"/>
  <c r="X63" i="3"/>
  <c r="K63" i="3" s="1"/>
  <c r="X31" i="3"/>
  <c r="K31" i="3" s="1"/>
  <c r="V50" i="3"/>
  <c r="X50" i="3" s="1"/>
  <c r="K50" i="3" s="1"/>
  <c r="V33" i="3"/>
  <c r="X33" i="3" s="1"/>
  <c r="K33" i="3" s="1"/>
  <c r="W12" i="3"/>
  <c r="W28" i="3"/>
  <c r="X28" i="3" s="1"/>
  <c r="K28" i="3" s="1"/>
  <c r="M16" i="6"/>
  <c r="G24" i="3"/>
  <c r="I16" i="6" s="1"/>
  <c r="H24" i="3"/>
  <c r="J16" i="6" s="1"/>
  <c r="M48" i="6"/>
  <c r="G56" i="3"/>
  <c r="I48" i="6" s="1"/>
  <c r="H56" i="3"/>
  <c r="J48" i="6" s="1"/>
  <c r="M58" i="6"/>
  <c r="G66" i="3"/>
  <c r="I58" i="6" s="1"/>
  <c r="H66" i="3"/>
  <c r="J58" i="6" s="1"/>
  <c r="W32" i="3"/>
  <c r="X32" i="3" s="1"/>
  <c r="K32" i="3" s="1"/>
  <c r="V64" i="3"/>
  <c r="X64" i="3" s="1"/>
  <c r="K64" i="3" s="1"/>
  <c r="V41" i="3"/>
  <c r="X41" i="3" s="1"/>
  <c r="K41" i="3" s="1"/>
  <c r="V15" i="3"/>
  <c r="X15" i="3" s="1"/>
  <c r="K15" i="3" s="1"/>
  <c r="V35" i="3"/>
  <c r="X35" i="3" s="1"/>
  <c r="K35" i="3" s="1"/>
  <c r="V45" i="3"/>
  <c r="X45" i="3" s="1"/>
  <c r="K45" i="3" s="1"/>
  <c r="V34" i="3"/>
  <c r="X34" i="3" s="1"/>
  <c r="K34" i="3" s="1"/>
  <c r="V40" i="3"/>
  <c r="X40" i="3" s="1"/>
  <c r="K40" i="3" s="1"/>
  <c r="W54" i="3"/>
  <c r="X54" i="3" s="1"/>
  <c r="K54" i="3" s="1"/>
  <c r="M18" i="6"/>
  <c r="G26" i="3"/>
  <c r="I18" i="6" s="1"/>
  <c r="H26" i="3"/>
  <c r="J18" i="6" s="1"/>
  <c r="M44" i="6"/>
  <c r="G52" i="3"/>
  <c r="I44" i="6" s="1"/>
  <c r="H52" i="3"/>
  <c r="J44" i="6" s="1"/>
  <c r="M38" i="6"/>
  <c r="G46" i="3"/>
  <c r="I38" i="6" s="1"/>
  <c r="H46" i="3"/>
  <c r="J38" i="6" s="1"/>
  <c r="X58" i="3"/>
  <c r="K58" i="3" s="1"/>
  <c r="X13" i="3"/>
  <c r="K13" i="3" s="1"/>
  <c r="X25" i="3"/>
  <c r="K25" i="3" s="1"/>
  <c r="V67" i="3"/>
  <c r="X67" i="3" s="1"/>
  <c r="K67" i="3" s="1"/>
  <c r="V51" i="3"/>
  <c r="X51" i="3" s="1"/>
  <c r="K51" i="3" s="1"/>
  <c r="V39" i="3"/>
  <c r="X39" i="3" s="1"/>
  <c r="K39" i="3" s="1"/>
  <c r="W16" i="3"/>
  <c r="X16" i="3" s="1"/>
  <c r="K16" i="3" s="1"/>
  <c r="V47" i="3"/>
  <c r="X47" i="3" s="1"/>
  <c r="K47" i="3" s="1"/>
  <c r="W42" i="3"/>
  <c r="X42" i="3" s="1"/>
  <c r="K42" i="3" s="1"/>
  <c r="V18" i="3"/>
  <c r="X18" i="3" s="1"/>
  <c r="K18" i="3" s="1"/>
  <c r="W22" i="3"/>
  <c r="X22" i="3" s="1"/>
  <c r="K22" i="3" s="1"/>
  <c r="V68" i="3"/>
  <c r="X68" i="3" s="1"/>
  <c r="K68" i="3" s="1"/>
  <c r="X17" i="3"/>
  <c r="K17" i="3" s="1"/>
  <c r="X60" i="3"/>
  <c r="K60" i="3" s="1"/>
  <c r="X49" i="3"/>
  <c r="K49" i="3" s="1"/>
  <c r="M47" i="6"/>
  <c r="G55" i="3"/>
  <c r="I47" i="6" s="1"/>
  <c r="H55" i="3"/>
  <c r="J47" i="6" s="1"/>
  <c r="M45" i="6"/>
  <c r="H53" i="3"/>
  <c r="J45" i="6" s="1"/>
  <c r="G53" i="3"/>
  <c r="I45" i="6" s="1"/>
  <c r="W48" i="3"/>
  <c r="X48" i="3" s="1"/>
  <c r="K48" i="3" s="1"/>
  <c r="V44" i="3"/>
  <c r="X44" i="3" s="1"/>
  <c r="K44" i="3" s="1"/>
  <c r="W23" i="3"/>
  <c r="X23" i="3" s="1"/>
  <c r="K23" i="3" s="1"/>
  <c r="V65" i="3"/>
  <c r="X65" i="3" s="1"/>
  <c r="K65" i="3" s="1"/>
  <c r="V36" i="3"/>
  <c r="X36" i="3" s="1"/>
  <c r="K36" i="3" s="1"/>
  <c r="W57" i="3"/>
  <c r="X57" i="3" s="1"/>
  <c r="K57" i="3" s="1"/>
  <c r="W21" i="3"/>
  <c r="X21" i="3" s="1"/>
  <c r="K21" i="3" s="1"/>
  <c r="M19" i="6"/>
  <c r="H27" i="3"/>
  <c r="J19" i="6" s="1"/>
  <c r="G27" i="3"/>
  <c r="I19" i="6" s="1"/>
  <c r="M61" i="6"/>
  <c r="G69" i="3"/>
  <c r="I61" i="6" s="1"/>
  <c r="H69" i="3"/>
  <c r="J61" i="6" s="1"/>
  <c r="M51" i="6"/>
  <c r="H59" i="3"/>
  <c r="J51" i="6" s="1"/>
  <c r="G59" i="3"/>
  <c r="I51" i="6" s="1"/>
  <c r="M60" i="6" l="1"/>
  <c r="G68" i="3"/>
  <c r="I60" i="6" s="1"/>
  <c r="H68" i="3"/>
  <c r="J60" i="6" s="1"/>
  <c r="M7" i="6"/>
  <c r="G15" i="3"/>
  <c r="I7" i="6" s="1"/>
  <c r="H15" i="3"/>
  <c r="J7" i="6" s="1"/>
  <c r="M42" i="6"/>
  <c r="G50" i="3"/>
  <c r="I42" i="6" s="1"/>
  <c r="H50" i="3"/>
  <c r="J42" i="6" s="1"/>
  <c r="M28" i="6"/>
  <c r="G36" i="3"/>
  <c r="I28" i="6" s="1"/>
  <c r="H36" i="3"/>
  <c r="J28" i="6" s="1"/>
  <c r="M33" i="6"/>
  <c r="H41" i="3"/>
  <c r="J33" i="6" s="1"/>
  <c r="G41" i="3"/>
  <c r="I33" i="6" s="1"/>
  <c r="M25" i="6"/>
  <c r="G33" i="3"/>
  <c r="I25" i="6" s="1"/>
  <c r="H33" i="3"/>
  <c r="J25" i="6" s="1"/>
  <c r="M56" i="6"/>
  <c r="G64" i="3"/>
  <c r="I56" i="6" s="1"/>
  <c r="H64" i="3"/>
  <c r="J56" i="6" s="1"/>
  <c r="M57" i="6"/>
  <c r="G65" i="3"/>
  <c r="I57" i="6" s="1"/>
  <c r="H65" i="3"/>
  <c r="J57" i="6" s="1"/>
  <c r="M39" i="6"/>
  <c r="G47" i="3"/>
  <c r="I39" i="6" s="1"/>
  <c r="H47" i="3"/>
  <c r="J39" i="6" s="1"/>
  <c r="M36" i="6"/>
  <c r="G44" i="3"/>
  <c r="I36" i="6" s="1"/>
  <c r="H44" i="3"/>
  <c r="J36" i="6" s="1"/>
  <c r="M10" i="6"/>
  <c r="G18" i="3"/>
  <c r="I10" i="6" s="1"/>
  <c r="H18" i="3"/>
  <c r="J10" i="6" s="1"/>
  <c r="M32" i="6"/>
  <c r="G40" i="3"/>
  <c r="I32" i="6" s="1"/>
  <c r="H40" i="3"/>
  <c r="J32" i="6" s="1"/>
  <c r="M35" i="6"/>
  <c r="H43" i="3"/>
  <c r="J35" i="6" s="1"/>
  <c r="G43" i="3"/>
  <c r="I35" i="6" s="1"/>
  <c r="M27" i="6"/>
  <c r="H35" i="3"/>
  <c r="J27" i="6" s="1"/>
  <c r="G35" i="3"/>
  <c r="I27" i="6" s="1"/>
  <c r="M31" i="6"/>
  <c r="G39" i="3"/>
  <c r="I31" i="6" s="1"/>
  <c r="H39" i="3"/>
  <c r="J31" i="6" s="1"/>
  <c r="M43" i="6"/>
  <c r="H51" i="3"/>
  <c r="J43" i="6" s="1"/>
  <c r="G51" i="3"/>
  <c r="I43" i="6" s="1"/>
  <c r="M26" i="6"/>
  <c r="G34" i="3"/>
  <c r="I26" i="6" s="1"/>
  <c r="H34" i="3"/>
  <c r="J26" i="6" s="1"/>
  <c r="M3" i="6"/>
  <c r="H11" i="3"/>
  <c r="J3" i="6" s="1"/>
  <c r="G11" i="3"/>
  <c r="I3" i="6" s="1"/>
  <c r="M59" i="6"/>
  <c r="H67" i="3"/>
  <c r="J59" i="6" s="1"/>
  <c r="G67" i="3"/>
  <c r="I59" i="6" s="1"/>
  <c r="M37" i="6"/>
  <c r="G45" i="3"/>
  <c r="I37" i="6" s="1"/>
  <c r="H45" i="3"/>
  <c r="J37" i="6" s="1"/>
  <c r="M46" i="6"/>
  <c r="H54" i="3"/>
  <c r="J46" i="6" s="1"/>
  <c r="G54" i="3"/>
  <c r="I46" i="6" s="1"/>
  <c r="M24" i="6"/>
  <c r="G32" i="3"/>
  <c r="I24" i="6" s="1"/>
  <c r="H32" i="3"/>
  <c r="J24" i="6" s="1"/>
  <c r="M23" i="6"/>
  <c r="G31" i="3"/>
  <c r="I23" i="6" s="1"/>
  <c r="H31" i="3"/>
  <c r="J23" i="6" s="1"/>
  <c r="M22" i="6"/>
  <c r="G30" i="3"/>
  <c r="I22" i="6" s="1"/>
  <c r="H30" i="3"/>
  <c r="J22" i="6" s="1"/>
  <c r="M40" i="6"/>
  <c r="G48" i="3"/>
  <c r="I40" i="6" s="1"/>
  <c r="H48" i="3"/>
  <c r="J40" i="6" s="1"/>
  <c r="M52" i="6"/>
  <c r="G60" i="3"/>
  <c r="I52" i="6" s="1"/>
  <c r="H60" i="3"/>
  <c r="J52" i="6" s="1"/>
  <c r="M9" i="6"/>
  <c r="G17" i="3"/>
  <c r="I9" i="6" s="1"/>
  <c r="H17" i="3"/>
  <c r="J9" i="6" s="1"/>
  <c r="M55" i="6"/>
  <c r="G63" i="3"/>
  <c r="I55" i="6" s="1"/>
  <c r="H63" i="3"/>
  <c r="J55" i="6" s="1"/>
  <c r="M2" i="6"/>
  <c r="G10" i="3"/>
  <c r="H10" i="3"/>
  <c r="M13" i="6"/>
  <c r="H21" i="3"/>
  <c r="J13" i="6" s="1"/>
  <c r="G21" i="3"/>
  <c r="I13" i="6" s="1"/>
  <c r="M30" i="6"/>
  <c r="G38" i="3"/>
  <c r="I30" i="6" s="1"/>
  <c r="H38" i="3"/>
  <c r="J30" i="6" s="1"/>
  <c r="M54" i="6"/>
  <c r="G62" i="3"/>
  <c r="I54" i="6" s="1"/>
  <c r="H62" i="3"/>
  <c r="J54" i="6" s="1"/>
  <c r="M49" i="6"/>
  <c r="G57" i="3"/>
  <c r="I49" i="6" s="1"/>
  <c r="H57" i="3"/>
  <c r="J49" i="6" s="1"/>
  <c r="M14" i="6"/>
  <c r="G22" i="3"/>
  <c r="I14" i="6" s="1"/>
  <c r="H22" i="3"/>
  <c r="J14" i="6" s="1"/>
  <c r="M17" i="6"/>
  <c r="G25" i="3"/>
  <c r="I17" i="6" s="1"/>
  <c r="H25" i="3"/>
  <c r="J17" i="6" s="1"/>
  <c r="M53" i="6"/>
  <c r="G61" i="3"/>
  <c r="I53" i="6" s="1"/>
  <c r="H61" i="3"/>
  <c r="J53" i="6" s="1"/>
  <c r="M5" i="6"/>
  <c r="H13" i="3"/>
  <c r="J5" i="6" s="1"/>
  <c r="G13" i="3"/>
  <c r="I5" i="6" s="1"/>
  <c r="M20" i="6"/>
  <c r="H28" i="3"/>
  <c r="J20" i="6" s="1"/>
  <c r="G28" i="3"/>
  <c r="I20" i="6" s="1"/>
  <c r="M12" i="6"/>
  <c r="H20" i="3"/>
  <c r="J12" i="6" s="1"/>
  <c r="G20" i="3"/>
  <c r="I12" i="6" s="1"/>
  <c r="M41" i="6"/>
  <c r="G49" i="3"/>
  <c r="I41" i="6" s="1"/>
  <c r="H49" i="3"/>
  <c r="J41" i="6" s="1"/>
  <c r="M34" i="6"/>
  <c r="H42" i="3"/>
  <c r="J34" i="6" s="1"/>
  <c r="G42" i="3"/>
  <c r="I34" i="6" s="1"/>
  <c r="M50" i="6"/>
  <c r="G58" i="3"/>
  <c r="I50" i="6" s="1"/>
  <c r="H58" i="3"/>
  <c r="J50" i="6" s="1"/>
  <c r="X12" i="3"/>
  <c r="K12" i="3" s="1"/>
  <c r="M29" i="6"/>
  <c r="G37" i="3"/>
  <c r="I29" i="6" s="1"/>
  <c r="H37" i="3"/>
  <c r="J29" i="6" s="1"/>
  <c r="M8" i="6"/>
  <c r="G16" i="3"/>
  <c r="I8" i="6" s="1"/>
  <c r="H16" i="3"/>
  <c r="J8" i="6" s="1"/>
  <c r="M15" i="6"/>
  <c r="G23" i="3"/>
  <c r="I15" i="6" s="1"/>
  <c r="H23" i="3"/>
  <c r="J15" i="6" s="1"/>
  <c r="J2" i="6" l="1"/>
  <c r="H8" i="3"/>
  <c r="H5" i="3"/>
  <c r="I2" i="6"/>
  <c r="G8" i="3"/>
  <c r="G5" i="3"/>
  <c r="M4" i="6"/>
  <c r="G12" i="3"/>
  <c r="I4" i="6" s="1"/>
  <c r="H12" i="3"/>
  <c r="J4" i="6" s="1"/>
</calcChain>
</file>

<file path=xl/sharedStrings.xml><?xml version="1.0" encoding="utf-8"?>
<sst xmlns="http://schemas.openxmlformats.org/spreadsheetml/2006/main" count="550" uniqueCount="254">
  <si>
    <t>Facility Condition Index</t>
  </si>
  <si>
    <t>Critical Systems Index</t>
  </si>
  <si>
    <t>Value per Asset</t>
  </si>
  <si>
    <t>ACAD</t>
  </si>
  <si>
    <t>ARCH</t>
  </si>
  <si>
    <t>BADL</t>
  </si>
  <si>
    <t>BIBE</t>
  </si>
  <si>
    <t>BISC</t>
  </si>
  <si>
    <t>BLCA</t>
  </si>
  <si>
    <t>BRCA</t>
  </si>
  <si>
    <t>CANY</t>
  </si>
  <si>
    <t>CARE</t>
  </si>
  <si>
    <t>CAVE</t>
  </si>
  <si>
    <t>CHIS</t>
  </si>
  <si>
    <t>CONG</t>
  </si>
  <si>
    <t>CRLA</t>
  </si>
  <si>
    <t>CUVA</t>
  </si>
  <si>
    <t>DENA</t>
  </si>
  <si>
    <t>DEVA</t>
  </si>
  <si>
    <t>DRTO</t>
  </si>
  <si>
    <t>EVER</t>
  </si>
  <si>
    <t>GAAR</t>
  </si>
  <si>
    <t>GLAC</t>
  </si>
  <si>
    <t>GLBA</t>
  </si>
  <si>
    <t>GRBA</t>
  </si>
  <si>
    <t>GRCA</t>
  </si>
  <si>
    <t>GRSA</t>
  </si>
  <si>
    <t>GRSM</t>
  </si>
  <si>
    <t>GRTE</t>
  </si>
  <si>
    <t>GUMO</t>
  </si>
  <si>
    <t>HALE</t>
  </si>
  <si>
    <t>HAVO</t>
  </si>
  <si>
    <t>HOSP</t>
  </si>
  <si>
    <t>ISRO</t>
  </si>
  <si>
    <t>JEFF</t>
  </si>
  <si>
    <t>JOTR</t>
  </si>
  <si>
    <t>KATM</t>
  </si>
  <si>
    <t>KEFJ</t>
  </si>
  <si>
    <t>KICA</t>
  </si>
  <si>
    <t>KOVA</t>
  </si>
  <si>
    <t>LACL</t>
  </si>
  <si>
    <t>LAVO</t>
  </si>
  <si>
    <t>MACA</t>
  </si>
  <si>
    <t>MEVE</t>
  </si>
  <si>
    <t>MORA</t>
  </si>
  <si>
    <t>NOCA</t>
  </si>
  <si>
    <t>NPSA</t>
  </si>
  <si>
    <t>OLYM</t>
  </si>
  <si>
    <t>PEFO</t>
  </si>
  <si>
    <t>PINN</t>
  </si>
  <si>
    <t>REDW</t>
  </si>
  <si>
    <t>ROMO</t>
  </si>
  <si>
    <t>SAGU</t>
  </si>
  <si>
    <t>SEQU</t>
  </si>
  <si>
    <t>SHEN</t>
  </si>
  <si>
    <t>THRO</t>
  </si>
  <si>
    <t>VIIS</t>
  </si>
  <si>
    <t>VOYA</t>
  </si>
  <si>
    <t>WICA</t>
  </si>
  <si>
    <t>WRST</t>
  </si>
  <si>
    <t>YELL</t>
  </si>
  <si>
    <t>YOSE</t>
  </si>
  <si>
    <t>ZION</t>
  </si>
  <si>
    <t>Park Alpha Code</t>
  </si>
  <si>
    <t>Economic Output</t>
  </si>
  <si>
    <t>Percent Understand Significance</t>
  </si>
  <si>
    <t>Visitation 10-Year Percent Increase</t>
  </si>
  <si>
    <t>Visitation Number</t>
  </si>
  <si>
    <t>Weights:</t>
  </si>
  <si>
    <t>Funding Available:</t>
  </si>
  <si>
    <t>Main Objective: Max. Sum of 4 Sub-Objectives</t>
  </si>
  <si>
    <t>AVG % CDM Met</t>
  </si>
  <si>
    <t>AVG % Non-CDM Met</t>
  </si>
  <si>
    <t>Sum(Topsis Score*CDM)</t>
  </si>
  <si>
    <t>Sum(Topsis Score*DM)</t>
  </si>
  <si>
    <t>Funding Allocated:</t>
  </si>
  <si>
    <t>Max. Value of Sub Objective:</t>
  </si>
  <si>
    <t>Weights for Attributes Listed Below</t>
  </si>
  <si>
    <t>Constraints</t>
  </si>
  <si>
    <t>Input</t>
  </si>
  <si>
    <t xml:space="preserve">Attributes and Normalized Data </t>
  </si>
  <si>
    <t>Non-CDM  Funded</t>
  </si>
  <si>
    <t>Total DM Funded</t>
  </si>
  <si>
    <t>% CDM Met</t>
  </si>
  <si>
    <t>% DM Met</t>
  </si>
  <si>
    <t>Topsis Score*CMD</t>
  </si>
  <si>
    <t>Topsis Score*DM</t>
  </si>
  <si>
    <t>Total DM</t>
  </si>
  <si>
    <t>Total CDM</t>
  </si>
  <si>
    <t>Topsis Score</t>
  </si>
  <si>
    <t>Visitation</t>
  </si>
  <si>
    <t>Visitation Percent Change</t>
  </si>
  <si>
    <t>Jobs</t>
  </si>
  <si>
    <t>Distance from Max</t>
  </si>
  <si>
    <t>Distance from Min</t>
  </si>
  <si>
    <t>Factor Number:</t>
  </si>
  <si>
    <t>Critical Deferred Maintenance Need ($)</t>
  </si>
  <si>
    <t>Total Deferred Maintenance Need ($)</t>
  </si>
  <si>
    <t>Question #</t>
  </si>
  <si>
    <t>Response</t>
  </si>
  <si>
    <t>AHP Weight</t>
  </si>
  <si>
    <t>Key</t>
  </si>
  <si>
    <t>is ABSOLUTELY MORE important than</t>
  </si>
  <si>
    <t>is MUCH LESS important than</t>
  </si>
  <si>
    <t>is MUCH MORE important than</t>
  </si>
  <si>
    <t>is SLIGHTLY LESS important than</t>
  </si>
  <si>
    <t>is SOMEWHAT MORE important than</t>
  </si>
  <si>
    <t>is ABSOLUTELY LESS important than</t>
  </si>
  <si>
    <t>is SLIGHTLY MORE important than</t>
  </si>
  <si>
    <t>is EQUALLY important to</t>
  </si>
  <si>
    <t>is SOMEWHAT LESS important than</t>
  </si>
  <si>
    <t>Step 1: Add Each Column</t>
  </si>
  <si>
    <t>Step 2: Approximate Normalization. Div each box by its col. total</t>
  </si>
  <si>
    <t>Step 3: Priority by Avg. Rows</t>
  </si>
  <si>
    <t>Step 4: Mult each priority by its orig score</t>
  </si>
  <si>
    <t>Step 5: Weighted sum</t>
  </si>
  <si>
    <t>Step 6: Lambda</t>
  </si>
  <si>
    <t>Step 7: Lambda Max</t>
  </si>
  <si>
    <t>Step 8: Consistency Index (CI)</t>
  </si>
  <si>
    <t>Step 9: Consistency Ratio</t>
  </si>
  <si>
    <t>Weighted Values</t>
  </si>
  <si>
    <t>A</t>
  </si>
  <si>
    <t>NPS Mission Attainment</t>
  </si>
  <si>
    <t>Visitation % Inc</t>
  </si>
  <si>
    <t>Understand Park Signif</t>
  </si>
  <si>
    <t>Priority</t>
  </si>
  <si>
    <t>Weighted Sum</t>
  </si>
  <si>
    <t>Average</t>
  </si>
  <si>
    <t>B</t>
  </si>
  <si>
    <t>Economic Value</t>
  </si>
  <si>
    <t>Jobs Created</t>
  </si>
  <si>
    <t>C</t>
  </si>
  <si>
    <t>Asset Condition</t>
  </si>
  <si>
    <t>FCI/CSI</t>
  </si>
  <si>
    <t>Asset Value</t>
  </si>
  <si>
    <t>Gen'l Park Performance</t>
  </si>
  <si>
    <t>Funding Focus</t>
  </si>
  <si>
    <t>General Park Performance</t>
  </si>
  <si>
    <t>Equity</t>
  </si>
  <si>
    <t>DM Focus</t>
  </si>
  <si>
    <t>CDM</t>
  </si>
  <si>
    <t>TDM</t>
  </si>
  <si>
    <t>State</t>
  </si>
  <si>
    <t>2, 3, 4</t>
  </si>
  <si>
    <t>5, 7, 9</t>
  </si>
  <si>
    <t>Value per Asset ($)</t>
  </si>
  <si>
    <t>Maine</t>
  </si>
  <si>
    <t>Utah</t>
  </si>
  <si>
    <t>Arches</t>
  </si>
  <si>
    <t>South Dakota</t>
  </si>
  <si>
    <t>Badlands</t>
  </si>
  <si>
    <t>Texas</t>
  </si>
  <si>
    <t>Big Bend</t>
  </si>
  <si>
    <t>Florida</t>
  </si>
  <si>
    <t>Biscayne</t>
  </si>
  <si>
    <t>Colorado</t>
  </si>
  <si>
    <t>Black Canyon</t>
  </si>
  <si>
    <t>Bryce Canyon</t>
  </si>
  <si>
    <t>Canyonlands</t>
  </si>
  <si>
    <t>Capitol Reef</t>
  </si>
  <si>
    <t>New Mexico</t>
  </si>
  <si>
    <t>Carlsbad Caverns</t>
  </si>
  <si>
    <t>California</t>
  </si>
  <si>
    <t>Channel Islands</t>
  </si>
  <si>
    <t>South Carolina</t>
  </si>
  <si>
    <t>Congaree</t>
  </si>
  <si>
    <t>Oregon</t>
  </si>
  <si>
    <t>Crater Lake</t>
  </si>
  <si>
    <t>Ohio</t>
  </si>
  <si>
    <t>Cuyahoga</t>
  </si>
  <si>
    <t>Alaska</t>
  </si>
  <si>
    <t>Denali</t>
  </si>
  <si>
    <t>Death Valley</t>
  </si>
  <si>
    <t>Everglades</t>
  </si>
  <si>
    <t>Gates of the Artic</t>
  </si>
  <si>
    <t>Montana</t>
  </si>
  <si>
    <t>Glacier</t>
  </si>
  <si>
    <t>Glacier Bay</t>
  </si>
  <si>
    <t>Nevada</t>
  </si>
  <si>
    <t>Great Basin</t>
  </si>
  <si>
    <t>Arizona</t>
  </si>
  <si>
    <t>Grand Canyon</t>
  </si>
  <si>
    <t>Great Sand Dunes</t>
  </si>
  <si>
    <t>Tennessee</t>
  </si>
  <si>
    <t>Great Smoky</t>
  </si>
  <si>
    <t>Wyoming</t>
  </si>
  <si>
    <t>Grand Teton</t>
  </si>
  <si>
    <t>Guadalupe</t>
  </si>
  <si>
    <t>Hawaii</t>
  </si>
  <si>
    <t>Haleakala</t>
  </si>
  <si>
    <t>Hawai'i</t>
  </si>
  <si>
    <t>Arkansas</t>
  </si>
  <si>
    <t>Hot Springs</t>
  </si>
  <si>
    <t>Michigan</t>
  </si>
  <si>
    <t>Isle Royale</t>
  </si>
  <si>
    <t>Missouri</t>
  </si>
  <si>
    <t>Gateway Arch</t>
  </si>
  <si>
    <t>Joshua Tree</t>
  </si>
  <si>
    <t>Katmai</t>
  </si>
  <si>
    <t>Kenai Fjords</t>
  </si>
  <si>
    <t>Kings Canyon</t>
  </si>
  <si>
    <t>Kobuk Valley</t>
  </si>
  <si>
    <t>Lake Clark</t>
  </si>
  <si>
    <t>Lassen Volcanic</t>
  </si>
  <si>
    <t>Kentucky</t>
  </si>
  <si>
    <t>Mammoth Cave</t>
  </si>
  <si>
    <t>Mesa Verde</t>
  </si>
  <si>
    <t>Washington</t>
  </si>
  <si>
    <t>Mount Rainier</t>
  </si>
  <si>
    <t>North Cascades</t>
  </si>
  <si>
    <t>Samoa</t>
  </si>
  <si>
    <t>American Samoa</t>
  </si>
  <si>
    <t>Olympic</t>
  </si>
  <si>
    <t>Petrified Forest</t>
  </si>
  <si>
    <t>Pinnacles</t>
  </si>
  <si>
    <t>Redwood</t>
  </si>
  <si>
    <t>Rocky Mountain</t>
  </si>
  <si>
    <t>Saguaro</t>
  </si>
  <si>
    <t>Sequoia</t>
  </si>
  <si>
    <t>Virginia</t>
  </si>
  <si>
    <t>Shenandoah</t>
  </si>
  <si>
    <t>North Dakota</t>
  </si>
  <si>
    <t>Theodore Roosevelt</t>
  </si>
  <si>
    <t>US. Virgin Islands</t>
  </si>
  <si>
    <t>Virgin Islands</t>
  </si>
  <si>
    <t>Minnesota</t>
  </si>
  <si>
    <t>Voyageurs</t>
  </si>
  <si>
    <t>Wind Cave</t>
  </si>
  <si>
    <t>Wrangell</t>
  </si>
  <si>
    <t>Yellowstone</t>
  </si>
  <si>
    <t>Yosemite</t>
  </si>
  <si>
    <t>Zion</t>
  </si>
  <si>
    <t>CDM Funded</t>
  </si>
  <si>
    <t>Dry Tortugas</t>
  </si>
  <si>
    <t>Row Labels</t>
  </si>
  <si>
    <t>Grand Total</t>
  </si>
  <si>
    <t>Critical Deferred Maintenance Funded</t>
  </si>
  <si>
    <t>%  Of Critical Deferred Maintenance Fullfilled</t>
  </si>
  <si>
    <t>(Multiple Items)</t>
  </si>
  <si>
    <t>Total Deferred Maintenance Funded</t>
  </si>
  <si>
    <t>Total Deferred Maintenance Needed</t>
  </si>
  <si>
    <t xml:space="preserve"> % of Deferred Maintenance  Met</t>
  </si>
  <si>
    <t>↓ Park Identifiers ↓</t>
  </si>
  <si>
    <t>Park Names</t>
  </si>
  <si>
    <t>Acadia</t>
  </si>
  <si>
    <t>0 if not all questions are answered:</t>
  </si>
  <si>
    <t>National Parks Resource Allocation Dashboard</t>
  </si>
  <si>
    <t xml:space="preserve">National Park Service Funding Decision Support System </t>
  </si>
  <si>
    <t>↓ Survey Generated Park Attribute Weights ↓</t>
  </si>
  <si>
    <r>
      <rPr>
        <b/>
        <sz val="11"/>
        <color theme="1"/>
        <rFont val="Calibri"/>
        <family val="2"/>
      </rPr>
      <t xml:space="preserve">↓ </t>
    </r>
    <r>
      <rPr>
        <b/>
        <sz val="11"/>
        <color theme="1"/>
        <rFont val="Calibri"/>
        <family val="2"/>
        <scheme val="minor"/>
      </rPr>
      <t>Park Attributes and Data ↓</t>
    </r>
  </si>
  <si>
    <t>↓ Park Monetary Need ↓</t>
  </si>
  <si>
    <t>Critical Deferred Maintenance Needed</t>
  </si>
  <si>
    <t>(blank)</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</si>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</sst>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0000"/>
    <numFmt numFmtId="165" formatCode="0.000"/>
    <numFmt numFmtId="166" formatCode="0.000%"/>
    <numFmt numFmtId="167" formatCode="&quot;$&quot;#,##0"/>
  </numFmts>
  <fonts count="12" x14ac:knownFonts="1">
    <font>
      <sz val="11"/>
      <color theme="1"/>
      <name val="Calibri"/>
      <family val="2"/>
      <scheme val="minor"/>
    </font>
    <font>
      <sz val="11"/>
      <name val="Calibri"/>
      <family val="2"/>
      <scheme val="minor"/>
    </font>
    <font>
      <b/>
      <sz val="11"/>
      <color theme="1"/>
      <name val="Calibri"/>
      <family val="2"/>
      <scheme val="minor"/>
    </font>
    <font>
      <sz val="12"/>
      <color theme="1"/>
      <name val="Calibri"/>
      <family val="2"/>
      <scheme val="minor"/>
    </font>
    <font>
      <sz val="10"/>
      <color rgb="FF000000"/>
      <name val="Arial"/>
      <family val="2"/>
    </font>
    <font>
      <b/>
      <sz val="10"/>
      <color rgb="FF000000"/>
      <name val="Arial"/>
      <family val="2"/>
    </font>
    <font>
      <sz val="10"/>
      <color rgb="FFFF0000"/>
      <name val="Arial"/>
      <family val="2"/>
    </font>
    <font>
      <sz val="11"/>
      <color theme="1"/>
      <name val="Calibri"/>
      <family val="2"/>
      <scheme val="minor"/>
    </font>
    <font>
      <b/>
      <sz val="11"/>
      <color rgb="FF000000"/>
      <name val="Calibri"/>
      <family val="2"/>
      <scheme val="minor"/>
    </font>
    <font>
      <b/>
      <sz val="11"/>
      <color theme="1"/>
      <name val="Calibri"/>
      <family val="2"/>
    </font>
    <font>
      <b/>
      <sz val="18"/>
      <color theme="0"/>
      <name val="Calibri"/>
      <family val="2"/>
      <scheme val="minor"/>
    </font>
    <font>
      <sz val="11"/>
      <color rgb="FF000000"/>
      <name val="Calibri"/>
      <family val="2"/>
    </font>
  </fonts>
  <fills count="9">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rgb="FFFF0000"/>
        <bgColor indexed="64"/>
      </patternFill>
    </fill>
    <fill>
      <patternFill patternType="solid">
        <fgColor theme="9"/>
        <bgColor indexed="64"/>
      </patternFill>
    </fill>
    <fill>
      <patternFill patternType="solid">
        <fgColor theme="2" tint="-0.749992370372631"/>
        <bgColor indexed="64"/>
      </patternFill>
    </fill>
  </fills>
  <borders count="42">
    <border>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rgb="FFCCCCCC"/>
      </left>
      <right/>
      <top style="medium">
        <color rgb="FFCCCCCC"/>
      </top>
      <bottom style="medium">
        <color rgb="FFCCCCCC"/>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bottom style="thin">
        <color theme="1"/>
      </bottom>
      <diagonal/>
    </border>
    <border>
      <left style="medium">
        <color rgb="FFCCCCCC"/>
      </left>
      <right/>
      <top style="medium">
        <color rgb="FFCCCCCC"/>
      </top>
      <bottom/>
      <diagonal/>
    </border>
    <border>
      <left/>
      <right/>
      <top style="thin">
        <color theme="1"/>
      </top>
      <bottom/>
      <diagonal/>
    </border>
    <border>
      <left style="thin">
        <color indexed="64"/>
      </left>
      <right/>
      <top style="thin">
        <color theme="1"/>
      </top>
      <bottom/>
      <diagonal/>
    </border>
    <border>
      <left style="thin">
        <color indexed="64"/>
      </left>
      <right/>
      <top style="thin">
        <color indexed="64"/>
      </top>
      <bottom/>
      <diagonal/>
    </border>
    <border>
      <left/>
      <right/>
      <top style="thin">
        <color indexed="64"/>
      </top>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5">
    <xf numFmtId="0" fontId="0" fillId="0" borderId="0"/>
    <xf numFmtId="0" fontId="4" fillId="0" borderId="0"/>
    <xf numFmtId="9" fontId="4"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cellStyleXfs>
  <cellXfs count="168">
    <xf numFmtId="0" fontId="0" fillId="0" borderId="0" xfId="0"/>
    <xf numFmtId="0" fontId="0" fillId="0" borderId="0" xfId="0" applyBorder="1" applyAlignment="1">
      <alignment wrapText="1"/>
    </xf>
    <xf numFmtId="0" fontId="0" fillId="0" borderId="3" xfId="0" applyFill="1" applyBorder="1" applyAlignment="1">
      <alignment wrapText="1"/>
    </xf>
    <xf numFmtId="0" fontId="0" fillId="0" borderId="4" xfId="0" applyFill="1" applyBorder="1" applyAlignment="1">
      <alignment wrapText="1"/>
    </xf>
    <xf numFmtId="0" fontId="0" fillId="0" borderId="5" xfId="0" applyBorder="1" applyAlignment="1">
      <alignment wrapText="1"/>
    </xf>
    <xf numFmtId="0" fontId="2" fillId="0" borderId="6" xfId="0" applyFont="1" applyBorder="1"/>
    <xf numFmtId="0" fontId="0" fillId="0" borderId="7" xfId="0" applyBorder="1"/>
    <xf numFmtId="0" fontId="0" fillId="0" borderId="8" xfId="0" applyBorder="1"/>
    <xf numFmtId="0" fontId="0" fillId="0" borderId="9" xfId="0" applyBorder="1"/>
    <xf numFmtId="1" fontId="0" fillId="0" borderId="0" xfId="0" applyNumberFormat="1"/>
    <xf numFmtId="0" fontId="2" fillId="0" borderId="10" xfId="0" applyFont="1" applyBorder="1" applyAlignment="1">
      <alignment wrapText="1"/>
    </xf>
    <xf numFmtId="1" fontId="0" fillId="0" borderId="11" xfId="0" applyNumberFormat="1" applyBorder="1"/>
    <xf numFmtId="0" fontId="2" fillId="0" borderId="6" xfId="0" applyFont="1" applyBorder="1" applyAlignment="1">
      <alignment wrapText="1"/>
    </xf>
    <xf numFmtId="0" fontId="0" fillId="0" borderId="10" xfId="0" applyBorder="1" applyAlignment="1">
      <alignment wrapText="1"/>
    </xf>
    <xf numFmtId="0" fontId="0" fillId="0" borderId="12" xfId="0" applyBorder="1" applyAlignment="1">
      <alignment wrapText="1"/>
    </xf>
    <xf numFmtId="0" fontId="0" fillId="0" borderId="11" xfId="0" applyBorder="1" applyAlignment="1">
      <alignment wrapText="1"/>
    </xf>
    <xf numFmtId="0" fontId="2" fillId="0" borderId="10" xfId="0" applyFont="1" applyFill="1" applyBorder="1" applyAlignment="1">
      <alignment wrapText="1"/>
    </xf>
    <xf numFmtId="0" fontId="0" fillId="0" borderId="11" xfId="0" applyBorder="1"/>
    <xf numFmtId="0" fontId="0" fillId="0" borderId="6" xfId="0" applyBorder="1"/>
    <xf numFmtId="0" fontId="0" fillId="0" borderId="10" xfId="0" applyBorder="1"/>
    <xf numFmtId="0" fontId="0" fillId="0" borderId="12" xfId="0" applyBorder="1"/>
    <xf numFmtId="0" fontId="2" fillId="0" borderId="0" xfId="0" applyFont="1" applyBorder="1" applyAlignment="1">
      <alignment wrapText="1"/>
    </xf>
    <xf numFmtId="0" fontId="0" fillId="0" borderId="0" xfId="0" applyBorder="1"/>
    <xf numFmtId="0" fontId="0" fillId="0" borderId="0" xfId="0" applyFill="1" applyAlignment="1">
      <alignment horizontal="center"/>
    </xf>
    <xf numFmtId="0" fontId="0" fillId="4" borderId="0" xfId="0" applyFill="1" applyAlignment="1">
      <alignment horizontal="center"/>
    </xf>
    <xf numFmtId="0" fontId="0" fillId="0" borderId="0" xfId="0" applyAlignment="1">
      <alignment wrapText="1"/>
    </xf>
    <xf numFmtId="0" fontId="3" fillId="0" borderId="0" xfId="0" applyFont="1" applyBorder="1" applyAlignment="1">
      <alignment wrapText="1"/>
    </xf>
    <xf numFmtId="0" fontId="2" fillId="0" borderId="10" xfId="0" applyFont="1" applyBorder="1" applyAlignment="1"/>
    <xf numFmtId="0" fontId="2" fillId="0" borderId="12" xfId="0" applyFont="1" applyBorder="1" applyAlignment="1"/>
    <xf numFmtId="0" fontId="2" fillId="0" borderId="11" xfId="0" applyFont="1" applyBorder="1" applyAlignment="1"/>
    <xf numFmtId="0" fontId="0" fillId="0" borderId="0" xfId="0" applyAlignment="1">
      <alignment horizontal="center"/>
    </xf>
    <xf numFmtId="0" fontId="0" fillId="5" borderId="0" xfId="0" applyFont="1" applyFill="1"/>
    <xf numFmtId="0" fontId="3" fillId="5" borderId="0" xfId="0" applyFont="1" applyFill="1" applyBorder="1" applyAlignment="1">
      <alignment wrapText="1"/>
    </xf>
    <xf numFmtId="164" fontId="0" fillId="5" borderId="0" xfId="0" applyNumberFormat="1" applyFont="1" applyFill="1"/>
    <xf numFmtId="0" fontId="0" fillId="0" borderId="0" xfId="0" applyFont="1"/>
    <xf numFmtId="164" fontId="0" fillId="0" borderId="0" xfId="0" applyNumberFormat="1" applyFont="1"/>
    <xf numFmtId="2" fontId="0" fillId="5" borderId="0" xfId="0" applyNumberFormat="1" applyFont="1" applyFill="1"/>
    <xf numFmtId="2" fontId="0" fillId="0" borderId="0" xfId="0" applyNumberFormat="1" applyFont="1"/>
    <xf numFmtId="0" fontId="2" fillId="0" borderId="0" xfId="0" applyFont="1" applyAlignment="1">
      <alignment horizontal="center"/>
    </xf>
    <xf numFmtId="0" fontId="2" fillId="0" borderId="19" xfId="0" applyFont="1" applyBorder="1" applyAlignment="1">
      <alignment horizontal="center"/>
    </xf>
    <xf numFmtId="0" fontId="0" fillId="0" borderId="19" xfId="0" applyBorder="1"/>
    <xf numFmtId="12" fontId="0" fillId="0" borderId="19" xfId="0" applyNumberFormat="1" applyBorder="1"/>
    <xf numFmtId="12" fontId="0" fillId="0" borderId="0" xfId="0" applyNumberFormat="1"/>
    <xf numFmtId="0" fontId="4" fillId="0" borderId="0" xfId="1" applyFont="1" applyAlignment="1"/>
    <xf numFmtId="10" fontId="4" fillId="0" borderId="0" xfId="2" applyNumberFormat="1" applyFont="1" applyAlignment="1"/>
    <xf numFmtId="0" fontId="5" fillId="0" borderId="7" xfId="1" applyFont="1" applyBorder="1" applyAlignment="1"/>
    <xf numFmtId="0" fontId="5" fillId="0" borderId="19" xfId="1" applyFont="1" applyBorder="1" applyAlignment="1"/>
    <xf numFmtId="0" fontId="4" fillId="0" borderId="19" xfId="1" applyFont="1" applyBorder="1" applyAlignment="1"/>
    <xf numFmtId="0" fontId="4" fillId="0" borderId="24" xfId="1" applyFont="1" applyBorder="1" applyAlignment="1"/>
    <xf numFmtId="0" fontId="5" fillId="0" borderId="0" xfId="1" applyFont="1" applyFill="1" applyBorder="1" applyAlignment="1"/>
    <xf numFmtId="2" fontId="4" fillId="0" borderId="19" xfId="1" applyNumberFormat="1" applyFont="1" applyBorder="1" applyAlignment="1"/>
    <xf numFmtId="2" fontId="4" fillId="0" borderId="19" xfId="1" applyNumberFormat="1" applyFont="1" applyFill="1" applyBorder="1" applyAlignment="1"/>
    <xf numFmtId="10" fontId="5" fillId="0" borderId="0" xfId="2" applyNumberFormat="1" applyFont="1" applyFill="1" applyBorder="1" applyAlignment="1"/>
    <xf numFmtId="12" fontId="4" fillId="0" borderId="19" xfId="1" applyNumberFormat="1" applyFont="1" applyBorder="1" applyAlignment="1"/>
    <xf numFmtId="165" fontId="4" fillId="0" borderId="0" xfId="1" applyNumberFormat="1" applyFont="1" applyAlignment="1"/>
    <xf numFmtId="49" fontId="4" fillId="0" borderId="26" xfId="1" applyNumberFormat="1" applyFont="1" applyBorder="1" applyAlignment="1">
      <alignment horizontal="left"/>
    </xf>
    <xf numFmtId="0" fontId="4" fillId="0" borderId="25" xfId="1" applyFont="1" applyBorder="1" applyAlignment="1">
      <alignment horizontal="center"/>
    </xf>
    <xf numFmtId="0" fontId="4" fillId="0" borderId="0" xfId="1" applyFont="1" applyAlignment="1">
      <alignment horizontal="center"/>
    </xf>
    <xf numFmtId="2" fontId="4" fillId="0" borderId="0" xfId="1" applyNumberFormat="1" applyFont="1" applyAlignment="1"/>
    <xf numFmtId="2" fontId="4" fillId="0" borderId="0" xfId="1" applyNumberFormat="1" applyFont="1" applyFill="1" applyAlignment="1"/>
    <xf numFmtId="12" fontId="4" fillId="0" borderId="0" xfId="1" applyNumberFormat="1" applyFont="1" applyAlignment="1"/>
    <xf numFmtId="0" fontId="4" fillId="6" borderId="0" xfId="1" applyFont="1" applyFill="1" applyAlignment="1"/>
    <xf numFmtId="2" fontId="4" fillId="0" borderId="27" xfId="1" applyNumberFormat="1" applyFont="1" applyFill="1" applyBorder="1" applyAlignment="1"/>
    <xf numFmtId="0" fontId="4" fillId="0" borderId="25" xfId="1" applyFont="1" applyBorder="1" applyAlignment="1"/>
    <xf numFmtId="0" fontId="5" fillId="2" borderId="19" xfId="1" applyFont="1" applyFill="1" applyBorder="1" applyAlignment="1"/>
    <xf numFmtId="0" fontId="6" fillId="0" borderId="0" xfId="1" applyFont="1" applyAlignment="1"/>
    <xf numFmtId="165" fontId="6" fillId="0" borderId="0" xfId="1" applyNumberFormat="1" applyFont="1" applyAlignment="1"/>
    <xf numFmtId="0" fontId="0" fillId="0" borderId="0" xfId="0" applyNumberFormat="1" applyFont="1"/>
    <xf numFmtId="0" fontId="0" fillId="5" borderId="0" xfId="0" applyNumberFormat="1" applyFont="1" applyFill="1"/>
    <xf numFmtId="0" fontId="0" fillId="0" borderId="28" xfId="0" applyFont="1" applyBorder="1"/>
    <xf numFmtId="0" fontId="0" fillId="0" borderId="28" xfId="0" applyNumberFormat="1" applyFont="1" applyBorder="1"/>
    <xf numFmtId="0" fontId="3" fillId="0" borderId="28" xfId="0" applyFont="1" applyBorder="1" applyAlignment="1">
      <alignment wrapText="1"/>
    </xf>
    <xf numFmtId="164" fontId="0" fillId="0" borderId="28" xfId="0" applyNumberFormat="1" applyFont="1" applyBorder="1"/>
    <xf numFmtId="2" fontId="0" fillId="0" borderId="28" xfId="0" applyNumberFormat="1" applyFont="1" applyBorder="1"/>
    <xf numFmtId="0" fontId="2" fillId="0" borderId="29" xfId="0" applyFont="1" applyBorder="1" applyAlignment="1">
      <alignment wrapText="1"/>
    </xf>
    <xf numFmtId="0" fontId="2" fillId="0" borderId="30" xfId="0" applyFont="1" applyBorder="1" applyAlignment="1">
      <alignment wrapText="1"/>
    </xf>
    <xf numFmtId="0" fontId="3" fillId="5" borderId="29" xfId="0" applyFont="1" applyFill="1" applyBorder="1" applyAlignment="1">
      <alignment wrapText="1"/>
    </xf>
    <xf numFmtId="0" fontId="0" fillId="5" borderId="30" xfId="0" applyFont="1" applyFill="1" applyBorder="1"/>
    <xf numFmtId="0" fontId="3" fillId="0" borderId="29" xfId="0" applyFont="1" applyBorder="1" applyAlignment="1">
      <alignment wrapText="1"/>
    </xf>
    <xf numFmtId="0" fontId="3" fillId="0" borderId="22" xfId="0" applyFont="1" applyBorder="1" applyAlignment="1">
      <alignment wrapText="1"/>
    </xf>
    <xf numFmtId="0" fontId="2" fillId="0" borderId="31" xfId="0" applyFont="1" applyBorder="1" applyAlignment="1">
      <alignment wrapText="1"/>
    </xf>
    <xf numFmtId="0" fontId="2" fillId="0" borderId="31" xfId="0" applyFont="1" applyBorder="1" applyAlignment="1">
      <alignment horizontal="center" wrapText="1"/>
    </xf>
    <xf numFmtId="0" fontId="2" fillId="0" borderId="32" xfId="0" applyFont="1" applyBorder="1" applyAlignment="1">
      <alignment wrapText="1"/>
    </xf>
    <xf numFmtId="0" fontId="2" fillId="0" borderId="23" xfId="0" applyFont="1" applyBorder="1" applyAlignment="1">
      <alignment wrapText="1"/>
    </xf>
    <xf numFmtId="0" fontId="3" fillId="5" borderId="33" xfId="0" applyFont="1" applyFill="1" applyBorder="1" applyAlignment="1">
      <alignment wrapText="1"/>
    </xf>
    <xf numFmtId="164" fontId="0" fillId="5" borderId="33" xfId="0" applyNumberFormat="1" applyFont="1" applyFill="1" applyBorder="1"/>
    <xf numFmtId="2" fontId="0" fillId="5" borderId="33" xfId="0" applyNumberFormat="1" applyFont="1" applyFill="1" applyBorder="1"/>
    <xf numFmtId="0" fontId="0" fillId="5" borderId="33" xfId="0" applyFont="1" applyFill="1" applyBorder="1"/>
    <xf numFmtId="166" fontId="0" fillId="0" borderId="14" xfId="0" applyNumberFormat="1" applyBorder="1"/>
    <xf numFmtId="166" fontId="0" fillId="0" borderId="0" xfId="0" applyNumberFormat="1"/>
    <xf numFmtId="166" fontId="0" fillId="0" borderId="3" xfId="0" applyNumberFormat="1" applyBorder="1"/>
    <xf numFmtId="166" fontId="0" fillId="0" borderId="13" xfId="0" applyNumberFormat="1" applyBorder="1"/>
    <xf numFmtId="166" fontId="0" fillId="0" borderId="4" xfId="0" applyNumberFormat="1" applyBorder="1"/>
    <xf numFmtId="166" fontId="0" fillId="0" borderId="3" xfId="3" applyNumberFormat="1" applyFont="1" applyBorder="1"/>
    <xf numFmtId="166" fontId="0" fillId="0" borderId="13" xfId="3" applyNumberFormat="1" applyFont="1" applyBorder="1"/>
    <xf numFmtId="0" fontId="2" fillId="0" borderId="35" xfId="0" applyFont="1" applyFill="1" applyBorder="1" applyAlignment="1">
      <alignment wrapText="1"/>
    </xf>
    <xf numFmtId="0" fontId="8" fillId="0" borderId="35" xfId="0" applyFont="1" applyFill="1" applyBorder="1" applyAlignment="1">
      <alignment wrapText="1"/>
    </xf>
    <xf numFmtId="10" fontId="8" fillId="0" borderId="35" xfId="0" applyNumberFormat="1" applyFont="1" applyFill="1" applyBorder="1" applyAlignment="1">
      <alignment wrapText="1"/>
    </xf>
    <xf numFmtId="0" fontId="2" fillId="0" borderId="36" xfId="0" applyFont="1" applyBorder="1"/>
    <xf numFmtId="0" fontId="2" fillId="0" borderId="37" xfId="0" applyFont="1" applyBorder="1" applyAlignment="1">
      <alignment wrapText="1"/>
    </xf>
    <xf numFmtId="0" fontId="2" fillId="0" borderId="38" xfId="0" applyFont="1" applyBorder="1" applyAlignment="1">
      <alignment wrapText="1"/>
    </xf>
    <xf numFmtId="0" fontId="0" fillId="7" borderId="0" xfId="0" applyFill="1"/>
    <xf numFmtId="0" fontId="0" fillId="0" borderId="0" xfId="0" applyNumberFormat="1"/>
    <xf numFmtId="0" fontId="0" fillId="0" borderId="0" xfId="0" pivotButton="1"/>
    <xf numFmtId="0" fontId="0" fillId="0" borderId="0" xfId="0" applyAlignment="1">
      <alignment horizontal="left"/>
    </xf>
    <xf numFmtId="167" fontId="0" fillId="0" borderId="0" xfId="0" applyNumberFormat="1"/>
    <xf numFmtId="0" fontId="2" fillId="0" borderId="37" xfId="0" applyFont="1" applyFill="1" applyBorder="1" applyAlignment="1">
      <alignment wrapText="1"/>
    </xf>
    <xf numFmtId="0" fontId="2" fillId="0" borderId="38" xfId="0" applyFont="1" applyFill="1" applyBorder="1" applyAlignment="1">
      <alignment wrapText="1"/>
    </xf>
    <xf numFmtId="0" fontId="2" fillId="0" borderId="39" xfId="0" applyFont="1" applyBorder="1"/>
    <xf numFmtId="0" fontId="2" fillId="0" borderId="40" xfId="0" applyFont="1" applyFill="1" applyBorder="1" applyAlignment="1">
      <alignment wrapText="1"/>
    </xf>
    <xf numFmtId="1" fontId="0" fillId="0" borderId="0" xfId="0" applyNumberFormat="1" applyBorder="1" applyAlignment="1"/>
    <xf numFmtId="10" fontId="0" fillId="0" borderId="14" xfId="3" applyNumberFormat="1" applyFont="1" applyBorder="1"/>
    <xf numFmtId="10" fontId="0" fillId="0" borderId="5" xfId="3" applyNumberFormat="1" applyFont="1" applyBorder="1"/>
    <xf numFmtId="10" fontId="0" fillId="0" borderId="15" xfId="3" applyNumberFormat="1" applyFont="1" applyBorder="1"/>
    <xf numFmtId="10" fontId="0" fillId="0" borderId="0" xfId="0" applyNumberFormat="1"/>
    <xf numFmtId="10" fontId="0" fillId="0" borderId="0" xfId="0" applyNumberFormat="1" applyAlignment="1">
      <alignment wrapText="1"/>
    </xf>
    <xf numFmtId="44" fontId="0" fillId="0" borderId="0" xfId="4" applyFont="1"/>
    <xf numFmtId="44" fontId="0" fillId="0" borderId="0" xfId="4" applyFont="1" applyAlignment="1">
      <alignment wrapText="1"/>
    </xf>
    <xf numFmtId="0" fontId="1" fillId="8" borderId="0" xfId="0" applyFont="1" applyFill="1"/>
    <xf numFmtId="0" fontId="0" fillId="8" borderId="0" xfId="0" applyFill="1"/>
    <xf numFmtId="0" fontId="10" fillId="8" borderId="0" xfId="0" applyFont="1" applyFill="1"/>
    <xf numFmtId="10" fontId="0" fillId="0" borderId="0" xfId="0" applyNumberFormat="1" applyBorder="1"/>
    <xf numFmtId="0" fontId="2" fillId="0" borderId="41" xfId="0" applyFont="1" applyBorder="1" applyAlignment="1">
      <alignment wrapText="1"/>
    </xf>
    <xf numFmtId="0" fontId="0" fillId="0" borderId="20" xfId="0" applyBorder="1" applyProtection="1">
      <protection locked="0"/>
    </xf>
    <xf numFmtId="0" fontId="0" fillId="0" borderId="0" xfId="0" applyBorder="1" applyProtection="1">
      <protection locked="0"/>
    </xf>
    <xf numFmtId="0" fontId="0" fillId="0" borderId="21" xfId="0" applyBorder="1" applyProtection="1">
      <protection locked="0"/>
    </xf>
    <xf numFmtId="1" fontId="0" fillId="0" borderId="20" xfId="0" applyNumberFormat="1" applyBorder="1" applyProtection="1">
      <protection locked="0"/>
    </xf>
    <xf numFmtId="0" fontId="0" fillId="0" borderId="21" xfId="0" applyNumberFormat="1" applyBorder="1" applyProtection="1">
      <protection locked="0"/>
    </xf>
    <xf numFmtId="0" fontId="0" fillId="0" borderId="0" xfId="0" applyFill="1" applyBorder="1" applyProtection="1">
      <protection locked="0"/>
    </xf>
    <xf numFmtId="1" fontId="0" fillId="0" borderId="21" xfId="0" applyNumberFormat="1" applyBorder="1" applyProtection="1">
      <protection locked="0"/>
    </xf>
    <xf numFmtId="0" fontId="0" fillId="0" borderId="14" xfId="0" applyBorder="1" applyProtection="1">
      <protection locked="0"/>
    </xf>
    <xf numFmtId="0" fontId="0" fillId="0" borderId="5" xfId="0" applyBorder="1" applyProtection="1">
      <protection locked="0"/>
    </xf>
    <xf numFmtId="0" fontId="0" fillId="0" borderId="15" xfId="0" applyBorder="1" applyProtection="1">
      <protection locked="0"/>
    </xf>
    <xf numFmtId="0" fontId="0" fillId="0" borderId="0" xfId="0" applyProtection="1">
      <protection locked="0"/>
    </xf>
    <xf numFmtId="0" fontId="0" fillId="0" borderId="16" xfId="0" applyBorder="1" applyProtection="1"/>
    <xf numFmtId="0" fontId="0" fillId="0" borderId="17" xfId="0" applyBorder="1" applyProtection="1"/>
    <xf numFmtId="10" fontId="0" fillId="0" borderId="17" xfId="0" applyNumberFormat="1" applyBorder="1" applyProtection="1"/>
    <xf numFmtId="10" fontId="0" fillId="0" borderId="18" xfId="0" applyNumberFormat="1" applyBorder="1" applyProtection="1"/>
    <xf numFmtId="0" fontId="0" fillId="0" borderId="20" xfId="0" applyBorder="1" applyProtection="1"/>
    <xf numFmtId="0" fontId="0" fillId="0" borderId="0" xfId="0" applyBorder="1" applyProtection="1"/>
    <xf numFmtId="10" fontId="0" fillId="0" borderId="0" xfId="0" applyNumberFormat="1" applyBorder="1" applyProtection="1"/>
    <xf numFmtId="10" fontId="0" fillId="0" borderId="21" xfId="0" applyNumberFormat="1" applyBorder="1" applyProtection="1"/>
    <xf numFmtId="0" fontId="0" fillId="0" borderId="14" xfId="0" applyBorder="1" applyProtection="1"/>
    <xf numFmtId="0" fontId="0" fillId="0" borderId="5" xfId="0" applyBorder="1" applyProtection="1"/>
    <xf numFmtId="10" fontId="0" fillId="0" borderId="5" xfId="0" applyNumberFormat="1" applyBorder="1" applyProtection="1"/>
    <xf numFmtId="10" fontId="0" fillId="0" borderId="15" xfId="0" applyNumberFormat="1" applyBorder="1" applyProtection="1"/>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2" fillId="0" borderId="1" xfId="0" applyFont="1" applyBorder="1" applyAlignment="1">
      <alignment horizontal="center"/>
    </xf>
    <xf numFmtId="0" fontId="2" fillId="0" borderId="34" xfId="0" applyFont="1" applyBorder="1" applyAlignment="1">
      <alignment horizontal="center"/>
    </xf>
    <xf numFmtId="0" fontId="2" fillId="0" borderId="2" xfId="0" applyFont="1" applyBorder="1" applyAlignment="1">
      <alignment horizontal="center"/>
    </xf>
    <xf numFmtId="0" fontId="2" fillId="0" borderId="1" xfId="0" applyFont="1" applyFill="1" applyBorder="1" applyAlignment="1">
      <alignment horizontal="center"/>
    </xf>
    <xf numFmtId="0" fontId="2" fillId="0" borderId="34" xfId="0" applyFont="1" applyFill="1" applyBorder="1" applyAlignment="1">
      <alignment horizontal="center"/>
    </xf>
    <xf numFmtId="0" fontId="2" fillId="0" borderId="2" xfId="0" applyFont="1" applyFill="1" applyBorder="1" applyAlignment="1">
      <alignment horizontal="center"/>
    </xf>
    <xf numFmtId="0" fontId="10" fillId="8" borderId="0" xfId="0" applyFont="1" applyFill="1" applyAlignment="1">
      <alignment horizontal="left" vertical="center" wrapText="1"/>
    </xf>
    <xf numFmtId="0" fontId="2" fillId="0" borderId="19" xfId="0" applyFont="1" applyBorder="1" applyAlignment="1">
      <alignment horizontal="center" vertical="center"/>
    </xf>
    <xf numFmtId="0" fontId="4" fillId="0" borderId="25" xfId="1" applyFont="1" applyBorder="1" applyAlignment="1">
      <alignment horizontal="center" vertical="center"/>
    </xf>
    <xf numFmtId="0" fontId="4" fillId="0" borderId="0" xfId="1" applyFont="1" applyAlignment="1">
      <alignment horizontal="center"/>
    </xf>
    <xf numFmtId="0" fontId="4" fillId="0" borderId="23" xfId="1" applyFont="1" applyBorder="1" applyAlignment="1">
      <alignment horizontal="center" vertical="center"/>
    </xf>
    <xf numFmtId="0" fontId="0" fillId="2" borderId="0" xfId="0" applyFill="1" applyAlignment="1">
      <alignment horizontal="center"/>
    </xf>
    <xf numFmtId="0" fontId="0" fillId="3" borderId="0" xfId="0" applyFill="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11" xfId="0" applyFont="1" applyBorder="1" applyAlignment="1">
      <alignment horizontal="center"/>
    </xf>
    <xf numFmtId="10" fontId="0" fillId="0" borderId="1" xfId="0" applyNumberFormat="1" applyBorder="1" applyAlignment="1">
      <alignment horizontal="center"/>
    </xf>
    <xf numFmtId="0" fontId="0" fillId="0" borderId="2" xfId="0" applyBorder="1" applyAlignment="1">
      <alignment horizontal="center"/>
    </xf>
    <xf numFmtId="0" fontId="0" fillId="0" borderId="34" xfId="0" applyBorder="1" applyAlignment="1">
      <alignment horizontal="center"/>
    </xf>
  </cellXfs>
  <cellStyles count="5">
    <cellStyle name="Currency" xfId="4" builtinId="4"/>
    <cellStyle name="Normal" xfId="0" builtinId="0"/>
    <cellStyle name="Normal 2" xfId="1" xr:uid="{00000000-0005-0000-0000-000002000000}"/>
    <cellStyle name="Percent" xfId="3" builtinId="5"/>
    <cellStyle name="Percent 2" xfId="2" xr:uid="{00000000-0005-0000-0000-000004000000}"/>
  </cellStyles>
  <dxfs count="0"/>
  <tableStyles count="0" defaultTableStyle="TableStyleMedium2" defaultPivotStyle="PivotStyleLight16"/>
  <colors>
    <mruColors>
      <color rgb="FF339933"/>
      <color rgb="FF009999"/>
      <color rgb="FFFFFF66"/>
      <color rgb="FFCC6600"/>
      <color rgb="FFFF9966"/>
      <color rgb="FFFF6600"/>
      <color rgb="FF996633"/>
      <color rgb="FF9ABC62"/>
      <color rgb="FFFF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[NPS Funding Decision Support System1 (fully working version).xlsm]Pivot CDM!PivotTable1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Critical</a:t>
            </a:r>
            <a:r>
              <a:rPr lang="en-US" b="1" baseline="0"/>
              <a:t> Deferred Maintenance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w="28575" cap="rnd">
            <a:solidFill>
              <a:schemeClr val="bg2">
                <a:lumMod val="75000"/>
              </a:schemeClr>
            </a:solidFill>
            <a:round/>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w="28575" cap="rnd">
            <a:solidFill>
              <a:schemeClr val="bg2">
                <a:lumMod val="75000"/>
              </a:schemeClr>
            </a:solidFill>
            <a:round/>
          </a:ln>
          <a:effectLst/>
        </c:spPr>
        <c:marker>
          <c:symbol val="none"/>
        </c:marker>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w="28575" cap="rnd">
            <a:solidFill>
              <a:schemeClr val="bg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pivotFmt>
      <c:pivotFmt>
        <c:idx val="10"/>
        <c:spPr>
          <a:solidFill>
            <a:schemeClr val="accent2"/>
          </a:solidFill>
          <a:ln w="12700" cap="rnd">
            <a:solidFill>
              <a:srgbClr val="00B0F0"/>
            </a:solidFill>
            <a:round/>
          </a:ln>
          <a:effectLst/>
        </c:spPr>
        <c:marker>
          <c:symbol val="none"/>
        </c:marker>
      </c:pivotFmt>
      <c:pivotFmt>
        <c:idx val="11"/>
        <c:spPr>
          <a:solidFill>
            <a:srgbClr val="FFC000"/>
          </a:solidFill>
          <a:ln>
            <a:noFill/>
          </a:ln>
          <a:effectLst/>
        </c:spPr>
        <c:marker>
          <c:symbol val="none"/>
        </c:marker>
      </c:pivotFmt>
      <c:pivotFmt>
        <c:idx val="12"/>
      </c:pivotFmt>
      <c:pivotFmt>
        <c:idx val="13"/>
        <c:spPr>
          <a:solidFill>
            <a:srgbClr val="92D050"/>
          </a:solidFill>
          <a:ln>
            <a:noFill/>
          </a:ln>
          <a:effectLst/>
        </c:spPr>
        <c:marker>
          <c:symbol val="none"/>
        </c:marker>
      </c:pivotFmt>
      <c:pivotFmt>
        <c:idx val="14"/>
        <c:spPr>
          <a:ln w="0" cap="rnd">
            <a:solidFill>
              <a:schemeClr val="accent2"/>
            </a:solidFill>
            <a:round/>
          </a:ln>
          <a:effectLst/>
        </c:spPr>
        <c:marker>
          <c:symbol val="none"/>
        </c:marker>
      </c:pivotFmt>
      <c:pivotFmt>
        <c:idx val="15"/>
        <c:spPr>
          <a:solidFill>
            <a:schemeClr val="accent2"/>
          </a:solidFill>
          <a:ln>
            <a:noFill/>
          </a:ln>
          <a:effectLst/>
        </c:spPr>
        <c:marker>
          <c:symbol val="none"/>
        </c:marker>
      </c:pivotFmt>
    </c:pivotFmts>
    <c:plotArea>
      <c:layout/>
      <c:barChart>
        <c:barDir val="col"/>
        <c:grouping val="clustered"/>
        <c:varyColors val="0"/>
        <c:ser>
          <c:idx val="0"/>
          <c:order val="0"/>
          <c:tx>
            <c:strRef>
              <c:f>'Pivot CDM'!$B$4</c:f>
              <c:strCache>
                <c:ptCount val="1"/>
                <c:pt idx="0">
                  <c:v>Critical Deferred Maintenance Funded</c:v>
                </c:pt>
              </c:strCache>
            </c:strRef>
          </c:tx>
          <c:spPr>
            <a:solidFill>
              <a:srgbClr val="92D050"/>
            </a:solidFill>
            <a:ln>
              <a:noFill/>
            </a:ln>
            <a:effectLst/>
          </c:spPr>
          <c:invertIfNegative val="0"/>
          <c:cat>
            <c:strRef>
              <c:f>'Pivot CDM'!$A$5:$A$67</c:f>
              <c:strCache>
                <c:ptCount val="62"/>
                <c:pt idx="0">
                  <c:v>0</c:v>
                </c:pt>
                <c:pt idx="1">
                  <c:v>Acadia</c:v>
                </c:pt>
                <c:pt idx="2">
                  <c:v>American Samoa</c:v>
                </c:pt>
                <c:pt idx="3">
                  <c:v>Arches</c:v>
                </c:pt>
                <c:pt idx="4">
                  <c:v>Badlands</c:v>
                </c:pt>
                <c:pt idx="5">
                  <c:v>Big Bend</c:v>
                </c:pt>
                <c:pt idx="6">
                  <c:v>Biscayne</c:v>
                </c:pt>
                <c:pt idx="7">
                  <c:v>Black Canyon</c:v>
                </c:pt>
                <c:pt idx="8">
                  <c:v>Bryce Canyon</c:v>
                </c:pt>
                <c:pt idx="9">
                  <c:v>Canyonlands</c:v>
                </c:pt>
                <c:pt idx="10">
                  <c:v>Capitol Reef</c:v>
                </c:pt>
                <c:pt idx="11">
                  <c:v>Carlsbad Caverns</c:v>
                </c:pt>
                <c:pt idx="12">
                  <c:v>Channel Islands</c:v>
                </c:pt>
                <c:pt idx="13">
                  <c:v>Congaree</c:v>
                </c:pt>
                <c:pt idx="14">
                  <c:v>Crater Lake</c:v>
                </c:pt>
                <c:pt idx="15">
                  <c:v>Cuyahoga</c:v>
                </c:pt>
                <c:pt idx="16">
                  <c:v>Death Valley</c:v>
                </c:pt>
                <c:pt idx="17">
                  <c:v>Denali</c:v>
                </c:pt>
                <c:pt idx="18">
                  <c:v>Dry Tortugas</c:v>
                </c:pt>
                <c:pt idx="19">
                  <c:v>Everglades</c:v>
                </c:pt>
                <c:pt idx="20">
                  <c:v>Gates of the Artic</c:v>
                </c:pt>
                <c:pt idx="21">
                  <c:v>Gateway Arch</c:v>
                </c:pt>
                <c:pt idx="22">
                  <c:v>Glacier</c:v>
                </c:pt>
                <c:pt idx="23">
                  <c:v>Glacier Bay</c:v>
                </c:pt>
                <c:pt idx="24">
                  <c:v>Grand Canyon</c:v>
                </c:pt>
                <c:pt idx="25">
                  <c:v>Grand Teton</c:v>
                </c:pt>
                <c:pt idx="26">
                  <c:v>Great Basin</c:v>
                </c:pt>
                <c:pt idx="27">
                  <c:v>Great Sand Dunes</c:v>
                </c:pt>
                <c:pt idx="28">
                  <c:v>Great Smoky</c:v>
                </c:pt>
                <c:pt idx="29">
                  <c:v>Guadalupe</c:v>
                </c:pt>
                <c:pt idx="30">
                  <c:v>Haleakala</c:v>
                </c:pt>
                <c:pt idx="31">
                  <c:v>Hawai'i</c:v>
                </c:pt>
                <c:pt idx="32">
                  <c:v>Hot Springs</c:v>
                </c:pt>
                <c:pt idx="33">
                  <c:v>Isle Royale</c:v>
                </c:pt>
                <c:pt idx="34">
                  <c:v>Joshua Tree</c:v>
                </c:pt>
                <c:pt idx="35">
                  <c:v>Katmai</c:v>
                </c:pt>
                <c:pt idx="36">
                  <c:v>Kenai Fjords</c:v>
                </c:pt>
                <c:pt idx="37">
                  <c:v>Kings Canyon</c:v>
                </c:pt>
                <c:pt idx="38">
                  <c:v>Kobuk Valley</c:v>
                </c:pt>
                <c:pt idx="39">
                  <c:v>Lake Clark</c:v>
                </c:pt>
                <c:pt idx="40">
                  <c:v>Lassen Volcanic</c:v>
                </c:pt>
                <c:pt idx="41">
                  <c:v>Mammoth Cave</c:v>
                </c:pt>
                <c:pt idx="42">
                  <c:v>Mesa Verde</c:v>
                </c:pt>
                <c:pt idx="43">
                  <c:v>Mount Rainier</c:v>
                </c:pt>
                <c:pt idx="44">
                  <c:v>North Cascades</c:v>
                </c:pt>
                <c:pt idx="45">
                  <c:v>Olympic</c:v>
                </c:pt>
                <c:pt idx="46">
                  <c:v>Petrified Forest</c:v>
                </c:pt>
                <c:pt idx="47">
                  <c:v>Pinnacles</c:v>
                </c:pt>
                <c:pt idx="48">
                  <c:v>Redwood</c:v>
                </c:pt>
                <c:pt idx="49">
                  <c:v>Rocky Mountain</c:v>
                </c:pt>
                <c:pt idx="50">
                  <c:v>Saguaro</c:v>
                </c:pt>
                <c:pt idx="51">
                  <c:v>Sequoia</c:v>
                </c:pt>
                <c:pt idx="52">
                  <c:v>Shenandoah</c:v>
                </c:pt>
                <c:pt idx="53">
                  <c:v>Theodore Roosevelt</c:v>
                </c:pt>
                <c:pt idx="54">
                  <c:v>Virgin Islands</c:v>
                </c:pt>
                <c:pt idx="55">
                  <c:v>Voyageurs</c:v>
                </c:pt>
                <c:pt idx="56">
                  <c:v>Wind Cave</c:v>
                </c:pt>
                <c:pt idx="57">
                  <c:v>Wrangell</c:v>
                </c:pt>
                <c:pt idx="58">
                  <c:v>Yellowstone</c:v>
                </c:pt>
                <c:pt idx="59">
                  <c:v>Yosemite</c:v>
                </c:pt>
                <c:pt idx="60">
                  <c:v>Zion</c:v>
                </c:pt>
                <c:pt idx="61">
                  <c:v>(blank)</c:v>
                </c:pt>
              </c:strCache>
            </c:strRef>
          </c:cat>
          <c:val>
            <c:numRef>
              <c:f>'Pivot CDM'!$B$5:$B$67</c:f>
              <c:numCache>
                <c:formatCode>"$"#,##0</c:formatCode>
                <c:ptCount val="62"/>
                <c:pt idx="0">
                  <c:v>0</c:v>
                </c:pt>
                <c:pt idx="1">
                  <c:v>17448635</c:v>
                </c:pt>
                <c:pt idx="2">
                  <c:v>279614</c:v>
                </c:pt>
                <c:pt idx="3">
                  <c:v>2331452</c:v>
                </c:pt>
                <c:pt idx="4">
                  <c:v>2495014</c:v>
                </c:pt>
                <c:pt idx="5">
                  <c:v>0</c:v>
                </c:pt>
                <c:pt idx="6">
                  <c:v>2658387</c:v>
                </c:pt>
                <c:pt idx="7">
                  <c:v>714037</c:v>
                </c:pt>
                <c:pt idx="8">
                  <c:v>2468544</c:v>
                </c:pt>
                <c:pt idx="9">
                  <c:v>4229819</c:v>
                </c:pt>
                <c:pt idx="10">
                  <c:v>1088538</c:v>
                </c:pt>
                <c:pt idx="11">
                  <c:v>0</c:v>
                </c:pt>
                <c:pt idx="12">
                  <c:v>6112271</c:v>
                </c:pt>
                <c:pt idx="13">
                  <c:v>1269732</c:v>
                </c:pt>
                <c:pt idx="14">
                  <c:v>0</c:v>
                </c:pt>
                <c:pt idx="15">
                  <c:v>0</c:v>
                </c:pt>
                <c:pt idx="16">
                  <c:v>0</c:v>
                </c:pt>
                <c:pt idx="17">
                  <c:v>17848520</c:v>
                </c:pt>
                <c:pt idx="18">
                  <c:v>30171870</c:v>
                </c:pt>
                <c:pt idx="19">
                  <c:v>0</c:v>
                </c:pt>
                <c:pt idx="20">
                  <c:v>97459</c:v>
                </c:pt>
                <c:pt idx="21">
                  <c:v>8805718</c:v>
                </c:pt>
                <c:pt idx="22">
                  <c:v>0</c:v>
                </c:pt>
                <c:pt idx="23">
                  <c:v>2907354</c:v>
                </c:pt>
                <c:pt idx="24">
                  <c:v>116126561</c:v>
                </c:pt>
                <c:pt idx="25">
                  <c:v>39388030</c:v>
                </c:pt>
                <c:pt idx="26">
                  <c:v>1844543</c:v>
                </c:pt>
                <c:pt idx="27">
                  <c:v>2195832</c:v>
                </c:pt>
                <c:pt idx="28">
                  <c:v>25617231</c:v>
                </c:pt>
                <c:pt idx="29">
                  <c:v>930266</c:v>
                </c:pt>
                <c:pt idx="30">
                  <c:v>6055857</c:v>
                </c:pt>
                <c:pt idx="31">
                  <c:v>6646866</c:v>
                </c:pt>
                <c:pt idx="32">
                  <c:v>3875013</c:v>
                </c:pt>
                <c:pt idx="33">
                  <c:v>8436895</c:v>
                </c:pt>
                <c:pt idx="34">
                  <c:v>4848082</c:v>
                </c:pt>
                <c:pt idx="35">
                  <c:v>2693908</c:v>
                </c:pt>
                <c:pt idx="36">
                  <c:v>395788</c:v>
                </c:pt>
                <c:pt idx="37">
                  <c:v>20198975</c:v>
                </c:pt>
                <c:pt idx="38">
                  <c:v>364681</c:v>
                </c:pt>
                <c:pt idx="39">
                  <c:v>339533</c:v>
                </c:pt>
                <c:pt idx="40">
                  <c:v>6824420</c:v>
                </c:pt>
                <c:pt idx="41">
                  <c:v>9443241</c:v>
                </c:pt>
                <c:pt idx="42">
                  <c:v>0</c:v>
                </c:pt>
                <c:pt idx="43">
                  <c:v>14874369</c:v>
                </c:pt>
                <c:pt idx="44">
                  <c:v>7063831</c:v>
                </c:pt>
                <c:pt idx="45">
                  <c:v>0</c:v>
                </c:pt>
                <c:pt idx="46">
                  <c:v>9115039</c:v>
                </c:pt>
                <c:pt idx="47">
                  <c:v>2965185</c:v>
                </c:pt>
                <c:pt idx="48">
                  <c:v>8816865</c:v>
                </c:pt>
                <c:pt idx="49">
                  <c:v>29093054</c:v>
                </c:pt>
                <c:pt idx="50">
                  <c:v>2526446</c:v>
                </c:pt>
                <c:pt idx="51">
                  <c:v>0</c:v>
                </c:pt>
                <c:pt idx="52">
                  <c:v>0</c:v>
                </c:pt>
                <c:pt idx="53">
                  <c:v>4464760</c:v>
                </c:pt>
                <c:pt idx="54">
                  <c:v>8568662</c:v>
                </c:pt>
                <c:pt idx="55">
                  <c:v>3515054</c:v>
                </c:pt>
                <c:pt idx="56">
                  <c:v>1579116</c:v>
                </c:pt>
                <c:pt idx="57">
                  <c:v>6580030</c:v>
                </c:pt>
                <c:pt idx="58">
                  <c:v>93980346</c:v>
                </c:pt>
                <c:pt idx="59">
                  <c:v>0</c:v>
                </c:pt>
                <c:pt idx="60">
                  <c:v>5954620</c:v>
                </c:pt>
              </c:numCache>
            </c:numRef>
          </c:val>
          <c:extLst>
            <c:ext xmlns:c16="http://schemas.microsoft.com/office/drawing/2014/chart" uri="{C3380CC4-5D6E-409C-BE32-E72D297353CC}">
              <c16:uniqueId val="{00000000-34E0-4A55-8CC1-C2BBD1E5C461}"/>
            </c:ext>
          </c:extLst>
        </c:ser>
        <c:ser>
          <c:idx val="2"/>
          <c:order val="2"/>
          <c:tx>
            <c:strRef>
              <c:f>'Pivot CDM'!$D$4</c:f>
              <c:strCache>
                <c:ptCount val="1"/>
                <c:pt idx="0">
                  <c:v>Critical Deferred Maintenance Needed</c:v>
                </c:pt>
              </c:strCache>
            </c:strRef>
          </c:tx>
          <c:spPr>
            <a:solidFill>
              <a:schemeClr val="accent2"/>
            </a:solidFill>
            <a:ln>
              <a:noFill/>
            </a:ln>
            <a:effectLst/>
          </c:spPr>
          <c:invertIfNegative val="0"/>
          <c:cat>
            <c:strRef>
              <c:f>'Pivot CDM'!$A$5:$A$67</c:f>
              <c:strCache>
                <c:ptCount val="62"/>
                <c:pt idx="0">
                  <c:v>0</c:v>
                </c:pt>
                <c:pt idx="1">
                  <c:v>Acadia</c:v>
                </c:pt>
                <c:pt idx="2">
                  <c:v>American Samoa</c:v>
                </c:pt>
                <c:pt idx="3">
                  <c:v>Arches</c:v>
                </c:pt>
                <c:pt idx="4">
                  <c:v>Badlands</c:v>
                </c:pt>
                <c:pt idx="5">
                  <c:v>Big Bend</c:v>
                </c:pt>
                <c:pt idx="6">
                  <c:v>Biscayne</c:v>
                </c:pt>
                <c:pt idx="7">
                  <c:v>Black Canyon</c:v>
                </c:pt>
                <c:pt idx="8">
                  <c:v>Bryce Canyon</c:v>
                </c:pt>
                <c:pt idx="9">
                  <c:v>Canyonlands</c:v>
                </c:pt>
                <c:pt idx="10">
                  <c:v>Capitol Reef</c:v>
                </c:pt>
                <c:pt idx="11">
                  <c:v>Carlsbad Caverns</c:v>
                </c:pt>
                <c:pt idx="12">
                  <c:v>Channel Islands</c:v>
                </c:pt>
                <c:pt idx="13">
                  <c:v>Congaree</c:v>
                </c:pt>
                <c:pt idx="14">
                  <c:v>Crater Lake</c:v>
                </c:pt>
                <c:pt idx="15">
                  <c:v>Cuyahoga</c:v>
                </c:pt>
                <c:pt idx="16">
                  <c:v>Death Valley</c:v>
                </c:pt>
                <c:pt idx="17">
                  <c:v>Denali</c:v>
                </c:pt>
                <c:pt idx="18">
                  <c:v>Dry Tortugas</c:v>
                </c:pt>
                <c:pt idx="19">
                  <c:v>Everglades</c:v>
                </c:pt>
                <c:pt idx="20">
                  <c:v>Gates of the Artic</c:v>
                </c:pt>
                <c:pt idx="21">
                  <c:v>Gateway Arch</c:v>
                </c:pt>
                <c:pt idx="22">
                  <c:v>Glacier</c:v>
                </c:pt>
                <c:pt idx="23">
                  <c:v>Glacier Bay</c:v>
                </c:pt>
                <c:pt idx="24">
                  <c:v>Grand Canyon</c:v>
                </c:pt>
                <c:pt idx="25">
                  <c:v>Grand Teton</c:v>
                </c:pt>
                <c:pt idx="26">
                  <c:v>Great Basin</c:v>
                </c:pt>
                <c:pt idx="27">
                  <c:v>Great Sand Dunes</c:v>
                </c:pt>
                <c:pt idx="28">
                  <c:v>Great Smoky</c:v>
                </c:pt>
                <c:pt idx="29">
                  <c:v>Guadalupe</c:v>
                </c:pt>
                <c:pt idx="30">
                  <c:v>Haleakala</c:v>
                </c:pt>
                <c:pt idx="31">
                  <c:v>Hawai'i</c:v>
                </c:pt>
                <c:pt idx="32">
                  <c:v>Hot Springs</c:v>
                </c:pt>
                <c:pt idx="33">
                  <c:v>Isle Royale</c:v>
                </c:pt>
                <c:pt idx="34">
                  <c:v>Joshua Tree</c:v>
                </c:pt>
                <c:pt idx="35">
                  <c:v>Katmai</c:v>
                </c:pt>
                <c:pt idx="36">
                  <c:v>Kenai Fjords</c:v>
                </c:pt>
                <c:pt idx="37">
                  <c:v>Kings Canyon</c:v>
                </c:pt>
                <c:pt idx="38">
                  <c:v>Kobuk Valley</c:v>
                </c:pt>
                <c:pt idx="39">
                  <c:v>Lake Clark</c:v>
                </c:pt>
                <c:pt idx="40">
                  <c:v>Lassen Volcanic</c:v>
                </c:pt>
                <c:pt idx="41">
                  <c:v>Mammoth Cave</c:v>
                </c:pt>
                <c:pt idx="42">
                  <c:v>Mesa Verde</c:v>
                </c:pt>
                <c:pt idx="43">
                  <c:v>Mount Rainier</c:v>
                </c:pt>
                <c:pt idx="44">
                  <c:v>North Cascades</c:v>
                </c:pt>
                <c:pt idx="45">
                  <c:v>Olympic</c:v>
                </c:pt>
                <c:pt idx="46">
                  <c:v>Petrified Forest</c:v>
                </c:pt>
                <c:pt idx="47">
                  <c:v>Pinnacles</c:v>
                </c:pt>
                <c:pt idx="48">
                  <c:v>Redwood</c:v>
                </c:pt>
                <c:pt idx="49">
                  <c:v>Rocky Mountain</c:v>
                </c:pt>
                <c:pt idx="50">
                  <c:v>Saguaro</c:v>
                </c:pt>
                <c:pt idx="51">
                  <c:v>Sequoia</c:v>
                </c:pt>
                <c:pt idx="52">
                  <c:v>Shenandoah</c:v>
                </c:pt>
                <c:pt idx="53">
                  <c:v>Theodore Roosevelt</c:v>
                </c:pt>
                <c:pt idx="54">
                  <c:v>Virgin Islands</c:v>
                </c:pt>
                <c:pt idx="55">
                  <c:v>Voyageurs</c:v>
                </c:pt>
                <c:pt idx="56">
                  <c:v>Wind Cave</c:v>
                </c:pt>
                <c:pt idx="57">
                  <c:v>Wrangell</c:v>
                </c:pt>
                <c:pt idx="58">
                  <c:v>Yellowstone</c:v>
                </c:pt>
                <c:pt idx="59">
                  <c:v>Yosemite</c:v>
                </c:pt>
                <c:pt idx="60">
                  <c:v>Zion</c:v>
                </c:pt>
                <c:pt idx="61">
                  <c:v>(blank)</c:v>
                </c:pt>
              </c:strCache>
            </c:strRef>
          </c:cat>
          <c:val>
            <c:numRef>
              <c:f>'Pivot CDM'!$D$5:$D$67</c:f>
              <c:numCache>
                <c:formatCode>"$"#,##0</c:formatCode>
                <c:ptCount val="62"/>
                <c:pt idx="0">
                  <c:v>0</c:v>
                </c:pt>
                <c:pt idx="1">
                  <c:v>17448635</c:v>
                </c:pt>
                <c:pt idx="2">
                  <c:v>279614</c:v>
                </c:pt>
                <c:pt idx="3">
                  <c:v>2331452</c:v>
                </c:pt>
                <c:pt idx="4">
                  <c:v>2495014</c:v>
                </c:pt>
                <c:pt idx="5">
                  <c:v>11377737</c:v>
                </c:pt>
                <c:pt idx="6">
                  <c:v>2658387</c:v>
                </c:pt>
                <c:pt idx="7">
                  <c:v>714037</c:v>
                </c:pt>
                <c:pt idx="8">
                  <c:v>2468544</c:v>
                </c:pt>
                <c:pt idx="9">
                  <c:v>4229819</c:v>
                </c:pt>
                <c:pt idx="10">
                  <c:v>1088538</c:v>
                </c:pt>
                <c:pt idx="11">
                  <c:v>18474914</c:v>
                </c:pt>
                <c:pt idx="12">
                  <c:v>6112271</c:v>
                </c:pt>
                <c:pt idx="13">
                  <c:v>1269732</c:v>
                </c:pt>
                <c:pt idx="14">
                  <c:v>12465730</c:v>
                </c:pt>
                <c:pt idx="15">
                  <c:v>24959116</c:v>
                </c:pt>
                <c:pt idx="16">
                  <c:v>12582033</c:v>
                </c:pt>
                <c:pt idx="17">
                  <c:v>17848520</c:v>
                </c:pt>
                <c:pt idx="18">
                  <c:v>30171870</c:v>
                </c:pt>
                <c:pt idx="19">
                  <c:v>16781395</c:v>
                </c:pt>
                <c:pt idx="20">
                  <c:v>97459</c:v>
                </c:pt>
                <c:pt idx="21">
                  <c:v>8805718</c:v>
                </c:pt>
                <c:pt idx="22">
                  <c:v>35198197</c:v>
                </c:pt>
                <c:pt idx="23">
                  <c:v>2907354</c:v>
                </c:pt>
                <c:pt idx="24">
                  <c:v>116126561</c:v>
                </c:pt>
                <c:pt idx="25">
                  <c:v>39388030</c:v>
                </c:pt>
                <c:pt idx="26">
                  <c:v>1844543</c:v>
                </c:pt>
                <c:pt idx="27">
                  <c:v>2195832</c:v>
                </c:pt>
                <c:pt idx="28">
                  <c:v>25617231</c:v>
                </c:pt>
                <c:pt idx="29">
                  <c:v>930266</c:v>
                </c:pt>
                <c:pt idx="30">
                  <c:v>6055857</c:v>
                </c:pt>
                <c:pt idx="31">
                  <c:v>6646866</c:v>
                </c:pt>
                <c:pt idx="32">
                  <c:v>3875013</c:v>
                </c:pt>
                <c:pt idx="33">
                  <c:v>8436895</c:v>
                </c:pt>
                <c:pt idx="34">
                  <c:v>4848082</c:v>
                </c:pt>
                <c:pt idx="35">
                  <c:v>2693908</c:v>
                </c:pt>
                <c:pt idx="36">
                  <c:v>395788</c:v>
                </c:pt>
                <c:pt idx="37">
                  <c:v>20198975</c:v>
                </c:pt>
                <c:pt idx="38">
                  <c:v>364681</c:v>
                </c:pt>
                <c:pt idx="39">
                  <c:v>339533</c:v>
                </c:pt>
                <c:pt idx="40">
                  <c:v>6824420</c:v>
                </c:pt>
                <c:pt idx="41">
                  <c:v>9443241</c:v>
                </c:pt>
                <c:pt idx="42">
                  <c:v>15564781</c:v>
                </c:pt>
                <c:pt idx="43">
                  <c:v>14874369</c:v>
                </c:pt>
                <c:pt idx="44">
                  <c:v>7063831</c:v>
                </c:pt>
                <c:pt idx="45">
                  <c:v>19206474</c:v>
                </c:pt>
                <c:pt idx="46">
                  <c:v>9115039</c:v>
                </c:pt>
                <c:pt idx="47">
                  <c:v>2965185</c:v>
                </c:pt>
                <c:pt idx="48">
                  <c:v>8816865</c:v>
                </c:pt>
                <c:pt idx="49">
                  <c:v>31579418</c:v>
                </c:pt>
                <c:pt idx="50">
                  <c:v>2526446</c:v>
                </c:pt>
                <c:pt idx="51">
                  <c:v>20198975</c:v>
                </c:pt>
                <c:pt idx="52">
                  <c:v>13386256</c:v>
                </c:pt>
                <c:pt idx="53">
                  <c:v>4464760</c:v>
                </c:pt>
                <c:pt idx="54">
                  <c:v>8568662</c:v>
                </c:pt>
                <c:pt idx="55">
                  <c:v>3515054</c:v>
                </c:pt>
                <c:pt idx="56">
                  <c:v>1579116</c:v>
                </c:pt>
                <c:pt idx="57">
                  <c:v>6580030</c:v>
                </c:pt>
                <c:pt idx="58">
                  <c:v>93980346</c:v>
                </c:pt>
                <c:pt idx="59">
                  <c:v>156388849</c:v>
                </c:pt>
                <c:pt idx="60">
                  <c:v>5954620</c:v>
                </c:pt>
              </c:numCache>
            </c:numRef>
          </c:val>
          <c:extLst>
            <c:ext xmlns:c16="http://schemas.microsoft.com/office/drawing/2014/chart" uri="{C3380CC4-5D6E-409C-BE32-E72D297353CC}">
              <c16:uniqueId val="{00000001-34E0-4A55-8CC1-C2BBD1E5C461}"/>
            </c:ext>
          </c:extLst>
        </c:ser>
        <c:dLbls>
          <c:showLegendKey val="0"/>
          <c:showVal val="0"/>
          <c:showCatName val="0"/>
          <c:showSerName val="0"/>
          <c:showPercent val="0"/>
          <c:showBubbleSize val="0"/>
        </c:dLbls>
        <c:gapWidth val="219"/>
        <c:axId val="1406660240"/>
        <c:axId val="1410724192"/>
      </c:barChart>
      <c:lineChart>
        <c:grouping val="standard"/>
        <c:varyColors val="0"/>
        <c:ser>
          <c:idx val="1"/>
          <c:order val="1"/>
          <c:tx>
            <c:strRef>
              <c:f>'Pivot CDM'!$C$4</c:f>
              <c:strCache>
                <c:ptCount val="1"/>
                <c:pt idx="0">
                  <c:v>%  Of Critical Deferred Maintenance Fullfilled</c:v>
                </c:pt>
              </c:strCache>
            </c:strRef>
          </c:tx>
          <c:spPr>
            <a:ln w="0" cap="rnd">
              <a:solidFill>
                <a:schemeClr val="accent4"/>
              </a:solidFill>
              <a:round/>
            </a:ln>
            <a:effectLst/>
          </c:spPr>
          <c:marker>
            <c:symbol val="none"/>
          </c:marker>
          <c:cat>
            <c:strRef>
              <c:f>'Pivot CDM'!$A$5:$A$67</c:f>
              <c:strCache>
                <c:ptCount val="62"/>
                <c:pt idx="0">
                  <c:v>0</c:v>
                </c:pt>
                <c:pt idx="1">
                  <c:v>Acadia</c:v>
                </c:pt>
                <c:pt idx="2">
                  <c:v>American Samoa</c:v>
                </c:pt>
                <c:pt idx="3">
                  <c:v>Arches</c:v>
                </c:pt>
                <c:pt idx="4">
                  <c:v>Badlands</c:v>
                </c:pt>
                <c:pt idx="5">
                  <c:v>Big Bend</c:v>
                </c:pt>
                <c:pt idx="6">
                  <c:v>Biscayne</c:v>
                </c:pt>
                <c:pt idx="7">
                  <c:v>Black Canyon</c:v>
                </c:pt>
                <c:pt idx="8">
                  <c:v>Bryce Canyon</c:v>
                </c:pt>
                <c:pt idx="9">
                  <c:v>Canyonlands</c:v>
                </c:pt>
                <c:pt idx="10">
                  <c:v>Capitol Reef</c:v>
                </c:pt>
                <c:pt idx="11">
                  <c:v>Carlsbad Caverns</c:v>
                </c:pt>
                <c:pt idx="12">
                  <c:v>Channel Islands</c:v>
                </c:pt>
                <c:pt idx="13">
                  <c:v>Congaree</c:v>
                </c:pt>
                <c:pt idx="14">
                  <c:v>Crater Lake</c:v>
                </c:pt>
                <c:pt idx="15">
                  <c:v>Cuyahoga</c:v>
                </c:pt>
                <c:pt idx="16">
                  <c:v>Death Valley</c:v>
                </c:pt>
                <c:pt idx="17">
                  <c:v>Denali</c:v>
                </c:pt>
                <c:pt idx="18">
                  <c:v>Dry Tortugas</c:v>
                </c:pt>
                <c:pt idx="19">
                  <c:v>Everglades</c:v>
                </c:pt>
                <c:pt idx="20">
                  <c:v>Gates of the Artic</c:v>
                </c:pt>
                <c:pt idx="21">
                  <c:v>Gateway Arch</c:v>
                </c:pt>
                <c:pt idx="22">
                  <c:v>Glacier</c:v>
                </c:pt>
                <c:pt idx="23">
                  <c:v>Glacier Bay</c:v>
                </c:pt>
                <c:pt idx="24">
                  <c:v>Grand Canyon</c:v>
                </c:pt>
                <c:pt idx="25">
                  <c:v>Grand Teton</c:v>
                </c:pt>
                <c:pt idx="26">
                  <c:v>Great Basin</c:v>
                </c:pt>
                <c:pt idx="27">
                  <c:v>Great Sand Dunes</c:v>
                </c:pt>
                <c:pt idx="28">
                  <c:v>Great Smoky</c:v>
                </c:pt>
                <c:pt idx="29">
                  <c:v>Guadalupe</c:v>
                </c:pt>
                <c:pt idx="30">
                  <c:v>Haleakala</c:v>
                </c:pt>
                <c:pt idx="31">
                  <c:v>Hawai'i</c:v>
                </c:pt>
                <c:pt idx="32">
                  <c:v>Hot Springs</c:v>
                </c:pt>
                <c:pt idx="33">
                  <c:v>Isle Royale</c:v>
                </c:pt>
                <c:pt idx="34">
                  <c:v>Joshua Tree</c:v>
                </c:pt>
                <c:pt idx="35">
                  <c:v>Katmai</c:v>
                </c:pt>
                <c:pt idx="36">
                  <c:v>Kenai Fjords</c:v>
                </c:pt>
                <c:pt idx="37">
                  <c:v>Kings Canyon</c:v>
                </c:pt>
                <c:pt idx="38">
                  <c:v>Kobuk Valley</c:v>
                </c:pt>
                <c:pt idx="39">
                  <c:v>Lake Clark</c:v>
                </c:pt>
                <c:pt idx="40">
                  <c:v>Lassen Volcanic</c:v>
                </c:pt>
                <c:pt idx="41">
                  <c:v>Mammoth Cave</c:v>
                </c:pt>
                <c:pt idx="42">
                  <c:v>Mesa Verde</c:v>
                </c:pt>
                <c:pt idx="43">
                  <c:v>Mount Rainier</c:v>
                </c:pt>
                <c:pt idx="44">
                  <c:v>North Cascades</c:v>
                </c:pt>
                <c:pt idx="45">
                  <c:v>Olympic</c:v>
                </c:pt>
                <c:pt idx="46">
                  <c:v>Petrified Forest</c:v>
                </c:pt>
                <c:pt idx="47">
                  <c:v>Pinnacles</c:v>
                </c:pt>
                <c:pt idx="48">
                  <c:v>Redwood</c:v>
                </c:pt>
                <c:pt idx="49">
                  <c:v>Rocky Mountain</c:v>
                </c:pt>
                <c:pt idx="50">
                  <c:v>Saguaro</c:v>
                </c:pt>
                <c:pt idx="51">
                  <c:v>Sequoia</c:v>
                </c:pt>
                <c:pt idx="52">
                  <c:v>Shenandoah</c:v>
                </c:pt>
                <c:pt idx="53">
                  <c:v>Theodore Roosevelt</c:v>
                </c:pt>
                <c:pt idx="54">
                  <c:v>Virgin Islands</c:v>
                </c:pt>
                <c:pt idx="55">
                  <c:v>Voyageurs</c:v>
                </c:pt>
                <c:pt idx="56">
                  <c:v>Wind Cave</c:v>
                </c:pt>
                <c:pt idx="57">
                  <c:v>Wrangell</c:v>
                </c:pt>
                <c:pt idx="58">
                  <c:v>Yellowstone</c:v>
                </c:pt>
                <c:pt idx="59">
                  <c:v>Yosemite</c:v>
                </c:pt>
                <c:pt idx="60">
                  <c:v>Zion</c:v>
                </c:pt>
                <c:pt idx="61">
                  <c:v>(blank)</c:v>
                </c:pt>
              </c:strCache>
            </c:strRef>
          </c:cat>
          <c:val>
            <c:numRef>
              <c:f>'Pivot CDM'!$C$5:$C$67</c:f>
              <c:numCache>
                <c:formatCode>General</c:formatCode>
                <c:ptCount val="62"/>
                <c:pt idx="0">
                  <c:v>0</c:v>
                </c:pt>
                <c:pt idx="1">
                  <c:v>1</c:v>
                </c:pt>
                <c:pt idx="2">
                  <c:v>1</c:v>
                </c:pt>
                <c:pt idx="3">
                  <c:v>1</c:v>
                </c:pt>
                <c:pt idx="4">
                  <c:v>1</c:v>
                </c:pt>
                <c:pt idx="5">
                  <c:v>0</c:v>
                </c:pt>
                <c:pt idx="6">
                  <c:v>1</c:v>
                </c:pt>
                <c:pt idx="7">
                  <c:v>1</c:v>
                </c:pt>
                <c:pt idx="8">
                  <c:v>1</c:v>
                </c:pt>
                <c:pt idx="9">
                  <c:v>1</c:v>
                </c:pt>
                <c:pt idx="10">
                  <c:v>1</c:v>
                </c:pt>
                <c:pt idx="11">
                  <c:v>0</c:v>
                </c:pt>
                <c:pt idx="12">
                  <c:v>1</c:v>
                </c:pt>
                <c:pt idx="13">
                  <c:v>1</c:v>
                </c:pt>
                <c:pt idx="14">
                  <c:v>0</c:v>
                </c:pt>
                <c:pt idx="15">
                  <c:v>0</c:v>
                </c:pt>
                <c:pt idx="16">
                  <c:v>0</c:v>
                </c:pt>
                <c:pt idx="17">
                  <c:v>1</c:v>
                </c:pt>
                <c:pt idx="18">
                  <c:v>1</c:v>
                </c:pt>
                <c:pt idx="19">
                  <c:v>0</c:v>
                </c:pt>
                <c:pt idx="20">
                  <c:v>1</c:v>
                </c:pt>
                <c:pt idx="21">
                  <c:v>1</c:v>
                </c:pt>
                <c:pt idx="22">
                  <c:v>0</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0</c:v>
                </c:pt>
                <c:pt idx="43">
                  <c:v>1</c:v>
                </c:pt>
                <c:pt idx="44">
                  <c:v>1</c:v>
                </c:pt>
                <c:pt idx="45">
                  <c:v>0</c:v>
                </c:pt>
                <c:pt idx="46">
                  <c:v>1</c:v>
                </c:pt>
                <c:pt idx="47">
                  <c:v>1</c:v>
                </c:pt>
                <c:pt idx="48">
                  <c:v>1</c:v>
                </c:pt>
                <c:pt idx="49">
                  <c:v>0.92126631339437604</c:v>
                </c:pt>
                <c:pt idx="50">
                  <c:v>1</c:v>
                </c:pt>
                <c:pt idx="51">
                  <c:v>0</c:v>
                </c:pt>
                <c:pt idx="52">
                  <c:v>0</c:v>
                </c:pt>
                <c:pt idx="53">
                  <c:v>1</c:v>
                </c:pt>
                <c:pt idx="54">
                  <c:v>1</c:v>
                </c:pt>
                <c:pt idx="55">
                  <c:v>1</c:v>
                </c:pt>
                <c:pt idx="56">
                  <c:v>1</c:v>
                </c:pt>
                <c:pt idx="57">
                  <c:v>1</c:v>
                </c:pt>
                <c:pt idx="58">
                  <c:v>1</c:v>
                </c:pt>
                <c:pt idx="59">
                  <c:v>0</c:v>
                </c:pt>
                <c:pt idx="60">
                  <c:v>1</c:v>
                </c:pt>
              </c:numCache>
            </c:numRef>
          </c:val>
          <c:smooth val="0"/>
          <c:extLst>
            <c:ext xmlns:c16="http://schemas.microsoft.com/office/drawing/2014/chart" uri="{C3380CC4-5D6E-409C-BE32-E72D297353CC}">
              <c16:uniqueId val="{00000002-34E0-4A55-8CC1-C2BBD1E5C461}"/>
            </c:ext>
          </c:extLst>
        </c:ser>
        <c:dLbls>
          <c:showLegendKey val="0"/>
          <c:showVal val="0"/>
          <c:showCatName val="0"/>
          <c:showSerName val="0"/>
          <c:showPercent val="0"/>
          <c:showBubbleSize val="0"/>
        </c:dLbls>
        <c:marker val="1"/>
        <c:smooth val="0"/>
        <c:axId val="735798592"/>
        <c:axId val="1410730016"/>
      </c:lineChart>
      <c:catAx>
        <c:axId val="14066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724192"/>
        <c:crosses val="autoZero"/>
        <c:auto val="1"/>
        <c:lblAlgn val="ctr"/>
        <c:lblOffset val="100"/>
        <c:noMultiLvlLbl val="0"/>
      </c:catAx>
      <c:valAx>
        <c:axId val="14107241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660240"/>
        <c:crosses val="autoZero"/>
        <c:crossBetween val="between"/>
      </c:valAx>
      <c:valAx>
        <c:axId val="1410730016"/>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Funded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798592"/>
        <c:crosses val="max"/>
        <c:crossBetween val="between"/>
      </c:valAx>
      <c:catAx>
        <c:axId val="735798592"/>
        <c:scaling>
          <c:orientation val="minMax"/>
        </c:scaling>
        <c:delete val="1"/>
        <c:axPos val="b"/>
        <c:numFmt formatCode="General" sourceLinked="1"/>
        <c:majorTickMark val="out"/>
        <c:minorTickMark val="none"/>
        <c:tickLblPos val="nextTo"/>
        <c:crossAx val="1410730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[NPS Funding Decision Support System1 (fully working version).xlsm]Pivot DM !PivotTable1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Deferred Maintenance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rgbClr val="339933"/>
          </a:solidFill>
          <a:ln>
            <a:noFill/>
          </a:ln>
          <a:effectLst/>
        </c:spPr>
        <c:marker>
          <c:symbol val="none"/>
        </c:marker>
      </c:pivotFmt>
      <c:pivotFmt>
        <c:idx val="7"/>
        <c:spPr>
          <a:solidFill>
            <a:srgbClr val="CC6600"/>
          </a:solidFill>
          <a:ln>
            <a:noFill/>
          </a:ln>
          <a:effectLst/>
        </c:spPr>
        <c:marker>
          <c:symbol val="none"/>
        </c:marker>
      </c:pivotFmt>
      <c:pivotFmt>
        <c:idx val="8"/>
        <c:spPr>
          <a:ln w="3175" cap="rnd">
            <a:solidFill>
              <a:schemeClr val="accent4">
                <a:lumMod val="60000"/>
                <a:lumOff val="40000"/>
              </a:schemeClr>
            </a:solidFill>
            <a:round/>
          </a:ln>
          <a:effectLst/>
        </c:spPr>
        <c:marker>
          <c:symbol val="none"/>
        </c:marker>
      </c:pivotFmt>
    </c:pivotFmts>
    <c:plotArea>
      <c:layout>
        <c:manualLayout>
          <c:layoutTarget val="inner"/>
          <c:xMode val="edge"/>
          <c:yMode val="edge"/>
          <c:x val="7.2829574426392749E-2"/>
          <c:y val="0.14251676763960527"/>
          <c:w val="0.64501719830509863"/>
          <c:h val="0.76834486272440561"/>
        </c:manualLayout>
      </c:layout>
      <c:barChart>
        <c:barDir val="col"/>
        <c:grouping val="clustered"/>
        <c:varyColors val="0"/>
        <c:ser>
          <c:idx val="0"/>
          <c:order val="0"/>
          <c:tx>
            <c:strRef>
              <c:f>'Pivot DM '!$B$4</c:f>
              <c:strCache>
                <c:ptCount val="1"/>
                <c:pt idx="0">
                  <c:v>Total Deferred Maintenance Funded</c:v>
                </c:pt>
              </c:strCache>
            </c:strRef>
          </c:tx>
          <c:spPr>
            <a:solidFill>
              <a:srgbClr val="339933"/>
            </a:solidFill>
            <a:ln>
              <a:noFill/>
            </a:ln>
            <a:effectLst/>
          </c:spPr>
          <c:invertIfNegative val="0"/>
          <c:cat>
            <c:strRef>
              <c:f>'Pivot DM '!$A$5:$A$67</c:f>
              <c:strCache>
                <c:ptCount val="62"/>
                <c:pt idx="0">
                  <c:v>Acadia</c:v>
                </c:pt>
                <c:pt idx="1">
                  <c:v>American Samoa</c:v>
                </c:pt>
                <c:pt idx="2">
                  <c:v>Arches</c:v>
                </c:pt>
                <c:pt idx="3">
                  <c:v>Badlands</c:v>
                </c:pt>
                <c:pt idx="4">
                  <c:v>Big Bend</c:v>
                </c:pt>
                <c:pt idx="5">
                  <c:v>Biscayne</c:v>
                </c:pt>
                <c:pt idx="6">
                  <c:v>Black Canyon</c:v>
                </c:pt>
                <c:pt idx="7">
                  <c:v>Bryce Canyon</c:v>
                </c:pt>
                <c:pt idx="8">
                  <c:v>Canyonlands</c:v>
                </c:pt>
                <c:pt idx="9">
                  <c:v>Capitol Reef</c:v>
                </c:pt>
                <c:pt idx="10">
                  <c:v>Carlsbad Caverns</c:v>
                </c:pt>
                <c:pt idx="11">
                  <c:v>Channel Islands</c:v>
                </c:pt>
                <c:pt idx="12">
                  <c:v>Congaree</c:v>
                </c:pt>
                <c:pt idx="13">
                  <c:v>Crater Lake</c:v>
                </c:pt>
                <c:pt idx="14">
                  <c:v>Cuyahoga</c:v>
                </c:pt>
                <c:pt idx="15">
                  <c:v>Death Valley</c:v>
                </c:pt>
                <c:pt idx="16">
                  <c:v>Denali</c:v>
                </c:pt>
                <c:pt idx="17">
                  <c:v>Dry Tortugas</c:v>
                </c:pt>
                <c:pt idx="18">
                  <c:v>Everglades</c:v>
                </c:pt>
                <c:pt idx="19">
                  <c:v>Gates of the Artic</c:v>
                </c:pt>
                <c:pt idx="20">
                  <c:v>Gateway Arch</c:v>
                </c:pt>
                <c:pt idx="21">
                  <c:v>Glacier</c:v>
                </c:pt>
                <c:pt idx="22">
                  <c:v>Glacier Bay</c:v>
                </c:pt>
                <c:pt idx="23">
                  <c:v>Grand Canyon</c:v>
                </c:pt>
                <c:pt idx="24">
                  <c:v>Grand Teton</c:v>
                </c:pt>
                <c:pt idx="25">
                  <c:v>Great Basin</c:v>
                </c:pt>
                <c:pt idx="26">
                  <c:v>Great Sand Dunes</c:v>
                </c:pt>
                <c:pt idx="27">
                  <c:v>Great Smoky</c:v>
                </c:pt>
                <c:pt idx="28">
                  <c:v>Guadalupe</c:v>
                </c:pt>
                <c:pt idx="29">
                  <c:v>Haleakala</c:v>
                </c:pt>
                <c:pt idx="30">
                  <c:v>Hawai'i</c:v>
                </c:pt>
                <c:pt idx="31">
                  <c:v>Hot Springs</c:v>
                </c:pt>
                <c:pt idx="32">
                  <c:v>Isle Royale</c:v>
                </c:pt>
                <c:pt idx="33">
                  <c:v>Joshua Tree</c:v>
                </c:pt>
                <c:pt idx="34">
                  <c:v>Katmai</c:v>
                </c:pt>
                <c:pt idx="35">
                  <c:v>Kenai Fjords</c:v>
                </c:pt>
                <c:pt idx="36">
                  <c:v>Kings Canyon</c:v>
                </c:pt>
                <c:pt idx="37">
                  <c:v>Kobuk Valley</c:v>
                </c:pt>
                <c:pt idx="38">
                  <c:v>Lake Clark</c:v>
                </c:pt>
                <c:pt idx="39">
                  <c:v>Lassen Volcanic</c:v>
                </c:pt>
                <c:pt idx="40">
                  <c:v>Mammoth Cave</c:v>
                </c:pt>
                <c:pt idx="41">
                  <c:v>Mesa Verde</c:v>
                </c:pt>
                <c:pt idx="42">
                  <c:v>Mount Rainier</c:v>
                </c:pt>
                <c:pt idx="43">
                  <c:v>North Cascades</c:v>
                </c:pt>
                <c:pt idx="44">
                  <c:v>Olympic</c:v>
                </c:pt>
                <c:pt idx="45">
                  <c:v>Petrified Forest</c:v>
                </c:pt>
                <c:pt idx="46">
                  <c:v>Pinnacles</c:v>
                </c:pt>
                <c:pt idx="47">
                  <c:v>Redwood</c:v>
                </c:pt>
                <c:pt idx="48">
                  <c:v>Rocky Mountain</c:v>
                </c:pt>
                <c:pt idx="49">
                  <c:v>Saguaro</c:v>
                </c:pt>
                <c:pt idx="50">
                  <c:v>Sequoia</c:v>
                </c:pt>
                <c:pt idx="51">
                  <c:v>Shenandoah</c:v>
                </c:pt>
                <c:pt idx="52">
                  <c:v>Theodore Roosevelt</c:v>
                </c:pt>
                <c:pt idx="53">
                  <c:v>Virgin Islands</c:v>
                </c:pt>
                <c:pt idx="54">
                  <c:v>Voyageurs</c:v>
                </c:pt>
                <c:pt idx="55">
                  <c:v>Wind Cave</c:v>
                </c:pt>
                <c:pt idx="56">
                  <c:v>Wrangell</c:v>
                </c:pt>
                <c:pt idx="57">
                  <c:v>Yellowstone</c:v>
                </c:pt>
                <c:pt idx="58">
                  <c:v>Yosemite</c:v>
                </c:pt>
                <c:pt idx="59">
                  <c:v>Zion</c:v>
                </c:pt>
                <c:pt idx="60">
                  <c:v>(blank)</c:v>
                </c:pt>
                <c:pt idx="61">
                  <c:v>0</c:v>
                </c:pt>
              </c:strCache>
            </c:strRef>
          </c:cat>
          <c:val>
            <c:numRef>
              <c:f>'Pivot DM '!$B$5:$B$67</c:f>
              <c:numCache>
                <c:formatCode>"$"#,##0</c:formatCode>
                <c:ptCount val="62"/>
                <c:pt idx="0">
                  <c:v>17448635</c:v>
                </c:pt>
                <c:pt idx="1">
                  <c:v>956928</c:v>
                </c:pt>
                <c:pt idx="2">
                  <c:v>2331452</c:v>
                </c:pt>
                <c:pt idx="3">
                  <c:v>2495014</c:v>
                </c:pt>
                <c:pt idx="4">
                  <c:v>0</c:v>
                </c:pt>
                <c:pt idx="5">
                  <c:v>2658387</c:v>
                </c:pt>
                <c:pt idx="6">
                  <c:v>714037</c:v>
                </c:pt>
                <c:pt idx="7">
                  <c:v>2468544</c:v>
                </c:pt>
                <c:pt idx="8">
                  <c:v>4229819</c:v>
                </c:pt>
                <c:pt idx="9">
                  <c:v>1088538</c:v>
                </c:pt>
                <c:pt idx="10">
                  <c:v>0</c:v>
                </c:pt>
                <c:pt idx="11">
                  <c:v>6112271</c:v>
                </c:pt>
                <c:pt idx="12">
                  <c:v>3803873</c:v>
                </c:pt>
                <c:pt idx="13">
                  <c:v>0</c:v>
                </c:pt>
                <c:pt idx="14">
                  <c:v>0</c:v>
                </c:pt>
                <c:pt idx="15">
                  <c:v>0</c:v>
                </c:pt>
                <c:pt idx="16">
                  <c:v>17848520</c:v>
                </c:pt>
                <c:pt idx="17">
                  <c:v>30171870</c:v>
                </c:pt>
                <c:pt idx="18">
                  <c:v>0</c:v>
                </c:pt>
                <c:pt idx="19">
                  <c:v>944372</c:v>
                </c:pt>
                <c:pt idx="20">
                  <c:v>8805718</c:v>
                </c:pt>
                <c:pt idx="21">
                  <c:v>0</c:v>
                </c:pt>
                <c:pt idx="22">
                  <c:v>2907354</c:v>
                </c:pt>
                <c:pt idx="23">
                  <c:v>116126561</c:v>
                </c:pt>
                <c:pt idx="24">
                  <c:v>39388030</c:v>
                </c:pt>
                <c:pt idx="25">
                  <c:v>1844543</c:v>
                </c:pt>
                <c:pt idx="26">
                  <c:v>2195832</c:v>
                </c:pt>
                <c:pt idx="27">
                  <c:v>25617231</c:v>
                </c:pt>
                <c:pt idx="28">
                  <c:v>930266</c:v>
                </c:pt>
                <c:pt idx="29">
                  <c:v>6055857</c:v>
                </c:pt>
                <c:pt idx="30">
                  <c:v>6646866</c:v>
                </c:pt>
                <c:pt idx="31">
                  <c:v>3875013</c:v>
                </c:pt>
                <c:pt idx="32">
                  <c:v>8436895</c:v>
                </c:pt>
                <c:pt idx="33">
                  <c:v>4848082</c:v>
                </c:pt>
                <c:pt idx="34">
                  <c:v>2693908</c:v>
                </c:pt>
                <c:pt idx="35">
                  <c:v>1756717</c:v>
                </c:pt>
                <c:pt idx="36">
                  <c:v>20198975</c:v>
                </c:pt>
                <c:pt idx="37">
                  <c:v>2485900</c:v>
                </c:pt>
                <c:pt idx="38">
                  <c:v>1444823</c:v>
                </c:pt>
                <c:pt idx="39">
                  <c:v>6824420</c:v>
                </c:pt>
                <c:pt idx="40">
                  <c:v>9443241</c:v>
                </c:pt>
                <c:pt idx="41">
                  <c:v>0</c:v>
                </c:pt>
                <c:pt idx="42">
                  <c:v>14874369</c:v>
                </c:pt>
                <c:pt idx="43">
                  <c:v>7063831</c:v>
                </c:pt>
                <c:pt idx="44">
                  <c:v>0</c:v>
                </c:pt>
                <c:pt idx="45">
                  <c:v>9115039</c:v>
                </c:pt>
                <c:pt idx="46">
                  <c:v>2965185</c:v>
                </c:pt>
                <c:pt idx="47">
                  <c:v>8816865</c:v>
                </c:pt>
                <c:pt idx="48">
                  <c:v>29093054</c:v>
                </c:pt>
                <c:pt idx="49">
                  <c:v>2526446</c:v>
                </c:pt>
                <c:pt idx="50">
                  <c:v>0</c:v>
                </c:pt>
                <c:pt idx="51">
                  <c:v>0</c:v>
                </c:pt>
                <c:pt idx="52">
                  <c:v>4464760</c:v>
                </c:pt>
                <c:pt idx="53">
                  <c:v>8568662</c:v>
                </c:pt>
                <c:pt idx="54">
                  <c:v>3515054</c:v>
                </c:pt>
                <c:pt idx="55">
                  <c:v>1579116</c:v>
                </c:pt>
                <c:pt idx="56">
                  <c:v>6580030</c:v>
                </c:pt>
                <c:pt idx="57">
                  <c:v>93980346</c:v>
                </c:pt>
                <c:pt idx="58">
                  <c:v>0</c:v>
                </c:pt>
                <c:pt idx="59">
                  <c:v>5954620</c:v>
                </c:pt>
                <c:pt idx="61">
                  <c:v>0</c:v>
                </c:pt>
              </c:numCache>
            </c:numRef>
          </c:val>
          <c:extLst>
            <c:ext xmlns:c16="http://schemas.microsoft.com/office/drawing/2014/chart" uri="{C3380CC4-5D6E-409C-BE32-E72D297353CC}">
              <c16:uniqueId val="{00000000-29D8-42CF-8586-22F58D7AB680}"/>
            </c:ext>
          </c:extLst>
        </c:ser>
        <c:ser>
          <c:idx val="1"/>
          <c:order val="1"/>
          <c:tx>
            <c:strRef>
              <c:f>'Pivot DM '!$C$4</c:f>
              <c:strCache>
                <c:ptCount val="1"/>
                <c:pt idx="0">
                  <c:v>Total Deferred Maintenance Needed</c:v>
                </c:pt>
              </c:strCache>
            </c:strRef>
          </c:tx>
          <c:spPr>
            <a:solidFill>
              <a:srgbClr val="CC6600"/>
            </a:solidFill>
            <a:ln>
              <a:noFill/>
            </a:ln>
            <a:effectLst/>
          </c:spPr>
          <c:invertIfNegative val="0"/>
          <c:cat>
            <c:strRef>
              <c:f>'Pivot DM '!$A$5:$A$67</c:f>
              <c:strCache>
                <c:ptCount val="62"/>
                <c:pt idx="0">
                  <c:v>Acadia</c:v>
                </c:pt>
                <c:pt idx="1">
                  <c:v>American Samoa</c:v>
                </c:pt>
                <c:pt idx="2">
                  <c:v>Arches</c:v>
                </c:pt>
                <c:pt idx="3">
                  <c:v>Badlands</c:v>
                </c:pt>
                <c:pt idx="4">
                  <c:v>Big Bend</c:v>
                </c:pt>
                <c:pt idx="5">
                  <c:v>Biscayne</c:v>
                </c:pt>
                <c:pt idx="6">
                  <c:v>Black Canyon</c:v>
                </c:pt>
                <c:pt idx="7">
                  <c:v>Bryce Canyon</c:v>
                </c:pt>
                <c:pt idx="8">
                  <c:v>Canyonlands</c:v>
                </c:pt>
                <c:pt idx="9">
                  <c:v>Capitol Reef</c:v>
                </c:pt>
                <c:pt idx="10">
                  <c:v>Carlsbad Caverns</c:v>
                </c:pt>
                <c:pt idx="11">
                  <c:v>Channel Islands</c:v>
                </c:pt>
                <c:pt idx="12">
                  <c:v>Congaree</c:v>
                </c:pt>
                <c:pt idx="13">
                  <c:v>Crater Lake</c:v>
                </c:pt>
                <c:pt idx="14">
                  <c:v>Cuyahoga</c:v>
                </c:pt>
                <c:pt idx="15">
                  <c:v>Death Valley</c:v>
                </c:pt>
                <c:pt idx="16">
                  <c:v>Denali</c:v>
                </c:pt>
                <c:pt idx="17">
                  <c:v>Dry Tortugas</c:v>
                </c:pt>
                <c:pt idx="18">
                  <c:v>Everglades</c:v>
                </c:pt>
                <c:pt idx="19">
                  <c:v>Gates of the Artic</c:v>
                </c:pt>
                <c:pt idx="20">
                  <c:v>Gateway Arch</c:v>
                </c:pt>
                <c:pt idx="21">
                  <c:v>Glacier</c:v>
                </c:pt>
                <c:pt idx="22">
                  <c:v>Glacier Bay</c:v>
                </c:pt>
                <c:pt idx="23">
                  <c:v>Grand Canyon</c:v>
                </c:pt>
                <c:pt idx="24">
                  <c:v>Grand Teton</c:v>
                </c:pt>
                <c:pt idx="25">
                  <c:v>Great Basin</c:v>
                </c:pt>
                <c:pt idx="26">
                  <c:v>Great Sand Dunes</c:v>
                </c:pt>
                <c:pt idx="27">
                  <c:v>Great Smoky</c:v>
                </c:pt>
                <c:pt idx="28">
                  <c:v>Guadalupe</c:v>
                </c:pt>
                <c:pt idx="29">
                  <c:v>Haleakala</c:v>
                </c:pt>
                <c:pt idx="30">
                  <c:v>Hawai'i</c:v>
                </c:pt>
                <c:pt idx="31">
                  <c:v>Hot Springs</c:v>
                </c:pt>
                <c:pt idx="32">
                  <c:v>Isle Royale</c:v>
                </c:pt>
                <c:pt idx="33">
                  <c:v>Joshua Tree</c:v>
                </c:pt>
                <c:pt idx="34">
                  <c:v>Katmai</c:v>
                </c:pt>
                <c:pt idx="35">
                  <c:v>Kenai Fjords</c:v>
                </c:pt>
                <c:pt idx="36">
                  <c:v>Kings Canyon</c:v>
                </c:pt>
                <c:pt idx="37">
                  <c:v>Kobuk Valley</c:v>
                </c:pt>
                <c:pt idx="38">
                  <c:v>Lake Clark</c:v>
                </c:pt>
                <c:pt idx="39">
                  <c:v>Lassen Volcanic</c:v>
                </c:pt>
                <c:pt idx="40">
                  <c:v>Mammoth Cave</c:v>
                </c:pt>
                <c:pt idx="41">
                  <c:v>Mesa Verde</c:v>
                </c:pt>
                <c:pt idx="42">
                  <c:v>Mount Rainier</c:v>
                </c:pt>
                <c:pt idx="43">
                  <c:v>North Cascades</c:v>
                </c:pt>
                <c:pt idx="44">
                  <c:v>Olympic</c:v>
                </c:pt>
                <c:pt idx="45">
                  <c:v>Petrified Forest</c:v>
                </c:pt>
                <c:pt idx="46">
                  <c:v>Pinnacles</c:v>
                </c:pt>
                <c:pt idx="47">
                  <c:v>Redwood</c:v>
                </c:pt>
                <c:pt idx="48">
                  <c:v>Rocky Mountain</c:v>
                </c:pt>
                <c:pt idx="49">
                  <c:v>Saguaro</c:v>
                </c:pt>
                <c:pt idx="50">
                  <c:v>Sequoia</c:v>
                </c:pt>
                <c:pt idx="51">
                  <c:v>Shenandoah</c:v>
                </c:pt>
                <c:pt idx="52">
                  <c:v>Theodore Roosevelt</c:v>
                </c:pt>
                <c:pt idx="53">
                  <c:v>Virgin Islands</c:v>
                </c:pt>
                <c:pt idx="54">
                  <c:v>Voyageurs</c:v>
                </c:pt>
                <c:pt idx="55">
                  <c:v>Wind Cave</c:v>
                </c:pt>
                <c:pt idx="56">
                  <c:v>Wrangell</c:v>
                </c:pt>
                <c:pt idx="57">
                  <c:v>Yellowstone</c:v>
                </c:pt>
                <c:pt idx="58">
                  <c:v>Yosemite</c:v>
                </c:pt>
                <c:pt idx="59">
                  <c:v>Zion</c:v>
                </c:pt>
                <c:pt idx="60">
                  <c:v>(blank)</c:v>
                </c:pt>
                <c:pt idx="61">
                  <c:v>0</c:v>
                </c:pt>
              </c:strCache>
            </c:strRef>
          </c:cat>
          <c:val>
            <c:numRef>
              <c:f>'Pivot DM '!$C$5:$C$67</c:f>
              <c:numCache>
                <c:formatCode>"$"#,##0</c:formatCode>
                <c:ptCount val="62"/>
                <c:pt idx="0">
                  <c:v>59858099</c:v>
                </c:pt>
                <c:pt idx="1">
                  <c:v>956928</c:v>
                </c:pt>
                <c:pt idx="2">
                  <c:v>25648543</c:v>
                </c:pt>
                <c:pt idx="3">
                  <c:v>26514501</c:v>
                </c:pt>
                <c:pt idx="4">
                  <c:v>100421335.00000001</c:v>
                </c:pt>
                <c:pt idx="5">
                  <c:v>12527746</c:v>
                </c:pt>
                <c:pt idx="6">
                  <c:v>6508999</c:v>
                </c:pt>
                <c:pt idx="7">
                  <c:v>27126867</c:v>
                </c:pt>
                <c:pt idx="8">
                  <c:v>40671344</c:v>
                </c:pt>
                <c:pt idx="9">
                  <c:v>8379815.9999999991</c:v>
                </c:pt>
                <c:pt idx="10">
                  <c:v>46819348</c:v>
                </c:pt>
                <c:pt idx="11">
                  <c:v>13692364</c:v>
                </c:pt>
                <c:pt idx="12">
                  <c:v>3803873</c:v>
                </c:pt>
                <c:pt idx="13">
                  <c:v>94080988</c:v>
                </c:pt>
                <c:pt idx="14">
                  <c:v>45813356</c:v>
                </c:pt>
                <c:pt idx="15">
                  <c:v>139335915</c:v>
                </c:pt>
                <c:pt idx="16">
                  <c:v>54733275</c:v>
                </c:pt>
                <c:pt idx="17">
                  <c:v>60259377</c:v>
                </c:pt>
                <c:pt idx="18">
                  <c:v>90906802.000000015</c:v>
                </c:pt>
                <c:pt idx="19">
                  <c:v>944372</c:v>
                </c:pt>
                <c:pt idx="20">
                  <c:v>24446749</c:v>
                </c:pt>
                <c:pt idx="21">
                  <c:v>153838276</c:v>
                </c:pt>
                <c:pt idx="22">
                  <c:v>9442528</c:v>
                </c:pt>
                <c:pt idx="23">
                  <c:v>329437054</c:v>
                </c:pt>
                <c:pt idx="24">
                  <c:v>178630524.99999997</c:v>
                </c:pt>
                <c:pt idx="25">
                  <c:v>17450741</c:v>
                </c:pt>
                <c:pt idx="26">
                  <c:v>10396933.999999998</c:v>
                </c:pt>
                <c:pt idx="27">
                  <c:v>215451902</c:v>
                </c:pt>
                <c:pt idx="28">
                  <c:v>6411208.0000000009</c:v>
                </c:pt>
                <c:pt idx="29">
                  <c:v>21107902</c:v>
                </c:pt>
                <c:pt idx="30">
                  <c:v>85545254</c:v>
                </c:pt>
                <c:pt idx="31">
                  <c:v>12360491.000000002</c:v>
                </c:pt>
                <c:pt idx="32">
                  <c:v>17676294</c:v>
                </c:pt>
                <c:pt idx="33">
                  <c:v>46796159</c:v>
                </c:pt>
                <c:pt idx="34">
                  <c:v>9138088</c:v>
                </c:pt>
                <c:pt idx="35">
                  <c:v>1756717</c:v>
                </c:pt>
                <c:pt idx="36">
                  <c:v>88282234</c:v>
                </c:pt>
                <c:pt idx="37">
                  <c:v>2485900</c:v>
                </c:pt>
                <c:pt idx="38">
                  <c:v>1444823</c:v>
                </c:pt>
                <c:pt idx="39">
                  <c:v>22448750</c:v>
                </c:pt>
                <c:pt idx="40">
                  <c:v>78043316</c:v>
                </c:pt>
                <c:pt idx="41">
                  <c:v>70749005</c:v>
                </c:pt>
                <c:pt idx="42">
                  <c:v>175819975</c:v>
                </c:pt>
                <c:pt idx="43">
                  <c:v>18826842</c:v>
                </c:pt>
                <c:pt idx="44">
                  <c:v>120719515</c:v>
                </c:pt>
                <c:pt idx="45">
                  <c:v>43991502</c:v>
                </c:pt>
                <c:pt idx="46">
                  <c:v>9431253</c:v>
                </c:pt>
                <c:pt idx="47">
                  <c:v>21965285</c:v>
                </c:pt>
                <c:pt idx="48">
                  <c:v>84234245</c:v>
                </c:pt>
                <c:pt idx="49">
                  <c:v>19971912</c:v>
                </c:pt>
                <c:pt idx="50">
                  <c:v>88282233.999999985</c:v>
                </c:pt>
                <c:pt idx="51">
                  <c:v>79208621</c:v>
                </c:pt>
                <c:pt idx="52">
                  <c:v>49334370</c:v>
                </c:pt>
                <c:pt idx="53">
                  <c:v>26553028.999999996</c:v>
                </c:pt>
                <c:pt idx="54">
                  <c:v>14875388</c:v>
                </c:pt>
                <c:pt idx="55">
                  <c:v>20428419</c:v>
                </c:pt>
                <c:pt idx="56">
                  <c:v>17037882</c:v>
                </c:pt>
                <c:pt idx="57">
                  <c:v>515808707</c:v>
                </c:pt>
                <c:pt idx="58">
                  <c:v>582670827</c:v>
                </c:pt>
                <c:pt idx="59">
                  <c:v>65291892.999999993</c:v>
                </c:pt>
                <c:pt idx="61">
                  <c:v>0</c:v>
                </c:pt>
              </c:numCache>
            </c:numRef>
          </c:val>
          <c:extLst>
            <c:ext xmlns:c16="http://schemas.microsoft.com/office/drawing/2014/chart" uri="{C3380CC4-5D6E-409C-BE32-E72D297353CC}">
              <c16:uniqueId val="{00000001-29D8-42CF-8586-22F58D7AB680}"/>
            </c:ext>
          </c:extLst>
        </c:ser>
        <c:dLbls>
          <c:showLegendKey val="0"/>
          <c:showVal val="0"/>
          <c:showCatName val="0"/>
          <c:showSerName val="0"/>
          <c:showPercent val="0"/>
          <c:showBubbleSize val="0"/>
        </c:dLbls>
        <c:gapWidth val="219"/>
        <c:overlap val="-27"/>
        <c:axId val="738710912"/>
        <c:axId val="1410714208"/>
      </c:barChart>
      <c:lineChart>
        <c:grouping val="standard"/>
        <c:varyColors val="0"/>
        <c:ser>
          <c:idx val="2"/>
          <c:order val="2"/>
          <c:tx>
            <c:strRef>
              <c:f>'Pivot DM '!$D$4</c:f>
              <c:strCache>
                <c:ptCount val="1"/>
                <c:pt idx="0">
                  <c:v> % of Deferred Maintenance  Met</c:v>
                </c:pt>
              </c:strCache>
            </c:strRef>
          </c:tx>
          <c:spPr>
            <a:ln w="3175" cap="rnd">
              <a:solidFill>
                <a:schemeClr val="accent4">
                  <a:lumMod val="60000"/>
                  <a:lumOff val="40000"/>
                </a:schemeClr>
              </a:solidFill>
              <a:round/>
            </a:ln>
            <a:effectLst/>
          </c:spPr>
          <c:marker>
            <c:symbol val="none"/>
          </c:marker>
          <c:cat>
            <c:strRef>
              <c:f>'Pivot DM '!$A$5:$A$67</c:f>
              <c:strCache>
                <c:ptCount val="62"/>
                <c:pt idx="0">
                  <c:v>Acadia</c:v>
                </c:pt>
                <c:pt idx="1">
                  <c:v>American Samoa</c:v>
                </c:pt>
                <c:pt idx="2">
                  <c:v>Arches</c:v>
                </c:pt>
                <c:pt idx="3">
                  <c:v>Badlands</c:v>
                </c:pt>
                <c:pt idx="4">
                  <c:v>Big Bend</c:v>
                </c:pt>
                <c:pt idx="5">
                  <c:v>Biscayne</c:v>
                </c:pt>
                <c:pt idx="6">
                  <c:v>Black Canyon</c:v>
                </c:pt>
                <c:pt idx="7">
                  <c:v>Bryce Canyon</c:v>
                </c:pt>
                <c:pt idx="8">
                  <c:v>Canyonlands</c:v>
                </c:pt>
                <c:pt idx="9">
                  <c:v>Capitol Reef</c:v>
                </c:pt>
                <c:pt idx="10">
                  <c:v>Carlsbad Caverns</c:v>
                </c:pt>
                <c:pt idx="11">
                  <c:v>Channel Islands</c:v>
                </c:pt>
                <c:pt idx="12">
                  <c:v>Congaree</c:v>
                </c:pt>
                <c:pt idx="13">
                  <c:v>Crater Lake</c:v>
                </c:pt>
                <c:pt idx="14">
                  <c:v>Cuyahoga</c:v>
                </c:pt>
                <c:pt idx="15">
                  <c:v>Death Valley</c:v>
                </c:pt>
                <c:pt idx="16">
                  <c:v>Denali</c:v>
                </c:pt>
                <c:pt idx="17">
                  <c:v>Dry Tortugas</c:v>
                </c:pt>
                <c:pt idx="18">
                  <c:v>Everglades</c:v>
                </c:pt>
                <c:pt idx="19">
                  <c:v>Gates of the Artic</c:v>
                </c:pt>
                <c:pt idx="20">
                  <c:v>Gateway Arch</c:v>
                </c:pt>
                <c:pt idx="21">
                  <c:v>Glacier</c:v>
                </c:pt>
                <c:pt idx="22">
                  <c:v>Glacier Bay</c:v>
                </c:pt>
                <c:pt idx="23">
                  <c:v>Grand Canyon</c:v>
                </c:pt>
                <c:pt idx="24">
                  <c:v>Grand Teton</c:v>
                </c:pt>
                <c:pt idx="25">
                  <c:v>Great Basin</c:v>
                </c:pt>
                <c:pt idx="26">
                  <c:v>Great Sand Dunes</c:v>
                </c:pt>
                <c:pt idx="27">
                  <c:v>Great Smoky</c:v>
                </c:pt>
                <c:pt idx="28">
                  <c:v>Guadalupe</c:v>
                </c:pt>
                <c:pt idx="29">
                  <c:v>Haleakala</c:v>
                </c:pt>
                <c:pt idx="30">
                  <c:v>Hawai'i</c:v>
                </c:pt>
                <c:pt idx="31">
                  <c:v>Hot Springs</c:v>
                </c:pt>
                <c:pt idx="32">
                  <c:v>Isle Royale</c:v>
                </c:pt>
                <c:pt idx="33">
                  <c:v>Joshua Tree</c:v>
                </c:pt>
                <c:pt idx="34">
                  <c:v>Katmai</c:v>
                </c:pt>
                <c:pt idx="35">
                  <c:v>Kenai Fjords</c:v>
                </c:pt>
                <c:pt idx="36">
                  <c:v>Kings Canyon</c:v>
                </c:pt>
                <c:pt idx="37">
                  <c:v>Kobuk Valley</c:v>
                </c:pt>
                <c:pt idx="38">
                  <c:v>Lake Clark</c:v>
                </c:pt>
                <c:pt idx="39">
                  <c:v>Lassen Volcanic</c:v>
                </c:pt>
                <c:pt idx="40">
                  <c:v>Mammoth Cave</c:v>
                </c:pt>
                <c:pt idx="41">
                  <c:v>Mesa Verde</c:v>
                </c:pt>
                <c:pt idx="42">
                  <c:v>Mount Rainier</c:v>
                </c:pt>
                <c:pt idx="43">
                  <c:v>North Cascades</c:v>
                </c:pt>
                <c:pt idx="44">
                  <c:v>Olympic</c:v>
                </c:pt>
                <c:pt idx="45">
                  <c:v>Petrified Forest</c:v>
                </c:pt>
                <c:pt idx="46">
                  <c:v>Pinnacles</c:v>
                </c:pt>
                <c:pt idx="47">
                  <c:v>Redwood</c:v>
                </c:pt>
                <c:pt idx="48">
                  <c:v>Rocky Mountain</c:v>
                </c:pt>
                <c:pt idx="49">
                  <c:v>Saguaro</c:v>
                </c:pt>
                <c:pt idx="50">
                  <c:v>Sequoia</c:v>
                </c:pt>
                <c:pt idx="51">
                  <c:v>Shenandoah</c:v>
                </c:pt>
                <c:pt idx="52">
                  <c:v>Theodore Roosevelt</c:v>
                </c:pt>
                <c:pt idx="53">
                  <c:v>Virgin Islands</c:v>
                </c:pt>
                <c:pt idx="54">
                  <c:v>Voyageurs</c:v>
                </c:pt>
                <c:pt idx="55">
                  <c:v>Wind Cave</c:v>
                </c:pt>
                <c:pt idx="56">
                  <c:v>Wrangell</c:v>
                </c:pt>
                <c:pt idx="57">
                  <c:v>Yellowstone</c:v>
                </c:pt>
                <c:pt idx="58">
                  <c:v>Yosemite</c:v>
                </c:pt>
                <c:pt idx="59">
                  <c:v>Zion</c:v>
                </c:pt>
                <c:pt idx="60">
                  <c:v>(blank)</c:v>
                </c:pt>
                <c:pt idx="61">
                  <c:v>0</c:v>
                </c:pt>
              </c:strCache>
            </c:strRef>
          </c:cat>
          <c:val>
            <c:numRef>
              <c:f>'Pivot DM '!$D$5:$D$67</c:f>
              <c:numCache>
                <c:formatCode>General</c:formatCode>
                <c:ptCount val="62"/>
                <c:pt idx="0">
                  <c:v>0.29149998565774699</c:v>
                </c:pt>
                <c:pt idx="1">
                  <c:v>1</c:v>
                </c:pt>
                <c:pt idx="2">
                  <c:v>9.0899978217086244E-2</c:v>
                </c:pt>
                <c:pt idx="3">
                  <c:v>9.4099979479153689E-2</c:v>
                </c:pt>
                <c:pt idx="4">
                  <c:v>0</c:v>
                </c:pt>
                <c:pt idx="5">
                  <c:v>0.21219994402823938</c:v>
                </c:pt>
                <c:pt idx="6">
                  <c:v>0.10969997076355366</c:v>
                </c:pt>
                <c:pt idx="7">
                  <c:v>9.0999966933151544E-2</c:v>
                </c:pt>
                <c:pt idx="8">
                  <c:v>0.10399998092022728</c:v>
                </c:pt>
                <c:pt idx="9">
                  <c:v>0.12989998825749874</c:v>
                </c:pt>
                <c:pt idx="10">
                  <c:v>0</c:v>
                </c:pt>
                <c:pt idx="11">
                  <c:v>0.4463999788495252</c:v>
                </c:pt>
                <c:pt idx="12">
                  <c:v>1</c:v>
                </c:pt>
                <c:pt idx="13">
                  <c:v>0</c:v>
                </c:pt>
                <c:pt idx="14">
                  <c:v>0</c:v>
                </c:pt>
                <c:pt idx="15">
                  <c:v>0</c:v>
                </c:pt>
                <c:pt idx="16">
                  <c:v>0.32609998214066305</c:v>
                </c:pt>
                <c:pt idx="17">
                  <c:v>0.50069999893958417</c:v>
                </c:pt>
                <c:pt idx="18">
                  <c:v>0</c:v>
                </c:pt>
                <c:pt idx="19">
                  <c:v>1</c:v>
                </c:pt>
                <c:pt idx="20">
                  <c:v>0.3601999595119989</c:v>
                </c:pt>
                <c:pt idx="21">
                  <c:v>0</c:v>
                </c:pt>
                <c:pt idx="22">
                  <c:v>0.30789996068849357</c:v>
                </c:pt>
                <c:pt idx="23">
                  <c:v>0.35249999837601753</c:v>
                </c:pt>
                <c:pt idx="24">
                  <c:v>0.22049999573141268</c:v>
                </c:pt>
                <c:pt idx="25">
                  <c:v>0.10569998145064442</c:v>
                </c:pt>
                <c:pt idx="26">
                  <c:v>0.21119995567924163</c:v>
                </c:pt>
                <c:pt idx="27">
                  <c:v>0.11889999931400003</c:v>
                </c:pt>
                <c:pt idx="28">
                  <c:v>0.14509995620170174</c:v>
                </c:pt>
                <c:pt idx="29">
                  <c:v>0.28689999602992283</c:v>
                </c:pt>
                <c:pt idx="30">
                  <c:v>7.7699997243564203E-2</c:v>
                </c:pt>
                <c:pt idx="31">
                  <c:v>0.31349992488162481</c:v>
                </c:pt>
                <c:pt idx="32">
                  <c:v>0.4772999928604944</c:v>
                </c:pt>
                <c:pt idx="33">
                  <c:v>0.10359999845286448</c:v>
                </c:pt>
                <c:pt idx="34">
                  <c:v>0.29479996253045493</c:v>
                </c:pt>
                <c:pt idx="35">
                  <c:v>1</c:v>
                </c:pt>
                <c:pt idx="36">
                  <c:v>0.22879999842323881</c:v>
                </c:pt>
                <c:pt idx="37">
                  <c:v>1</c:v>
                </c:pt>
                <c:pt idx="38">
                  <c:v>1</c:v>
                </c:pt>
                <c:pt idx="39">
                  <c:v>0.30399999999999999</c:v>
                </c:pt>
                <c:pt idx="40">
                  <c:v>0.12099999697603828</c:v>
                </c:pt>
                <c:pt idx="41">
                  <c:v>0</c:v>
                </c:pt>
                <c:pt idx="42">
                  <c:v>8.4599994966442243E-2</c:v>
                </c:pt>
                <c:pt idx="43">
                  <c:v>0.37519999371110674</c:v>
                </c:pt>
                <c:pt idx="44">
                  <c:v>0</c:v>
                </c:pt>
                <c:pt idx="45">
                  <c:v>0.20719999512633144</c:v>
                </c:pt>
                <c:pt idx="46">
                  <c:v>0.31439989999207951</c:v>
                </c:pt>
                <c:pt idx="47">
                  <c:v>0.40139998183497277</c:v>
                </c:pt>
                <c:pt idx="48">
                  <c:v>0.34538273596445246</c:v>
                </c:pt>
                <c:pt idx="49">
                  <c:v>0.12649995653896332</c:v>
                </c:pt>
                <c:pt idx="50">
                  <c:v>0</c:v>
                </c:pt>
                <c:pt idx="51">
                  <c:v>0</c:v>
                </c:pt>
                <c:pt idx="52">
                  <c:v>9.0499990169125494E-2</c:v>
                </c:pt>
                <c:pt idx="53">
                  <c:v>0.3226999827401989</c:v>
                </c:pt>
                <c:pt idx="54">
                  <c:v>0.2362999876036847</c:v>
                </c:pt>
                <c:pt idx="55">
                  <c:v>7.7299961392019612E-2</c:v>
                </c:pt>
                <c:pt idx="56">
                  <c:v>0.38619999833312613</c:v>
                </c:pt>
                <c:pt idx="57">
                  <c:v>0.18219999919466268</c:v>
                </c:pt>
                <c:pt idx="58">
                  <c:v>0</c:v>
                </c:pt>
                <c:pt idx="59">
                  <c:v>9.1199990173358905E-2</c:v>
                </c:pt>
                <c:pt idx="61">
                  <c:v>0</c:v>
                </c:pt>
              </c:numCache>
            </c:numRef>
          </c:val>
          <c:smooth val="0"/>
          <c:extLst>
            <c:ext xmlns:c16="http://schemas.microsoft.com/office/drawing/2014/chart" uri="{C3380CC4-5D6E-409C-BE32-E72D297353CC}">
              <c16:uniqueId val="{00000002-29D8-42CF-8586-22F58D7AB680}"/>
            </c:ext>
          </c:extLst>
        </c:ser>
        <c:dLbls>
          <c:showLegendKey val="0"/>
          <c:showVal val="0"/>
          <c:showCatName val="0"/>
          <c:showSerName val="0"/>
          <c:showPercent val="0"/>
          <c:showBubbleSize val="0"/>
        </c:dLbls>
        <c:marker val="1"/>
        <c:smooth val="0"/>
        <c:axId val="1406656640"/>
        <c:axId val="1410721696"/>
      </c:lineChart>
      <c:catAx>
        <c:axId val="73871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714208"/>
        <c:crosses val="autoZero"/>
        <c:auto val="1"/>
        <c:lblAlgn val="ctr"/>
        <c:lblOffset val="100"/>
        <c:noMultiLvlLbl val="0"/>
      </c:catAx>
      <c:valAx>
        <c:axId val="14107142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710912"/>
        <c:crosses val="autoZero"/>
        <c:crossBetween val="between"/>
      </c:valAx>
      <c:valAx>
        <c:axId val="1410721696"/>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Funded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656640"/>
        <c:crosses val="max"/>
        <c:crossBetween val="between"/>
      </c:valAx>
      <c:catAx>
        <c:axId val="1406656640"/>
        <c:scaling>
          <c:orientation val="minMax"/>
        </c:scaling>
        <c:delete val="1"/>
        <c:axPos val="b"/>
        <c:numFmt formatCode="General" sourceLinked="1"/>
        <c:majorTickMark val="out"/>
        <c:minorTickMark val="none"/>
        <c:tickLblPos val="nextTo"/>
        <c:crossAx val="1410721696"/>
        <c:crosses val="autoZero"/>
        <c:auto val="1"/>
        <c:lblAlgn val="ctr"/>
        <c:lblOffset val="100"/>
        <c:noMultiLvlLbl val="0"/>
      </c:catAx>
      <c:spPr>
        <a:noFill/>
        <a:ln>
          <a:noFill/>
        </a:ln>
        <a:effectLst/>
      </c:spPr>
    </c:plotArea>
    <c:legend>
      <c:legendPos val="r"/>
      <c:layout>
        <c:manualLayout>
          <c:xMode val="edge"/>
          <c:yMode val="edge"/>
          <c:x val="0.78869128541203481"/>
          <c:y val="0.45286181431790623"/>
          <c:w val="0.18439262311882085"/>
          <c:h val="0.194525798323599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Funding By State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Calibri" panose="020F0502020204030204"/>
            </a:rPr>
            <a:t>Funding By State</a:t>
          </a:r>
        </a:p>
      </cx:txPr>
    </cx:title>
    <cx:plotArea>
      <cx:plotAreaRegion>
        <cx:series layoutId="regionMap" uniqueId="{292872C5-FD19-466F-ACEB-F83BA3E1AAC7}">
          <cx:tx>
            <cx:txData>
              <cx:f>_xlchart.v5.2</cx:f>
              <cx:v>Total Deferred Maintenance Funded</cx:v>
            </cx:txData>
          </cx:tx>
          <cx:dataId val="0"/>
          <cx:layoutPr>
            <cx:geography cultureLanguage="en-US" cultureRegion="US" attribution="Powered by Bing">
              <cx:geoCache provider="{E9337A44-BEBE-4D9F-B70C-5C5E7DAFC167}">
                <cx:binary>1HxXc9w4Fu5fcfn5UoNEgNja2aoBQ3ezFW1ZDi+sHllmJpjTr7+HlG1Jbc2Mb623bunBMALBBnDy
dyD++3b81212d6hfjXlWNP+6HX9/HbVt+a/ffmtuo7v80Jzk8W2tG/2lPbnV+W/6y5f49u63z/Vh
iIvwN4Iw++02OtTt3fj6P/+Gt4V3+lTfHtpYF1fdXT29uWu6rG3+ZuzZoVeHz3lcOHHT1vFti39/
fRHF+vWru6KN2+l6Ku9+f/3kidevfjt+zw+/+SqDZbXdZ5jL0AnDFJmYI5MQxpF8/SrTRfh12LDI
icCYYCksYUrBTf7tt88POcz/p9Wsazl8/lzfNQ1sZf3/26wn64bO7etXt7or2uWsQji231+/K+L2
7vOrt+2hvWtev4obbd8/YOtl8e/errv97elp/+ffRx2w/6OeRwQ5Pqx/GvqBHme6aA/F4dux/AKS
iBNEKbMwnLdEiEr8lCQYyRPOTGQhk3OGODG//fY9SX5iQc9T5fvEI8KcXb9IwvyRHZr0F9KF0xMs
GMiCBeduSWbSI7qY9EQgRizGuZAc5OUpXf55Pc+T5du8I6r8sX+RVDmLb6M4PBTfzuYXyAs7sTjh
QBtJuDCFdSQvlnkiqImpkHQhGv5BXn5iRc9T5mEvR7Q5271I2tiHLP6i6yL+hVJDxQkxTYwQMRFh
DLMj6mAM2gwLk1AsKTUltb5xxr02+7k1PU+fx3OPKGT/8SIptAe7392m07cz+u+lB+hjEkEoyAUV
QhIpnmo1kB5iCU6QyRhbCMS+/fY9fX5mRc9T52HmEW32H18kbc4OcXH37XD+e8Iw84Rik1hIYkYR
WPojweHyhIBzwCwpFreNHpubf1zO81T5Ou2IJGfuiyTJu7cnr27iOoyLV7smOxSfwYn8e8/5f+go
epmu48+/ULUS6wRMnmkh8OAtbIFsHokuOWGCEAKmj5kYCwzj97u/F92fWNDzPPJ94hGXeKcvkkv+
qNND0Rz+kTeehhl/F1VRcEmklASsHahWTgkYtcdRlQTKUMuCaIpjTsChP1KqP7Oi50nzMPOINn+8
eZG0OYubRnd1/I1z/3u9Sq0TuvjnJpcWYeDNP0MbISyLUMskJpXoKOL9mRU9T5uHmUe0Obt4kbR5
q7s2euUcUt3+Qq3GGMgGx0xC+IsXQh1pNXAlTwggFghiMC4F4Uf0+dlVPU+jp7OP6PTWeZF0ureA
v9ipNzERFgcVRihbfY/H+k1YJyBdCKhDVgTjWIZ+ZkXP0+dh5hFtbl6mQ399VxQAjd39QseRmicW
eIzocUT1mDgWPwGSIQb0MQX6MR7+qSU9T51HU4/Ic33+IkXn/aQBfQ1/nfVh5AQcA3MBUi2OAJYA
7fWYOBhBPGaC3w+gLCZcLiDTY5/tJxb0PGm+TzwizPuPL5MwhyYCwrT6VwJJArBwTAC6g1B38Q3I
EW0IAtoA1MTFPcYHofIT2vzUmv6CPI/mHlPoZWq2s3jRbL/WNVg0l6QgPYiBeWHHroFkJ1haVIBP
JwhadNtTAv3Ukp6nz6OpR+Q5e5ma7fpu/KURDz5hnAjTBEyCMIGOUCQpTyiliAJRwG/7EUX6x9U8
T5Wv044ocv3hRaq07WE4xL8w0AFg1ZSWCcCAwKYFdAFpeGJqTPMERk2T/Zir+Oe1PE+Qb/OOKLLd
vQiK3P5t9vExcPTkyf/HlCuVANuYgOoxUxICBDpyAaR1IgE9sMgjLffYzBwlRf96Wc+T6Gj6k528
jIzrH3U861+ZcQW4hkjQTQCicrIajiNJwfgEAFjwxgS9R1uf2pWfWNDztPg+8Uhe/vj0IuTlyarh
aoKtAeI8fP6F1xMArAFJMBnEmiYHgflBhyHQYQxSfpRhsD2CHgFpP7Oi50nzMPPJLmGTLxmssQ+1
zuJfKjv0RCKAygAEQAvGfAynWQigUJAri2JIIf1oae4Bl59Z1/N0Op5/RK239ouUpPO74dXZ3Rjf
/kpZAmANwkpAPLkF0BmzQFae+AOIn2BkwY0SyDZ9vd/w2O783Jqep9LjuUcUOj97kRR61x6ib1bg
F4DS4B9D/pUCJmMtjsEPem6xQAIwaSGxCVm/Y0Dtn1bzPFXuZx3R4931i6THRX0X/lIwAPQapGgw
gdsLFlxLWNKrT6RlBQMs0+KYgMSAEfrGDffJtX9ez/M0+TbviCoXLzN9c37XH35lyhN8ZwqOAKgw
JDkGH/o4psH8hENEAzAa5xzh4+uK/7ye56nybd4RVc5vXqSsvD3k+vCNXf9Kef0PM+Hnuv5fJI4A
vgMMQnIu8Wq+jnkDEkfgwzNISWCOwRBC4u+JffvJVf0FhzyZfcwn/58SR39Nw+/Za+fQHtz1MvGj
m69/P7oeAFxvPpr69TCf5af7c959/v015ZKAqvx+SXl5yRMyfAeqf5hzd2ja318bGLETBBbSgjuw
8K7V5x/u7ofATCJTAAZIJeRAFp1dLHSBe87mCYIggUPKEMJquDYB2G6z5C/XK9AAyQvIK1qQNVli
ie8XuC91NoFV+X4cX9uvii6/1HHRNr+/BiYq759adrfeyoWr4FRCfgxQZAArYfz28AawangY/x88
kyatZTWc0+pD1NrC7FRleMWoTHaJcvXoZJ75MQpQwd/+2jL+6NeqkKJyHODXgrPpy9grfqNHR2cq
uDILVRfKfK/TfXhGN/o6LhX7ULrxXbiJd8zLO1Vr27Kj0+EGn46O2CE1anuI1Gy4rXY1XD/9TsRn
lgoXyiFx+3SxEBws9y/hcrM0gXjo6WIn3ODMzBg+Ew0KVVnNjV8shRzomClmiMbvw0jYZUssRYtr
0czjzsinPlNdZdZ+i4faX2tJKFsVjjVzImJip2LFrEgXp/u16PGceAFDn6qyGH0jHEaf4nmw86TU
9tpXBANXmE+lUyVSOmncxHZQVb03W3mpWqMq/LWwmihIVTH3iQs3G0NFM6vwY6SjTMVmqv213Tet
9tdmifrLwqoGLw2J9rkZz7bGZWzT2qj8h6ILde1PIuFeOOvztMsqfy3yOsCb0gy3D101jstMzQKn
Cg5JOnisSx9lqPQ7UWZwLl2Zuu0oQhUvP2mKgWyLqrTFHGifGX2aKb6WawcqitKfWR/bUYYne7Dq
YEP73tOsrHzWs9I3kuhrTS61tdnUp7rFZGc2U+XnNGoy1USi8teiWmp4NEpnQPGopIFqP0Cy9kXB
uuxRW7NMutkYvK+yattWiGx6nLZ+XretP5voDMVt4K1d7WygTIEvzN3Aij9aqGr8sE2/WH1SuXxp
rV1r8dDEVfLBHJJMGVWr1bpdczmEpA3H2V53vlLFqsNT0eTxZt3vusu1FvS0ACZcDgFZaenlc/L2
YYckNaqv2xbtUGcK0e5zGRmNG1RN7VtjCUz6sPm1hlmWbUEc3MnoGt9AtPHXWlzpftOzeWeNVehJ
Yd6sY1kchLumpKonDQOqNYY9xl3lR0UGPy1JG3pWp2/um9SihT9tyMIJ4L+W/lpbuWO5h7sdWGOv
/WsXUNyyWwk8H8oUjqgio/arIOtmG0etoaymF/YYGsJvZWUqZrapY0RVnCvajYM/DAKqYTFVbjwX
oRplPPoxrkd/YMJOdTFvxbKGlW37Zc33tbm7ys2g9R7xa5kI4Np1UY3WltcE9dm6Gr0u6XthxqX2
ZclhmUtf0FCQOD2b234CpgksUBW5Bs5Zm2sxLgMPzaNHMlamqm4mw2Ea6IUm4NAwT9tMmUUtNlzq
DZbAuuvovNSOmkUwESVlEzss6U2nyWihKA0IdtcpHM/CLbPuw8Pr11rbxMW2y/r7p+qoAakbp8Su
GZzX0IDkT0ux1ta+qRxBfRd1zOy0jwK1ds64C5VZycy9H370ZIvujN7Id8mis9JpLvy1NrKkrD+s
1Sks8Oyu1bWoLPMQgclwm9CwUvUwsM6uHjof3rY+Y1g5VllhJc568nAp6Ot5czZgEDvypouqYVeB
nZ1tkJHSD81FReG8ktthZmpYtyZC4I91v2tBaJ9uZIj296OMz6DvomnRevfjEbHcuKbv9TQWLk/o
aTAJ11xecv/s+tTa1ph8ffPaXAfWvvvXPZpTGF2+mYZsj2siNhQZ3pgsQvbcax76yECt2SZ1+1k0
unSobO1oYVNrMAcXZ+KwtpKlCy38mkUzd9a+AQMPr7WH4rgvH8GocJPGGwNOIzeMEE5gmVfM0Zdp
2fyzc9dpDyN6nffQXmvHP7Ws8KEv7FgEN3k2dCK9XSPyRYM2c/vF4NIIu2Iss61RoA8siE03Waze
WgyL1avmQYnMIGO56QkCFg1blc7amOw5rnuF2qlxBlZ3oCigsEz0hiZ57dHFDj0USPSPm+tAEVd3
TVyW7rT8Dip1YhdNMtrJYuaKoc2R2w6kUzTsaqdbmH8tyGKgH5qP+harV6fVCPoqW9heBMgtGBxy
MTTY6aaK2I05b5Ohyj0i2c7KOu2ldfsJjqPfgVN6mvAo28RcjKoAS4vyHnR6/5ZdsDRN73+zB2n3
xSpBFdOpM6a5UNYotRtD3lTVdepOZiW2RRy3LmmrUAWLvezzZgCXbalGGBTTWoBXa6qIh7NjTdob
hynYlv3tejYmNQq91UU57xpyni0nsp4SX+xdKpqLRM7JJmwa080H80uX0GrfxZmaRutQNVHoDSLc
yrSZtrJwOqxDn4XvogSEt1k8rHFxT6TocmT3ZfAm1n3lrX0LO0DyN9vWYwILboxZ7gZyOmAwIU0l
GgecpSuI2m9a8HWnKUz9eNjrGqd+3+R8Y4bRrjJD4mOD4vtiZt2FNHm67dtpy1JtnZdWoSIyX1d5
0HvJlPv9UL6JMTg4GovaMY1B1UEhrhJWlzZpR+wg08z9tViUrS/z8WvzfiCeejvNitSOkiD31+Ke
A9ZqzFNwgtOht+OoBSMrjHMRCWKjZq6dOmKnQzBIW5C0V+3c7HprCC/a0cTKHFLwlwn4rbwTF3zO
xk2JzB4Mao6/NCPKXbK4amuBVyst46/NgvZ4M3NrU2j2uRzxZZHR3k8to/fXWpXko8JRVDuRBiHM
YQcZSBVQ5lFbIlB2yX13KqPmfswC1dGbdbZ56Fon3r8j73pwyRreStWE2rSbxQhVS5FlFp3ttdqx
pFNB3LeOYB14RGiQOUxanipT8DbWh9bauFiutfYwsD53P2Ue489ZQhp37RNVJTdWzTxeFqAJlgLN
BYPjW6rA7Fjhucgd8Nlaf+0TBoPhsj7tJ2zu1q51MAqHzl9r2khDu69geVlXh0pYyK2HwNoVnXk5
Bpx5wClg0km0y+pg2Aw8TJF939cCmmiFtUtK8MzXLjPHhgPIa6LaZdbDwENzuCjBw2UKZ24/qn5w
LcMBBsCTEhts9efZJky8lu6xdE3LHd4XdxbOzwYn0GAdN43Dr7NzCDveGG4gSaScPn8z5SoaN23i
QoUE+4qDe+5M9ZtmOK3j8yVKSpwk9Kf+piOHvtcqSjeZ5abEjdIbllzgZJM3dm7sdXIhkk1LQGY2
Au+tvlFGAPJ9WiTn1XjajadzogLp5MG+NXaWtLl5FSI1SCeMd2m+Sydt16MXwL487henls1msNh2
ezuHTuXmX6rIrttNF9nC+FRrZcL+37ZiZyaJjaaLqVZ5+p7UiiYqdKJ3PFTVn9hQLLF7ct1FbpQr
hu1OjYmixG4Nj6eK0Y1AHs93XemGsZe2qmIXVq6Sd3Vy2aA/szPklerU9MuDpZLzUZUgonZszz71
TTv5NJ02TvJl8uih0ap3tWNcmqCJCjV+kpvRtnbkM74q3GGXfkBOeVM5ljNu5ayiC7rtt60qVHwp
XG4ofglBZ63QznLyM7wt/4whsGzPcaja0k2ZymIvMHbNoPgp7Z2y8zB42K2jDRU4fzaKXhQ705uv
+WwzN70yzsO76XN0U37Rp9XpCJG/Xbv5h8JUHMLsd23hmOfkuvnAnLt2O+933adgB6uKN/MmtmHB
4If4+tKn41ZsyklNzEWhqzWYLGc2Fd0UucurD22yjaM3Q+iSyqlrj1fbwANcTGX5Jh9rJYXN386Z
w1obfWb6Kors6WOoPQO5nDrz5Iy5krU9dNsRwtrEHoVKABwY/TZUSWPP2C1xq1D9qd6fiisJ2yp2
3C7e8tG3ele68Q4PjhG8p/NWh5t5ckFDzsAc7zpvDk6jrbwiTnEWeuOnVtrNZ3IaJipvnFRuw9gp
R2d6m6UOl147blvpDsEuaZTmb5hWxYGWezR7H9vcSchVkW5LfT546LY03HJ23Qgs6fIvLtT0p/gs
CuBEW5v7VCiB9gG4woNNL7BU6U012XvzujeUscde6ej35ucI7GCT2A1w0mnwJkSO+NgX9hTY2SfZ
OgZdBtmesW3/abqW5SlhW3QKvtdV9gnfodYGZAL9KQs78/sDAq6sTrG2wfvZFKlT2jLcZeCjcDsa
7clSMYZIWZH3xabtnbBU4ob/2V/ll9aHajee5UiVgyqLUxB/o99ZgTO87bnKA9V9Du36ToL4YLfg
dqCdEcPf5HiMbWCF8PpsgKDfxmfUp1fFZI+jK/PtkKj4Dp0NB+M2u2SutiFIuyYfws/pdRWrSgNY
YHPV2sF5+r56r/foCtCB0Ivcbm+Wip/rbRar+UO2Y+c30xvzrbGll8ldUSkR2rRSpoO+wIcKuD96
2q1aBYqmftdu+iuyZXu0S2NV35DI6Q8QHae7xhkVc40PSNvCC5xWdU53HQ8KdCG2ISpIJtVnToWd
NrJTUNkQQFz1n/JdXSsiYYuKxQqdhg7o1PcM+6kK3+rAga1rN1d9rwhEv4MiinjWtriSH1NH3owu
d+Zt+infmK5R2rF1QRuFGlfaoDSd0C8ae3A4swOlT0HcEg9Aum2YAkgGfHjaxgorgL78fFAg+STZ
zOdJZFujZ27Gq9tgG55C5LkttjMIapba1mW7RbsBNE/tMalm0IDURlIRp3oLZ7pr96NKU4douwBO
Dbcx7KF3MuQkINaX8kOF7GlUOrQr6gVcUeB8oqpzsQ1M2wI+3AQA72xCN7WrTfJxONP1O4i9EsMO
4Y3SM9/j3tbAe7lNTy0n3FWngZf7/IbBmjeGwtsxtS9Ebot9VXrlloJNsRlYdTsEODKwu8S9my7S
U3lgl+m78CzcRH8W2DbPxywf7AfzZxUVAD6riaSgNvI+a7cAHvmIiXoT0eAcW+DYtEukEmiI19kS
G3XDQFXc8M6NifWBJxb41lvGB6JoWXYOBQTM75cpay1cApK1Npi0Lbb3VYli5CZZv09Zk2zi5Zls
jW7+ejZNK/BiGgJBSWsmju64nba62VviS6QLAQFVJDu/+14kNep8g2a9v9bWgaYpPxkaccCRrErJ
oWZ+OM9elKZk1wByZQ0GtueZgaZcqyMC7LExy8oRnDXMbSJwOIcq0HZo9aMflSLLVV5ECehdwCCS
tR0IGBI0c6Y0nba8luBOoyIHKNQCqGittdESFDy0awAdN3GE9rxnmVNm9aQIzgsfLYWIwbddaw99
WPbDJq+7ywD1ToyB+fkEBIbwBCLdqsClMyXY2AThRcgR8i2RgQ/CC7xLorrZdIsvvRZtap5Xk4G9
YUEXHopwCQUfmmSI4JR6dLGibOMSta21urRA5T50Mt7ESsR15JIlCuSksxGb2XaFg9sFElxrfEGD
45SgbR5JG/I5bzNEA8+SAE2VY5/aUwlmIujKal/DvRSPUdDH3c1YTcNuiAfPMEe5eQCQkFV09pTy
RRjjLldx1c5+PgMSQ9satLqsIFwn4Hl2feyMZkfvm2iIexv+BuZK9sG1CBvkR/k4gM824+uytioP
cgCjD3mA0Zd4pBsaW9twXiheM/N9PpWW22ejnu1kwetYSnslAqt0LN1DpLJQ7qF46Ot7NO1IcFoM
OPdxXwtwlTo9OROrrlHTnAuIeqgI+LZfgLgVoluyILbZ96D1FjiZNQuKdA8eP4DJhPSfTFOAYjU0
U4YeqV9M7R5i3wg0a/Xn1KYSZASSJp5u6Pu+sTBEblCgPFEFGjq3qTl2V1h1JfBaPDStVsewSQgM
EfjkK3nxEtobk8AQGFXStMtpsNQ0WQDvVAvofF8sGLJZ1tAZhtjJZQQuSdUGtjFjQOhWhDUhSe3f
ty005u6anPia/vqanbjP4tzqcqrjMPr6JZ7vzf9s7vSSuW/Wb8U8dD9twju+vnTJWz1p/JBE+4s0
2f13gP5i8OdyaBgu70Dy5Hv65Ycc2sOf1j8k0b5O+ppEs/AJfF0GvoWxftNn+STG1xSaBbeGBREc
m0ui/f4mytccGiTfMWRPAcBDlPPlz1a/59AohzutcM8L0l4MMj9L3v3bDp+cPmQNv7Yf59AoJOPK
R0k0+OMLSNHC1Vj4IgSk+eFK5tNMEfxFbVRbcxD6w+gmK/6dViWgNHw0droMzgIZQq5jrv1MsOu8
zFo1W0W0ReNVbGSAgA7jDj4z1IOHmwQeEkGrMqlHd2zBz+ZDHUHokTOnLQHiyEbLidLkbWq0pjvA
x6EcxFsnC5CG4CgOdoCU3tXEi3E3Q0r9O0me2SVh6Md9wkktOUPCCdxZWDLSj9N3Y2NOZkosvgvq
GYMT23pjnObblePXLEps0Vy1MhTOmlIIF3go1BazRdU4fTpn2wKjmyKgSw6l3JS1mas5TeJ9UktA
jwK3lhQsnsTveCsaG3f6bWGgP1mUs8u1yPKIKy5HBDFp4DEeOiMZdrGRe5koK7stksLNeZ9rb5rT
YW9kejfNRreN57xyJwGRBgrIsJdNCr5+zA4pBUtYp5N0Ac66towI+3wpJOTT/HyyW1Qgfy2adkD+
lGqxm42rh24p6kTNeVi4SUudRpJ5S2MCId9SRHEb2gF8SMR+0GprwoEGwdUYa+wFZguBAeZ54umA
ftTbUpC7XkdgMBi4eqAmWz+cqg8axdJNFpUfdXBmhRSBs9rB0gjDTcHleaxTcNzGzjJBxVamHZrZ
fItZPkF29CpLx9Sfh8jy4jx7w7M+8EudB4BJ09IFwwiw4tKcWyQfFWufUQqnYZPYluAVbGLaXI7L
Uw2wXwPQxpaMkeEk2aSVzmisUjLVrsDwsNLpFO7SWthBJ5lfZb3pr7VpnrHfvIcUVe+1uBshtoes
S1hkNiA02zKcLcD+hqj3Azn1fgPi4AwGJIutOOY2o7NUQVsdSNphFwGCC/jjkqqi+Aq10DUj4uVZ
2J1KLsA5j/rSXYuSQzqbhjre94YZ7zvdjF5adjdr11qE4QiD+Wx48GduVzOKjAKQms7w16K0vmCd
g0dcyEaF7FOZZv1OD6fcBKaq0CiceJ5NcKAAiWMDQG5paCpSz/uYyg7wabqvdX2agaNh85h8svhH
1DWpO0YI3O3vGbcS8lRKU+NGG5DJLQee7NqSqTyLiYbYyzaLOfHrfr86MqGYY1v3FrjBjbyRPMm9
oEiQ38yZavOZ75qkjfbFFHKPyvg6TGpqQ0a7s8fLLsexX8fpWdZBbrGSAIKMlbUl0hwUyMZWJAWE
odniPMClBq1ibkDeeWynjdFmpxkyahvAamobNTgwRfCpYx2GSNqaINEMGZI1ZbxmkEcU5gpXpLD1
qK+MJUVWygxAU4ND/KPfw3yxA3IRf+YAttRmN7pRlUGYPZkbwJSZn0gQ0bwHxA3pavJJBXnFhEEM
M9oBb/ZppWOHlO1NHbcHADYNfwSQYLbwLrBGu+hEv+8G8EWjuHobllO/N6lTQtrUM4biXZXPllOW
CFziltWKC+aw3IJ8zSAVz8qPdIioRxaPtTIhwgmj2o4MCr4yHBFwsdzAH7WCxsNVcVO0PPfGNJt3
fXirJy78aiky+QYUx7RLzRni7Uw39qoowWBWW5b3kI81q8085leN6ISTo7RWjHWhmxfXddZUEJCb
wm71ggpbZW2342jaJu4Nj5bZhdHQydeQet5JQMRLcJDGtNhzSD7LMB3sCVziNDAAfuvvEo28YQbA
zyLJKeDmkWdk8kMkmF1g8EdRmN1QPehdNJRqngIAnyxB1WRGgW/FBlxXSPihbWiquhLQ36gyiJ1U
6fUAMIFV0XcFyfx5soxN21XnuqsA5LOCu0m8ZWHxKWhB+Zahs7L5lBV+FoPLzq38UwF/fuVWWTj7
oWQ93AARg7P6reC5fTD4DKskvZsI1gI/gB/cN1ngdBFkEBoIeQlvvLAhN0Fs1FvQE28EvWlwHTp9
ZjSe1OCgAUO86VMLnhXmfiZTZcNi3LJAkdsSQJcNVOxk3W2TKEWODBBgVlVnnuMI2SzH2EkKpJ0p
c0YgzmCm5jYGd9/uzM7NDAoAk5yJXU9kW4m63bEO2Kugb7KRjU7B0Vke0Y9sI5Ok9yA5dMen6JxZ
BnbCJuFOPVY7iQvzjJulPeVdBShPVzqp1VcAo/YenVpxjqkRuTTOWidI5yWbVwMaABgBXJsuPWsU
QgUpqTaQIP5zTLQXG2lwNYd1p1CIAkea/UUpwj1F6a4iqfQSnt37w2lUFduGFNt68oa2nLZJngPU
IYOLLACkS8fVe4KjWZkSgDA6SQV/4wKAfl//KWq4JkRDOikDrlG4uZG0bpz18y41+DYJy21Eh8m1
4NKJKqIOb3Uwn401ZCXSKoWESOU0FLL3tGxGdzYk6KM52wTwVUrI9cPVkwyuItmyY14/57CMyXgn
Yj2puTCMK4jEYDwB5CcnAHjPtmVkjsFvgyCE/0sOGQLCHJPD87gtAWDv42krqtLtUkhHZiZpbAEY
YiesDCLe4mOMwDMb3owgzIprWtmRFVwOnFRveZmdMdG5bZZJu7ZY7dYUkq6gyjza6ouR8PwdBGgN
Sd9zCTFIyodexcTkbl/Xl7OeKkenfjT3SBVpeDYDKj4InIOcd1cIQb7D6Eq97yC8ac2bOKMzGBTA
A80Y2BKzFID9Fmd2KeeNDmvVxN3g6hbIX8YJdeOWd15VgFOI5KiqqUlPK/DY3mf6wozeBG07XAyh
9bEqmtpp5rxzAexO9eDBNzM/ZLJsbVYYtdv9X+6+ZMtRXe3yiagFop/SuA1HH5EZOdHKLmgEkkAI
CT19bTvr3jzr1D+paQ2C5Q7CBkva324+qzDakw0KMTppfu1J3tRUm6BoxyR4hMhPHsfW7CNBv7bd
mO2lNK+T6fsqXKPPARWe2Dp1xzJ/1+dAZDBR6GoTSVsOQbxVKuXJsZdjU6lPjy3RWcOG0S90v2Rx
cGx0WHM+ToXrIvEdpdtcmGUFG5j0+cGKQBUxo9O+GRSDVAAIrKk8zU2z3KX5hCXkNSIjOSRyvAvs
dMkITkzXT3kJwSszwSGwuSnh2DLfNv8SmWx7z8QI84qO6kV71ZwofE9jV62JTM8paJogH36pTJaj
cvxrFK8FlQzUQiQuyxBEBfcUr12XQTln4VbnaZt8T4t5Aj/qmoMg0YkTpYqbWIuy906mlKGyJrbQ
8K6M8dXjI+fxkvbltOivYh5/ZHkG1gvYvVe/cNFfRLg+sbhti3wYHyOvLYZh5DtFekiaeTSWMnhT
N5zX9IdhCCq78QVDYfvhVseKgLV7Hoe7aaJl0kRPqSMPjqfBYeR+UDLmsYLZ/KGh/CBcWK/a9igY
MlqmfM3A3fHfENCDqUmenM2SSnNy8TJzyRI278Qyw4rT5jtC9TcLKYe07Os2yMJL++/JAo6ujcLj
6i27BW+5YknUFs2oHgNBeUFME1dDpk3hS1/voUlwTadCdKQDcGjBqwwajOMsvizbr41raDE8ud+m
fN6vHIpTr6c3Quy7telXLumLIANMLcv6YwHdskvdOB9y+y55uk9tlB3CjYJx8kreQ/ZhYDHS+bho
jOAu5PLKPlWhspA/wLoVJoqzAkC/w3BadvFG+hoWA78CRXC/yubQ4CrveDbwHXOqaqa81jSS8Cip
c+iG92mS9zB61rQhceEHjauh199FvGlLywk/B5Er2zz7LfR3o8gb1pt9mI9JlcT6U5L1ODmL72sH
h5Nybj4Cc36mejC7ZuTn0IDR9ZL8kovm7LEnB5j9rADHRDgnFe/cc0C6534G8Z74zVK18U/HP6SG
/tBRwKCVJKUGMIWd5bntOVCc/zZSyL/wGhx9MjS4Gv2XyY8hYKzQiJrMHXm/smKjc9Eu8Dto34Ha
nYqtbXBtA3fGui+fKLuHsDk1rL9LZPjDBOx5TkJ/Pw4hKrm4u9At23YxSx7JEpnamAnz8BQSTCmg
/ZwBp98cbc+ng0tyDVHfQ+E0MbufpAb1HAvouAHkudSYYmm7I2FTXmzDFJQ0C6cK/SdE1TVrnaxg
v0gDrtv6AJJN1r9Ng3gKY2OOc/BoGPD4jM8cz2G6j3h6n89Rjwk+PnuS/HLTWtLmWlXFqz5ZKQqa
dO0+VXkIh2Ztbeiq0PXQk1r1NRXNg+3x3Re0mEaAmLnFh7ZjtPMF5sLFd0OdD/m3KJTkohrwrKCM
R5G7ahgeuJ3eydg0xRp7tpybGDM5XDtYMX9r77CFOZhBTvO9hjzA5RKUuR/Bq5F7zy315x2oQfDi
+TzuQNDJcp6jVzZdTynmwiTrSkUhtuUWDDlXEI/YqEuPJw/CC7vSDsDEWs33mR7m0qJfVUE68r3h
q63h8HvgDrNXxoLz5MVvQxJe/Dn7SRvzlILvLZMBs0Q0kKFm7GePXpjV2sUfceThm9OODMBqK5ub
1Qd415/LLnZX0xg/NCHUAen3xRAlYofarPCaaL3H5OgaIMcmyKqsW+4HHgIKbrL07Kfeug/TMVM0
JHjPZ3AgmwLjbX7KZZBHD5aPMOr2uYlpwXhT1kvfiTM1V1CCXFLBzPBTq/YuH/Ofgrbw/6FEROqz
AZl+BKvfl7k3KZym/AFRs3Oq+2MgPs2gtlfPA+bwSYBW1sewWYC4x2Tez4P4GVMYpFiyPXroiAIG
IK4D5amijcNpF7hkn1jomhnm900TiIMUpqJZdxFEh6ytur47hqTry9aH6E5zOGFBWlmYNgDh0xGy
VhizrmaO7ZelhR5l7QRCY37ykuaNg5Ate/hvFGPPksvfYaJ/E9Qi0TiT2t9F6fZttcqH6pdi0Jtv
g85eujkoVo/dk37Fexjgog5FDjIy+QYvOvwQIZYwm/plTr2vg3IHFaFwGFJeRvP0ggMDNvWYwFQG
2VmZWjIFAtvOtoL/fCsWwdrdstjkLJaPbjD8ODbbKdg8UmMYc5S6wNDNXcLStIbpMAUoau41army
N1IXfBCVbB1Wf2hhmx+2pZggocHkUHgristk2Hp8SwwvfSDsOJeQyhLoRsJqiHtOvvoN76G5w0AQ
9HGpWw0MSN399W88DnmXF9oyVrRcst0Sf4BBxNfVduWySVloAJJNu2Prt1+FN2B99cR5yKasyLDG
SvDeIJ4ZEAOGA2CBLpah05UcUwz/64lkknzJ7lbpcDLSZIKfGhU4oar0mexRdFtMASGkl5x8ixzU
ScogSRohYRH3Jxwi/xxa9iK7nWyH3x64gMnGfdGHhFZtFD8iLwAVbV0yGOlcUpDRPwLbv/ci3Wcx
fcvDZKttnr1ygMgynKksWkGfvAkLmaWsjFEWlRjhD5PLflGv80v3nK85pLLgRDc40CYDNdbvswYo
VNGi8zgU/wHiH5RAsopSgXjE4vizCzpaCYT5iiidNOp/gloe60RjrT3QBOeNGh+DTWQlVZSWZosg
yJMJFTnc/IWdEtgJdNjtoj5MSxO3zZ6qvJYhJOM8kT+QbqAw6HbP9DoiG7ir6lz255bqcL/RFvQJ
wYLUv8smeh/gqd7bfLqTxvtpDBQqunzrWld1Mj2IZb3MMaym2wVzyKq9lxi+18LvxteteZBJVNtx
gW9kzfEycyCa3s+WgrAzO8qy8Bv0zRCmebaZT0CL1pue4x5W1SyG5ZpOLiyp9YuJZXmlvBB1yHk2
breFOIFA+W824CcVubbIsFBi1Yug++LazQ2EsQWTqKOY6TpUAsPEujITW1AZ+glctd7zfHuGQtAc
BkbZaYSHf/KQDZjVQeUCoj3Q/CBWuD0C9xZO9oWq7mFB9LVqk/a3hI6eCAVL/RY/x8MEyTR6gukh
jPW7iKMHBfVPj2NhgSlSO5yjlL0sIUbLCtTfjuR5nCtGU1HzEY4a2qTn3KJqdeXIeywMA/2gqG48
3YGqsueYe1dz2e9gNqhafI6ZFo4XoQ+5tzz417EWit/TzL+IFLWEs6i4VrhuhBcUfUCgTZHkcdEK
lsx8eZ05eaPBi5cgjBAJ71Mt2yVrsg7fRR2V+PbYahhHrLyz/cmcPKQO4v0Ke24we9+t5y9FqjyL
kRH+AGArTSfHQqvm65R0x013KYpo7RfL2j0qXSV98klWdp8KBq4saL63Yf5IUXF2Qj4kPPr0vPFF
XD+zZ5a3RMAZrDGRZz6U9DQgMJklmKJ7uLjIAK8ozy6Q9gPbmt0aLb+CyB4HnMV76V9s05Fj2Msj
A0wt+ZzR3czzYJf6tilRB+8GCU3PziDOwO+jAhls3BabWyu1daAQ+8zBAnkOJ0imcbDVpIPhomVw
OjVe/tKhVggnH6t0/+7RwB0GQI6icwGKDrqWybjpo51dVkgld43P/IeGy3JNx6SgkajihU5l1sFm
QZoS9nWClb7BKB1nPK8XtRtc8CE2nxWrZNOeSX4S6dgeOsLApvvqTBPHC0BsUJjO/ByXxBWrZnUm
kNGRBrV5MmYzKAK4HpSPmu7eRNM72yE5MqPwDsjO76L3LAai8VY/KWHIvZ8YPCih534M0nr1hq9R
0a0c1jSUErtslUXXTdEud+yL6ues8tQz7P5hlYzt8GL9EyaipB6UB4cB2KfDJMQ3sYxv+SzErt3E
rwhYt/SehqS9BLLHmYYhHY6o1d5l7fxraZu8jLoo2MOU3RZTyNILBcgH1nLf7ZjbI+2H6D5y+CJM
2fY4usidc9NU3kj6i4QKvszNWJENawhm0HHJHtqWocSA8lik6NOxFzLp6iFsTEldsB3mwzDa5b5z
C7i0ICxanSZVtvgH30QXopncB8Nn2IqxyhcelcMGonIBtMTnDkHaLis+pu2Bp0E35y4ipRGvxNe0
ctGQ7AIP0ahx7R83L6eoQOyrgSBZiaBDFCJ0NYX+UWOOy6CaYz9pTNVwykuXrLKyfW6rMYtfcjK2
564J4TPtT3Lh2xkoGdPXpqO9Sucf3Wh/SdAyCMbEJ2R3Hgce9MXqVpgzqB/v0yQxNe3TH3M81SrN
6DvPwnu45X9YcD/nSbithC6mYAX2ilzBZEPJqjHdw3GXzaq/TMBICfymJzDx33u2UQRJrC5ROLo7
lY2/+y0eahqClSIZKoKIZnHpyeFJeUF0SeCMjEBf71gfDHt8lMNiB/lsZgxum4THbkXGzPfad8q9
DvZN+33pp+lu5hlwbyNlFdl4rNKFFqHn+w+t2Y6bvZKVEeT9oAgX+EB90ppimIHiQkQooAKHD92U
8j0nfY5Rm9qDTifA/TavI1i7y76PtudNPHhrK8rel/qp437tz+SIZWKqYv/Y8ig+8vlzbjxzh4v3
y0y93PfCQczIPWh23l3qr905zb6G0ET2igHip97kLlrFb4aE4iGX9zwkVYTCeZePe9+HnDA2bK2N
gNSUtUqeLAw+yfgwZQP8PwPF/B0nd6Bm1S5EIAdDdvqV6u252fpnubWXxSVffaweLNJfmWfj/WRw
RVPUoPlil33S/Z6WMXqSRL+hXKYIs3yuDgKl7aMilt0EADwV1mfm1Hha1Fs3usJzGta45hHUkdlj
Kixib8le+OrRXeyyV5rztiRCmCdlut8d44cFNVKVb1jiDRPvpmtBeGFIBrn6zlmY7a9qYdUZG9ed
n3/tEvEaLHx5oFaqYliw/IVb87WhqDh8Fj05s3GILO0KEYxEcAd3XyRUgl2zfWkcOy8NSFQn0w8d
wGXUt1Wbhx6w3UZro+PwAgShM2DDhqdb2fHpqQ99gxpovK4T6wE/qLEdV3OXLuAxhxgOJ5mZqGip
OqWMtfVMNhgLg/YCE/whjpuszqSaSsSBWD3ATlEFI0yILN5JOOqreTD3hjiMyek+PnlR3hU9nWBM
XVBzIk16Jy8MssSzilKYJEGBJ9dqsmW2co2Mygy/L1GOrfodeXifbS93Yu1phUzpZQ7Ahq6Z+znC
bsp01h5CKs48n75GJswKQ8GvjMkOruQYc6JqD5FOHmOzCYhLkatI0CcQ8gKv7BlQectZkYWlgxG7
SGHmGX36SUUw1ik0u0BHG/g6dk/d+BPFVbvvu2aXJvl3K0kIdUYQUIka1uCuP6bz78GsfeV1sJj5
BMnI0IvS+5g+zmMY3fkTf2YMBR7bQgzPfn3Icv2tsXDmqg0eNC/7Mo3rd9Ga9o5B7a7yHmonEWyH
3wu4W8dphu4hQe4s/gq+XDwwlM31pOg+axO/CuHQWMNlO8oYHtV1BfozkX1N42+sdffdGA07yG/6
FMQRnL1wQzI+7dJ8IyV6/CaHZoQsHSq182xjjouTvBqkeNFe9y61OeTRFhUgFodqRXazH0HP9PrK
2ztkOAbVRjtGIdcnFvbLDwGq+ku7Rthb6Xr2V9hU9djcj74052WJqn7mumhNgpXeTDVl4m4MjKpc
J9SxnWBGJJ15NqxJjux1GRhSU1MLv0A4nim+JLvFbzUmKo88bX1eJ1v+xoZIHWw3w/Pnt37hbWJP
iA/lxu9+Aja4ask6UZI0fGITVVUHuhmmUCAQuQqUcOn4zDwDcB/nU2mcniHrx/DtCParieDV4ov3
vAxwWS+AcY8pg+0zWwOQjX2MwvTJjVHy4DpJSu7S53jEapB37j5CQYhJW5drlKYndIj/yQ2AurWZ
qCghzRe2PMz6kwKbPznC83vluZqH8N07mB425vNSE42v25NI7Uu4bnC9UdBypgnVg/aDH+O2DXXH
vAelV10C8d95AZZnOAPbyyTZIZl45Udmep/hiA6agewNDx74wPYzSe+GtQW9nf9m7XeTsuPoYzTJ
aArrRvp1KqJDY4ABdWCi/Ub4XGCmBfjvR3js27huI5ZXi+izKorUcM78YKe/9E5+8hku8nUZymEO
P/JY8F9hMp7isdbbLC59m/ZI0Op96oJpP3uYXuQ8nN0YVNKz7c7FKYoiCuhttgJnKsMAoMUIB03p
OT+pVpGBke68YjDmWVBMP4ulRRNbVW4KPokubH6kW8/KZQ1IJXt3YZ4CDb/lbIf8xl2cNO2ut+Od
1kwXGQoHyBt2rrbGOw5Sr+eAub3WMYNT/+vMlTr6wEbwyXe1TVr/jo0wio4jeD0pdFPJKFvOZvVa
lKQprtTmfQNlHJ3M6J4Sw7ZqNe4H0IaHzNH3QSc9AnlXVYgnp8bvrjlmbipioz2Leix+WzA+hVd8
kyzwc6i5q6Xp0/sEdDndsOD1azg8WOpScAzLfopqwpIDtLWf/YykeDoHfdlTD5QYyo+AuqZEc7tT
qqKjiaAE49+rneTDc6fco1vZ+qA9kBRRisvZT+4H5MpLGg/9b5f6R9R4WMyaemvxKQBw1PO2tXe+
VJWEde1Hr2AC0Bk7Jr5o7uNIY+1z9loyBnXPwh2aU3YXrBrIz7jlIUlmXL4AQ5pNl7nD/ySYK5Sf
VSAJ4mIkWjySFtRJ2nlhPUxZd1ipPEB1h2hMwGpzS0fwPKryAv6R9/whFqOoFHIO/dLfDTZgL6l/
cp0d7m4bz+vHuzilqCxWUrUS3wUFDwdArIIqyWDHz8EQ8K5H5EWgmO9G0kE5ysTZpbQkQ7ruUpl8
60QK7bZ14WPuT5g1oSvCNQAlQk3+GfGjr83Cz/nQrlXfNg887scv44BrvUB850m3Fs0Sw0dyVToD
6FVkTcgbjJXh9jBDIoTJFIBryzOGmVlZHFnws06SIu+m11AjXqlk7lVg6kadnzwF0gud8vdTnISl
WcVSdsYr4T5JizBl9pERV4Z22cpY2IckG8SeKW/n8tDUE2AgQNxvyx10S/CYRuu1DnOoB4lsVAFn
pUDOwNG63QBQZjBEUWDO8KW4fc7HfUPW/h5xumfmj2Ct3eoBJucg7pYI5FeywN1jV7Prrsqh6Aol
2VbrhBxzRaf728ZP+7pDbnFFsPIYyWgD6d/6e2kxzYKTQ7Qj7+cvLRBVsq1871OwOFMbFppn9F4j
xvloB03uWqSgWQjKNVwRpOB0MUWWuqOLw/wuHFEKcD4/Nits9jY5iQTYyS5QQOD6zjgnuwB+gq1x
56Uf3pspju8IfiILAT2CqKs/fEdzNSRsBsmg7TRbRbecVMT0XwSEzW1gfj2tBDkSTExCTkfvvY/g
3ZDeuO7AO5tDp7C4k5BikLm13Q+BhfIm6WNjgbwbs2aQoVf3HA5LVgYuvGs0S1/y0f3MilyT6F2G
gLXSQ0YecYQt0eNdv2QnneD6hCxH4nEcT1GXPt7SUySb6jwcpxIuYu8QW/kZsu5XOvnZbvITVct0
juq421IwKBGGgBNy7/BtEiT+MYw5jDYj8mUc9jPfS+/UDCsKb9JjxpIPpCLBLi35RY+ueekhPPZ8
LAGLMTMOb1OgzD3MX6QXNYmbByghqOh4dkTtj1UGEz9k2Hp2DS+xkIAsFNtOpMSWauwPkuCiK1QL
xbBCUOtm7KKbbEdssltc86ghkIG+25S3VxPsgRyGV6xi97NJNlSb6tw4sqMgCwvtry2CgeBQ5IL2
E6C7hzAje1hchx3RFu80Avs2bkfIgBCrAQ88KLu7WTw3HXW7vOsQKOE6qLyNfyTZKxpTkMJf2Z0Y
0CmEcrAb4NXz/hiHfPw2DgTV9tWfvGzPKPnpcemhxgQ5DA4zJaWk8/yM3BtqJXUE29JUQW9wzkh8
MiIHFQ85AjWyBr5FSMu1A6IVw5NQHJWSbU8t7Hz7PLpG2Y1aoYKi6E3g98ts4ZIgK4fe36pgWD4S
pBMPfgz8oDvvYYrNUtAY864bQZv5WVKjg0T7uiYmLTPpniKruhrpeLgwBdI3OlaAbi4/j7qjhyvl
bWXf7bsl+pVvqO2HnB9WI4I9j+YTzGrbqefBOwv6YYcCfjvl183tVuTr7bQk7QyXo4+Im6UQTAOL
XNE1BHvb3OzIsCYgijn4FiJ0C4/RHPZXR/K1uQMqDgg+nQBgbVFPwR3Gl2kowUZDF8JTt+dvG3Vt
z7B42RveOiTfm4U7txzUZ6Ae26uh+/ZQAzp6WnNz6K/Wtu4apR1SZHUGB5EKcwaIeLbsgDprJ/IK
k7I6uevm1sik7WMfdRjiNXbT6wkMt/6zeR8WfOjs6j7jXv+aznrZ9Wvi/jyU54FB40O4Uf9/tUDj
F0CurXX+67f9vyzQ/+nY9dcA/X92+U8XoSC6/sxmAqdzlF5/QAvdEP/TRejqN/5P3yDyv659gdA2
CnzorTvQX88zWgqhRMGjGVrFw2jx/+R5Rr2DNkj/dD37+Bm8NEUD2pvrGf6pfzXzaZfIrnyW4aVt
VmCuOQa0uuYpc4EVvdVD2cFih5GE3Fj7XWsHVMfa+G4GBiwcmd+omBCGixu7Szy65wuZawi10pvF
bkGDClBiqOcFmRENDez3oF13LTWq1loFpUHc0wGKw3oAflQHfCds+gZNHAaNnkLsCvgjVSJG0PU0
s0Zd1g0Ci4jh75rlhgKkA33hu5MK2+ww98sLYgngh+LoNQubYD9pOFKD2W9K36xp3UOy9xfPPwWo
GnewrKp3kAivcajfoTSLL2Fu0CTA3ucZVcdcmxkyA4CT7/UwjUTTQ5sSCi/dDPNVE/xMvavZhiLU
1BlkXykcJIOPDk7oWFGAN0BFS3QGhAMo5WP68xBRWBg4fE78LzpNdz0U+Twe4Kxq5IcQ6rHzN3iM
2rYyKzQZws0pawn8NHOjauu7J2Y+Ytpda0GseOiBoAoDlJk3UP9veySQPwFuctSpGe8q9IDKKzQP
QBZL9fjfNhnKuV+hm7PHGPXbfhEjHGi7wHT7AFP+TkwRTrb81DoATvQxfS9KFviVs50LOWKe0a/E
g7dLwXIytGFyNiyn8CuXSXB2m4ofjA9PHmcPqATRfYpv9oo7P1NlPsDSTQePNnXTg+zPUQV0Gk7b
vu+wqvUQpjo+qKOjEXwHPjJ/fOZlmjL41sRatoaAXI10Xgp/gba17DgMt2TJ1tOqR2S00gaSHqrk
qnehrlYveJSzYZdwm/s6m/MLxEkUySkD1m4QBlnhSH5seq+7DGyFtwrnRrjee10o8k2geZ0Y5Q7U
BsZBtiEKJziTVUqG4VECB9NYwMD0koFlPzRKjGWiP+N5pZcpED94F7G98vm6A7mYwKnRmhOV/pcm
grbfgKHA6aFnB+h7lGBorro6uIs1vAcVUZqxmc8hLBLCmfALkzB5N+mhm2N2tgGCQugjfe6xogAI
gtcJIr4hrdi85TCtlfkU4mu7gF2jo39PWqv2rSJjTQMLqQ1X0aD2hXeWzCU0ZlslUzgc/HA4Jib2
C6rm7BHv+oAfPMWYN0Ncbyts6wODPNT16i4TgpcqfA2HVn9Mmr8MDX/zfW+txDrEB+SBQGfYM1Bx
c54DTx63dk53pqNZuQXGvScdNIW4gRgEW8MF5IdBIjEHbAswh2R0PQSed2T49Zj7udNmTx18QVk3
fiHpKC4jAYMgBewVadrH+4G24X02Znct/GOH63TFp3IM57ppnPfhD8Fl8TP9e4I1DzQsvXNIOIFf
HtDWIqDtWfk4BxtpReV7i7h0XubvWyo+SCzpuZk6izQGLCCxYhM40iUEQk+iynl2eKBoXnFIEHo7
djIaLuEAv4O+eq+aGTAmXry1jpUC+lyFrqekJRWFExYhW5jekV0J9vOaI0w6Gug5lL6DGupf9Yjf
np6ypFzJtffOmGQn4QMONiha8TmXLcSZIBv82CtxhUCd1w7ggW+boe8vPKZHlQL8cVxyL4HpLjDL
8pCH9jeidPELaxAqH+HtvHmmNbdVHC9op+An3zZPRvusGc+Y+0FyRRRVawDMHFwTgbcNsODVxXFN
BP69f7vFwwTdIeg1Nvjn+e3a2uh2//b837t/Xnl7ML0FDm9P/ePm7SkbJ9tO2eDxdojbS26P/+uI
Orx2P2PkLftOMuQ/9dW+kjuHqF97taT/ueldA6G3+7dbtxfdNn/3Yem1IdXt6Ux12P3vU3/3+fvY
be/bExDiwETrmJaA3mhkdXvwf34H3u193V7w59/djvKPm392u/2XPzfRBuKM4Q6T+/XD/PvQt/u3
Y/yPn/XPIf71OW/72BmxUJvOML3/97h/X6fm9WWLGw7Z7r/n8bbbnw94e+Hff/33nPz75bcX/uPT
3fb5xzv9+x//7PmPw98OCr/4Arfdf9+hlOAyYjWIYiYezvRt/9smSibl17fj/+NN3J76+0YlmunI
IZ73mAI/mnglf3b48yobJQWjazEuIdoBsAVZ2pnQ+NIL0J+iaUDItx3cuVY+jV4A8Wy7tnSTsN3A
F3gNlt4e/fvUMpNhn1Dv9K/Hb3fj6863I/x99s9RVDPjWP84Im0nRHURg7ETm84GQWQf+cNuvQYX
bze9Cc3w/tzfkDkDnd9BZv37IKdsPTLx5c9Lbk/c9qPtFsD4bB4o63IkKbxkQiOyXCDovzlM/RAt
hyw/T9dWK7fWYLdbt4ZfoQ4VEtxDX5HxBDvmfZdTu/87ROVtKpDkniyEYESK85w7LFfs2uYtSvkx
gxFJqfV3qn5jJoeLiW/fBk8iFxOkqGbcdbNdk6m3TXINaf9Pd/++7rYbroYsGJooyDRFUMTKs1Uq
BdmC9hq+/cHbfN7Ns0L9lbs2RN7IfEBRRZofy3yXgCSV1w5vyTXfvaz4l7e7k4WtOkEWfDP7EBDn
hHZMycnPvQSdiVBzUotmBrppzOm2UddbmWCIxozj2hygleHEoKDKU4S7/eut2125uGC/ZuLogVU9
3zZGsLyEdjci+BN4kPPmjJ/VkAiwtLik0bWh1G2TuhAGXJoe1msO2v53g4r4UwZwuEkhoYDkFC28
Eps8zkZ15y1EnmHz7ATVPquSgf5v7s4jS3Iky7Jb6Q0gDzjpoXJq1I24TXDMzSPAOcfq64qop6mF
Z2RW1aQHPcEBBKJQBiLy/3v3K7uUXL2Cwm9vmp4zL3PFItxkQ4vqZwab6EzqVYW27uA4jQG8UkEa
M8QIVwwd4E+tZ4ygmbTaffVdK+1zzYiExxm/Wzw+ZBqZtBBtlL42EoIdtjDRDtgA96qxtqYZG57w
4mnm0TGxpTiay9BPEr3E9PmC9bKtFbPWYheK9lEnWJ9qKlIX5i2HTNiKKlX5tebZ0GiYE5x7RAQH
+R9wZlftDjpbumQAMC3l7++IP2FocRBV6QO2zuKgipm2I8GUyBJ2atUMW0n2khyrxLFgoQ04uy5c
q3RG7hsyzLvivKzKd7Mdbkik6sTel1f0k5fBf5KLYApdcuaZeTMoOVoSy/T45cX5bU0uaE5Vn3p8
KkLKwLl3PQHl2m9tE7pnHF3BvHDF3dBzCqGy2zSMAlOCgsQVdPGVvmzbThitmZ9FizwSNxcJ55Jf
TwK75EJ+ZY9Y+yKbB5/4CyeW/nnCYU/n0rz8D2KP6+/NkBC5KoBX8gvLtetCtrUJSsLBNV59YS+X
kCvmj/lBAapKxvGzETpVv+jbplrJq06eQnLtupC/gdzkacJwNTZ3lqBY4X0D7lfxZJSL6+aUqt+H
IEiX+aTetdFgYSkRYMjLqmGO3qIn2LmcBCNSF1BUpHu/Fr9tFg2IWiNADSNAdGSDvi4mGT8RbQHx
yC2nBRA+wZBNBv2PVsUwKdNZchGSwl+PPv9Xg55/Z5o5gVdE41ECq0Fw4+TvJ8ltck22XTdb3FXE
+zG/Udxi21n2pk/I3CozooFpcOqjTcB5MZZxuYoHHbJCYGkNeThzL7+QySVtFRoUPBGuyhsmgcBF
9HSlK/AkU8HQ1BVzA81s1av6retjmNN7xz5Ek6njG9O7VRKq6XE04hO53m/D0EbroCnTtVbjr5Mf
tkvcALmduKFTU4gwHafH5SpQ1FWfIwZK5wbLZxUExw56XR1Myk6eHa2B+hju4De0fBBvxV1Erl1P
Boco68F8zMc8h5wFLmcUcyMzfR+1wjh4dW4dHbFQmAwCXkVDWYDXbOVTzRuiA0LrPPC8g83Qeocb
Z9OH3XNHemET1ClgqZSUdNWLeJ6uWSfYBeN2Dof42Jo5ubqmvK8SnJHm7KChi0hxgH7HPlZ13apW
1XQJwJLss1Pk62bWk12oRjutRH4cQwbscuGREldTC1nuYPqq8G2Ibc0n5+4lPGo9u/MPeU5i29Tc
irTVP+kboxhFO7rBTLVTno04IlgA4Csz+7XTeHduXHMt1fW3wcaZgsTucnSzoBlForuS7zPMhbGs
1FOWO6vAqasFsEYi1RAsbLtYZQKCXIvnfDNAigu1AsVKq51K/PfzUrbJvXMMTKhu2m9hx71mnoMn
HxXKBq5tcWzMH7OpTAe9CbQjMWsn4nDkwodDVPVPltLomEdyotYpGgwV58VafjAgnhA+Ev1UeMVt
TVxgraKJXyh/hg0HDav+VWsCPGdDixxq0De9a5NRxiUgSS1ygX8sgKSk/mE2xDLdusctpD66fhXt
6kMs2KCpWMi1TjJbPQ28BpKIvdPfOu4Y474OOwx/UbnOaxz8SLvpwNW7T/AD9XW3aeMBzBi2u76F
q6ES6718t7BEKKKOkCQqJFiHRiz6DJhIT5BllXbcZqYZYGj9HCjtzGQbbz0IZX4eO3luQyx7U4J+
y3Ci6Ry3ubsyEOm7LU8H+euQ3ua+a0YoXWal8JbZAIaDyWYGGYg1142wa10bgQRkRKcnmJ1quJXt
urjLyrXrQnazr6+V2/KoSYQPvNT4A8Xhv/STq6ADkrVl239eXivbshiLfq4my9z6IDXWoe1Jq5VQ
LJHLNZVVY8WPeZbMZ2/GVEKmQHAtcbh4ytrQoQzVjgihKZDTfAPvtQqiDL9jMGTPczmhQ08Hd9WN
sKhIKCmcchWiQ7t8Cbp8m7nampCFiXOjg6ibBxhbjB7vfD2S2knrD39sBDjOe8P/7uJqE2LnvnKW
ZoNtiUBqDRgggRzcz8rDrIcfEOxG1zDfGmqjLNpg8G+dMKjPvgZmJ0+i6d2po9M8FvaTTuxrR4gJ
/Fpv9W+JcpT7BwNZhK0NELn82n+stO4JQ8H4boZNuIwy37mpgrK5yZsulyGXd9yuD7nuq6cAXwOa
z8hCXzGQIyQe844XQBu75L3xknSD7L7cx4GTP5GMvZFH5VfjVI8s8+xFxXBrERcG68bbta7yPYzN
7HEoa/1gmX6yhv+Cb7RjXF8gDo1Gb/5eaaOzyXOr21WNNz8PZbiXX2JqyakWTWSckDZpd8x+uCAY
r9+5NkSsZspJIqu1jxUt0o7dGJLhF58Ww99q9uzkNUMMj2mr1VBCduGrhS5ZfqpuCsdVGNv6cXBS
995KkApffh0IKYuojYy7Ppi0U47e63LIyYF9Nlr685TH7a6YCm+TNO3wPQtJ2oovGhZuvMa5bBwa
C2F0149vsl1N0UtmgT/e6lOGeNtu4U2JF2hhceOmavVEZLDYNyMOHA1zxrs1XP5gs+J0wsBsIwJT
gYQl84M84FBa2bK33PYmnEpMqgUeP/mtLTd/0tWwYVqYpOsGSQXqoni8/IHobb1QH94AbLabhLTo
Tlcd62nW05M86hw6QJDEKdb5tn8rTzt5VLMCMWcV+oOpTtExdNGZyI+fawwvdad4jgp7qWXquJmq
0tyHTuHdxwEBVm8y8o+8Mw8mPImX0Z2rDRPl4AAeYLwPRlKFskcXQAm0lfhVicx4Y0418ExuSOgv
YRsEalZ8RAgyfHKnr12Ue+vQqABeiOioVtjYdjjR5HFQK29GMw2/M9rS13FguBgu/eZual1Cm+I4
VlSs40Hpv6cWkTDFsTLGD3l4V9dBtJQ9AlQMgdr73xvPgXBYZsORiYF2S5gYvYP4PjXKlqaY2rdA
WPmE/gcVZVbdqtgLLsewnZlpu+W+zZVDXqvU4lOOT+YG7DE6QfE5OsRg/Tw3724DIwBJcHvKpkhF
mdaQUBDvMnIP8GL3PQWyu8pHxTg1dogTsMFEIw/h9TsblvJJdkAC2qAxraNz2zremUeEf+nlgNGL
J+dH39lIgG2nOSduO3MKopUasLh/pL8+UKGFqxG13tkwh+KMvBl7eD1oP4hrXj4Peexlpyjhja/U
/glMb7eqDDP9AWFTfh5tLo0lHpz2puxr9dT5obry5xQ2p/kiOzTTOEFRrsybVpvKk9lgUmyDVsXD
z9/T94SplbL+yZCcUOTQqg9OEJY82+Zml815/zC7EG57za5+NiRrU7sz3ysjU5ZpxDEqzs9jzmdc
93GkPCtt8HA5mhc+lsjJn30lVdZks5KjoynmDScTDgZc2O+oFUDK88YJUr0FedjqwSrMHtmkD6O+
KKyHwiahIbvkBRIVgrPvpoNjAUl7faNr5nBMrMZAS1JWL2pa3cmuXD3fOrVunwmtYBfikgAJ7Ya3
JJ9NRj5588MIUd2INzaY1C5sVPD32oS/n8GTAgTXiB+dgJB0zij/J475ler1ylusmPkK9p/SBDch
VlQUpu64jjIuL1BhN/LnAR/03Kt19Gw2reATj9pBj/L6doQ+tdSRejAyepE9Z5ymi67XtPsRI8tu
AHO1bvv6OOKxfhwcHGSy2xSkpLG96U2JURv1XWudBzUITyMyEMyqTvg6d8lZfhev9F7VvjOenFDB
/pK77SEBmnSrOcqwjAjbfGj9Wf5AFaGDBfy4+r5vhmSPhHbatoBMHqMepojs4tvBxiVd9ear3Ktd
3RvOjq4UJ9/UcpQUTfsKUvgouxKpe49CdAVtNhRHx4f1qSljsbdzz7235wytQmmYH11Wr3WvVr4n
nQFUEgLeKbe08MaKE1yMWdr+yNx76A8W1x8GrN5zlFusRTrkNTPc+EXfvdTDdJbHClv1TyUO4m/k
F5xtM3aotGce3QjTcfuJY/QRJvPJ1149a0Ynb4fjMaZKwC0qWZUoIp9HLuRmF3jKjYs28KiJW5N8
mXi97GEEh/+/U9qWrVPt/d+ntO/+yPNmSvv3PPqs3iSKzsBBEC/8ldh2zH+ggbLBcZnUkHetL4lt
V6Xgr6dp7NYpZmpQ6eZLnpsmkcyGsEIC2vrC9vL+4WiWbhMO0sBxibqB/wu2l8bj9a95btN1TNOg
KLGqm+idqbbO/i9Fa9LMAKNQqtMOi8HjEA/CYhE/mhMIYj9clg1Y2EARglEosLpqM2zUzWaTIXNp
cpHkqpz0ocQo0GDGnlt0ot7c1msb6cU6s4Nu4YwYT+wUt0rhNPeDh/cgU1q8GiGKSzc0qXmT9YiA
ax+ZfoYEnEADGVFjfBiHsYCi+5L7QbzyoxmPuDmJY+HZdA3lRk/D9mDeVCni6uJHXPfRvk7IzlsN
c4XBw/MTBjZWX2ySSW7Gq6YiY2miFd8yrCJxlwQvnpFqi1SxBJULcyMKo/jYNe1THD5EcV0SOui3
YRv3u0B3vuPoq7daK0SmwZ9DY28bQxNiuQqPS+mdzIJJTYLQD1dUekjncELHQhIZSKe6rIRZpBmj
GbIkjgKyxzqCHpMkY6dNqzlMsDIqY7J39PqHMUV/hr5LxtNQnmynr9ZzrOKambCD9qm7hxZkEqzV
z9xz/AVP7HgfmTxljfMwkglOzGCfhwD2jRxUBHancdVRtHU/Jih5Ha+r9rOuDrDIkuhmCnGmUHQH
mVx/jgKzPWr2D+aQCWhl82wohnO2ASii+xIabsxCWIgHRDR2peNDdVClN/ratPFtOVPVgoFM8URC
u1j2qukuzNxStkzXX0zId4twnFqyCHG1iHCfk86FbDo7DaDm8thjRdx5pbsL+0XiWijnlfbD14r3
erSQ8c32bec52a1l6lTTsSdnpahdT5yxPc9pimgXJzuCd2fnRKF+4+kG4jzzu6NlmCiC8jSWXnlU
ekYjHtwI6rukq2F2twalEb75HUPpBv19nAzecUJ6vBiSGmaT60D28p/AbTBKKPD/NiDa1lNqLDZ5
y11fSTDQ6DbDKzcA/wYbot9l+KbxigOCdZ0Br0n4E8f1qo7wtmZZ0281J9vgQPyjgqK6TEbEZjWE
IVz0xkProkpSnH2Mja7WUXHnJDtxpo7lRrVT7cRLCIm0nCc8aAa43wyG8B3eMaybyc3q3X5mELSK
e+etxb8FfQ93TVrawbqp8M7MrfpKpRiMdIhnmAlUZ9Wpfg65z0vG5tGzC6i1jf+W4d3J1PxxDjXO
uDw6my7J+IHKCXmS2LiGVHWl9carV6ePDRKVlR5M8woz/r72Fb5qWjb40Oxz8R7NqPXwf8P/0h8Z
aGa7IB/uPcXdqFq1I06HGnfKgi2Vdr4Fg/KHG3lYkimfhaNn2muxvnWq5HGyQ9SYrdpACcn/zIjo
zI1DqY/ZNzhffNyxJIK1oD4xM8kJAmkMCBvuW1PeHPmwSP3H+UcUD4cij5jCckNap7rzo3KKbZF5
1a3hed9qrUb7aGLIc+DU2l7WHtvkyUtq6g2oW7NEaY1LMLtP3pAN/EyGiQ8xdu1qsinYFakKE+wW
l1iBHjzuYpQ78xy/+pUmKHXusliG+Vxu0LBCc0cok9nm0XeBx2ftqC1wnA6E0MwfBlyCg1aFFCfr
q+3gEFTx/TbdWLr3DdgSqWYnsjZ5ojkb1YyG9QhBGusH7FRNXXVR0C3ntAfcYN3XRtDflGOY7XSL
mxHJpu0wR7sG90QwbbGbevlTqjfevsiqbekdk67ahvWI0Z37g+Vt4UHquxrTTuTHGfLD6tVy8WUM
qVFtqc62qFTqv6Ql2RE8qpuun8LdYABqsTSr3mFXf+4jQhDkWyB45PGw7pv9VOWUNGqt5nlGK8xI
+1tLZhsPvRvsNOp5LWfseqh7ILwY2e2kQ3np9c1QDNOyDEqHBP/0VKbGsIic1n14nVF5kqjs5vXs
7qe+JQDkWPAykpUz4k2eAEItXfVgxCm0cNxspkHVpCS+mScscR2ZNExHETMB66MSt2uvM5hwAGTy
MudD8RBr4wjYKuhGoUkzqwOeRlw0UXBdDQfFxqjoWD/hZz1Q/K4C3xOjdHU0wojztMCI9WNu0XAy
a3xp122kL5TYwYERMPsxtHrV+ra7J3LSqT8ww1Xr1gi3ymyiqC+1XQBMkpxVt1dCTNhWDHsBjTw4
qj8rO38GsqYvptrDwVfD3dfaeKO5qNs7S4Xf4KVnf04e9GLiVGh1b+nXxqMQ4BP9yBZTVXUUjuE6
ZiCyxbhqIi7CukCOZDV3gE0mCgcY2Qp+QbkoswSY9WQAfbxpe/++qoFRZnq1NDxOotLeomb9XoVp
vR5xQ21Qw5F/QUTWqsN0CHWtFSGyxZC6j2qhtcvM0ecNOpARI12/n11X3xDj41GMemnpr1zWMaLx
Gwd2sa1E7QPbD+5rDXCLHq7NsLwf4c4VMaccGJ10GfrRW09g/RzAz487SgJEFuGkOiVqWuElDjzj
JkPFqjQJYnhNaJcYVPNccnH9DcMHCDJqPrlbPfbfg8l58lDfg7hFKmNlIywX/GTV9JEobrBqjYAS
QPOw1TwIpUHyMXjOnnmtvaysl2hyP6wQ00pXPzfA4YakvWNq9hL0oLnjqrlV4hM3BX+pOd6xteNb
nw8Iw1NZmt2Zeho1HBzjDHLG3kcgkZZO35J3rswlE9kFzzbYlj7oBkYb27REXdPvrRpoDPZKe+FO
zY9x4WYRpInEDsnfuCetrBiOmMGm0+PgRBL/lnntczJl0LtG9xy0nFytYZxBiQTbeMSbq8b6PijA
FHYEUWvubkuncLaR1jx5Hi5CY0p+6oATN8QCbsu8f5pjik3EWgLNxSKHMTr6MQCayMm9dsNAWVRl
yf/eMV6pBBU7fcij8Cmvqp9Kb2+SDJmN59vbwOtqRGDfqEsYL7jmtr46rW0SDQsj5OwzATNFKLoZ
W5UG8bbMgvyJbQVhTUz6mHBT4KqDsePJTiUGEaWVi6G1cM+nWQHXpeWBOygYJ/0q3RM0Hw+1KD54
Xcg2e/SHSxsnAENOG0pQLIDN6edCJsxqlUuW/OIkcqAyLxvJnKjc5uJM94TEF1mFKkiWDZp7gtod
ikW8mSib4/IxS+AB9FGtLHJ9bEnOlr8WCfVfLptyh1UONlNEvsglQSjzQjJhKFOHU5vvG5OMlmyX
2UO5JheyR9NVH1bMEPvaJNe+JB2vh9NKn6dkOSWEVasfc2wbh6J/DPCg7m2K7GxLsCthAHtrmfmR
eZAdnHlStxHJzy8JXHfOidZf3kIkN/0uBsLJMwuoI5ksmb+qM7hh+HD+mdSSe667r5syJfxbPz9q
SNAY9e639uum60doceO54b7FjTwMYTqWAmldi0UAD/BQooefl3LbdKzntISKe81qy79VZoBRvJLv
ltvpWJPSln+zPQ7PWZL661y2qU5QgJrxVtdzQq79dsBaZJxl7lmWirouZMpdJqllW9Tg165hvi/+
Nu9+ScEHvv2iJ4XNRJ38s8y+y7VEZqbTFoBTSx1EmS3FjqSt5oF6CLEtfL6TSEPaRboPtAa7ohPj
g7r8bUFQ8cdc1uVvH9vczYEf+ys1F1XQZCJSykDkmszHy8XQnolVqnt9Nsn7qaSwD5dVmYfGPLO1
KiXha7Uv8jKSC7SK/AuluKJyq50gJjGp0Ur0p7LOn5TWSRGN3JRr0B+pG9THokSDWPX6OGEmSjYs
d+ydURbfFVKFxyIiwDnSMiVNfUczAJgSFbN2yGtuJXo7vTWVv6WO3vigNSdCvsmDG1lbq/Zfa79O
UUAMESapUd8kbVVvAN3hVmoPQ26W3/LCsDaJm93nRokKMsjjbVhMPC6R3on7JZM5O5rWxSxGHjqp
TdOirEbYMUDDqR7vmtn+0DUt3hEUXRngrBaUKDQOVkwYsQN550UGVRlqnCbayCgiSKgK1AADauwm
OQ6dES603s9udGzl28qmkl1LyGeBxig5+A5WJCsob1ULAaul6mQk+u+9ngOsgcW9IrjerONUN1ZV
MCUHe8j/5Ar/hhq53Nce8zJQUeGuI4G7ybpuWqXDKqTW7l3bqNzAbDvYQ7MiwYK8mcK9MNSCPrrR
saistBryFoKWItslegvwMGaqSQbnV7ZtEOfcJIH5clUm1OTab31km0ylXfsVjf29rsEW1oZHcoek
XlrZVCmSq3Pvdiji9TtZ42IWkkdZ90JuXhZMS+DRJjznO+QgMdMZHCikzoAlbe0S0Q8PITA1Ilmp
9N4dOnJRbpYDyVSvXJP53qSm6q093l33+XleieTMsJBtlZjiq5N9lC9EHP/1ENfNvLEoEQE+YNVE
Oo+yxA/T3YSCXSY5YTWRv5Wr10Uq8sKDPezjlKioacEEkolwmReHM1uJKaigJXJNXHdcN22pKyUp
WG673Ll0kXuDZHrXm1jlRvLPl8JaMakJwDO/FL+X/F2ApVGWxTePZaQyPDBt85QqmruRaVL5P3xJ
oJLD8KZLclbmW/GLvGgGZLBaCJTkYuoQKehhCAKnnl0R6AR2K5BhtShDN8QlcWgGTrLYKONyqvoJ
JZCsGvFbm6ljh9IH3UtXhUm2E+URtYt5/HqDqN1RJ/WxcuwoXvvzfZFF0V6ZyZ5GDCIJpMpKCNJ8
JNf6LJu2qTKAd0P8YtrltEUVSdJtDNY1lwYYNCGElZ9gljfEa3HUekAWUkDbXcl3H+3J2hQlsnUp
piFgvnf7tymmQtrQTUBGKbNLPBdVkR1RpcZ17w3xDRvxUKzjJGiPcnuUNSoa3yMpD4onpXYsZZCd
YJ6QvtUj7rw/2s+ayHELQXNHVhPpDGlHvHExtncP1/u1GEjTJqCnHX5uTQowxIvl3g68AxIJ+fyI
5bJL6mkF0bC6lF2+9BIHv76jfC+549+2XQo1y93XjvJ117br5vUw1493bYtJKy584BeLxomffVkC
Wu6VnQF5MPS4fPbra0IcBruZWr/XpksXRXeImlgtBZCESG6WLq8egHhZJ7eyaG8xOXiAGd4xxedS
lkRvgldhsYNdQblm0VjM4xNq8hAgWGzvZqFbFzK6IgBLaNaGRiRenDLXeifybJaL0XFvaj/SN/Uc
Y7AfgG+gZKXaS3+IsNrhXHGK1ZxnVGDKCwiSrXgOfynTKz+EijR50O1847oTpdqMbCfrszg5LHvX
hSHlCvw5X0Hy9bGHRvvQrGNnqQx+vM/ECDSatDushF4Eu4FJgSj0Io/BU5xMyDBb7bbWUsxvYY8z
MPuTkoDVpVr6/8ritls/rP9a0kPGsq/1Pv5dGZCP8f9eO50fN99+P4r4GJ89/p/WCfkoOqpZTA9/
BFGRkwfI26idZGLAJLT+7/MJT3nU/vHz/zy27+0fzb+87lc6wbYpFELdQ8czPW5yzmelEM3Rqflh
OuRTiQjpnk3G4JdpztH+YWBvM2xDdwEEfjrmNPcfnqGTgqDwiAMeWXf+N5kEAJR/SSSYtsvRVQqE
GDq2b2y2v5XPSLW4zrUhsf6ojOJs5arxNFYp+IVw9raaML0D0tJX2Vx7W7lXFaxwuVevc+OyN03x
OP/b1147/91rNe89CopwFZAUPcqFixAHp9bntjdO1dERi9/aIETCU7w0Ks3JzimEF5hzfbou0tL7
uhmZosxjQvrDM14Cnt8nXIvBUhGb1QQZaQBbtdXtynzRnfZnksOtpvS5qCS6LiiqAXh3mN4sYBV5
q3kvPTZBy4tb4lOqQ9FJAJD+cZoq/yjX7NLzj6RBbObNYo/cTnx0yT1k6WSiJKHp+OAscSgGKxf/
23FMNQegp+lSflJsh3Z3qxS++qNMong3xWZ+YlRUnMhTFKfQH4H9qIwBftshN+WCR1ZxSkpAGgu5
Wu68YEhOcl86gj0LQlRkQTD1GyCz7k2MgWITlL57E4q1GdjiguEmliVAZY3RPANTUO7atEi2iRIW
iDb7AjYxC19JWDjAYK0yB5bbDkFHVCBDTVBWgbc12pZikO18E5SK+agVUUMe3A829Vhbj2FQDmcU
Rk8AbZnBhKrVw9uJsQ6Q+7Ct5qFT0/aB79HvcLhHlza5Q1wrDC/jYC837VkPHv7Ti+SBUqvfGXDa
9sNoFDj0om46Dm7ydSHbSt1BkfW5Q7ahU3769Z+7xs1EkgncQnpbG1H46PuKtW1MW2PCaoePhNmg
oA4QOWN9gPmRiLqmmo472Rmwp2lVdGONAI1ydy4edBRcS4ux4UsCB3UxjDgbSnQKuP7HlJhrEz/L
tfRzrRkA/Mi265pjEAXGg2hTTJtoowYobeuRAUMzKbaHvLe2WCWCXa9NuAtnng9KM4SPRGApylf3
1Q7igftQNn0NvzWLf0JtWLdVmL21PliR0ERKY7XU1YKda678dvI3RYdKPiv9gAAnXt8FJ32xKVO9
QHKEakl16uJmEouK5AoKyLoEj8eO2p1AMMjdSghJxK3KD6cbz0D23vQ4G8hiepVyEJt53vdAWp1Z
ORhd8cblyRf63KyxvN83814z5uzIMxAjuJmY2pGiR8ADW4qsr42B0oKy8bI/brQfsNrDnZNZ0bqg
7seyQ5vtbi3lQ2mz8Zw4PtFI2JVu7KTzc58yQFWrKKCyshtAa9Is8jSBlUx33myNl0WON41kzdeW
YES+VyEr8026MkRcjqbOwBW9xn3hF5RenOrsIxqC3Rh344sFHdnJwR+Ku4VccNfzqSzJfURuZvJm
ct3mD7z1Z4Rtgh9zgpuTncPadERKZAY9pp7sRrep1zk/mrMVvWSuh0zV8glwzsDfIxJrl659Pp/Q
3RUvXx6Ff1OdiaDsb08Xj0IsBATJpNs2Dyz1tzQ1ubyoC+3Q/YPQfbqPPGFU08WQTA7R2kRMquTq
79u/d/2y/S+rv7+2oczSUmlHcw16UH3qquChsqbxljlF/FSQXM2aDK03aDXQZ8aNXGg2ohhfyZJT
nraX9kwvoJjIva54xYicaS37XV/2+Ypru6UDlmYw9z96jyqvz1U+5I+TS5KsAY56j621Pvl2GK8s
uy3f4eiBmjSC58xTwK+4fobs2y3f+2MbBWgss6LZgER0dyTYm2doovsMD/Awt484LXJw0a31kIXd
mZB590pAiSG2DZNWc9ruNafw8yKrm/A2s5pgVwfI+rRaE1Vtp/Ct9xvmhqo6nvrcnYiGVndA1sK3
xh3DtZrN/r6KrPxl7tSlbO+82NlMLSlAP0vCN629HeAXvvpTrhBAAWkim4PeBMBRRk+B55KxA1G8
Ap0dvRl6vPpvzj73r6XBTNsDJs0dzzRcUQKNU5Gz84tIYo4Nt7FVO/pJ8BvEypJHV4yC+w2ikg0w
WGfMUPrGQze7PMqL6U1NPXupBG1zmpvJeCA2/jJxwWIqh8s6pX5yqklSnTLmHZc12YZF/i7JKbvw
W7vsO3Y2eH/Z77o7tqu72qj5xf/mcLJNbeJtGXb3xGuLNT6t4aS2mXVKanSjWTEHryIx4YiLGzD4
XWWb6ovsqofmr679jObws2vhpM5PMOx3FMDQXmx/KtZaiZCPuikBMBfFVKDG3VEVYc8luRliMw4Q
RcQbNTUpRBJ04a+1v+79vZ8yRtDXsZDJ1173Av5CWUZMZ+nmnnpSpvnrwiupl2nYNWT1v7Rf+ybY
zk9yE9jRqR0zn0qwmNGwl/3r4WQb7LJbfaBik3ypPLBs//1lmac+KIk+rEZYfYgQp288POMlKp76
1Z7ID0Skn34Q+D/PSUBJxZgC2xGcYBIHAE9by6sftCjDa2zlT1o8xrdAcvSnz63ZC4wnMLJPep9R
aFxsiX1yS+dJde35P3rdLN7h8yjX9wt4B7n1ue/6fmLfdevzk1l56uyTEr1irEXh2QVzvUSxjKXC
MYOzbJNr10UidwSpCSJh/NXv7zqHo+/v/vOV7PxV7WQydzIME9iDYWumJyY9f72QxzBS9LA2lJ9R
rD62c+3euw5+8Qbb61Je0QwJPrrccO8Z+kTn6rPdpb35bO+pboFBXZ/EEOJjdCLvS3/ZbgTOR+q/
R7X34LXp3C24uLWT/3maXdZEmzo31TqOyMh6YaPSUZy8crdcyLNNrsmOPB3NhW2YHFE2Xg7ualgo
qhn9q1IwKK7SpAS97uXHSgyKs4JCFqFqRCu5qVL5474lHy23CtHDIJlGkjArjpH1NoNvcv3JOqZV
29wOuig8HyXZR2WFkOXs8S1jmLy+9rCtn75FGIvKiY7AcrWazSDrul0a/81oQLJXinSCKSEm0vJf
FJNdXSec7bnG7/9i2U2Fwz3I/YntBe0i0oNKX8tZJNwiEGHKN7mRJLvBKpVvJUjVR8wLfeYcfcoB
nEHRMSr83ERHwgeOB/+y14uc+t6D/aXyvLHmSj8hOg52DfG7kyXWDNEm12TbdS/VMIEUfPaTa9S/
fdAgspwGx2MOYuqgK6u6uU3m4NdC7ig6j4p9n22yy8xDdil3lBaMbQDZvE4TjfIwsrfs6FHi8RKe
ISzy91U/7X+9Uhwmh4g9PFg7OnP6v14peMMjRR1D46eVox+CBqCdCGv9WthNxJkqt+E1MDokFWu0
UXO4NlWIvxZp1BtUF7LMGwWL301C8erYCJuzCYj5RhcL2R6BJV97k2Yuf9sh944eWagaNl/bQWnf
F3PkpDcqJNhVpGev1Rhpe6uwmlv0sM2tIdZEe2HaExWBRN8kNsGvdMmxN3sd80Hh3TlOdKyH0ngy
QEnfiX2V6n7Z14gt0xy+FZyX60JXqn0zQPWXa/Ew/VpLP9eue69rweDEx0Rv6u1/votphvjx/3oB
uI5rmzYUJI9wkPlbSdbQCf00nlQU5Jj0qSLglN6mDiflTPmHOxia/V5uXZocKJALYKvTCnsCNcku
26K33I8OeToMTr2fclc5G1lo9egeiy+HkTtkX1SH6CAKQRwrazRzxax8t/T8oShrqrQTIJlITAkA
5N2o59Xb4JMtS1HLParhPK4JaQKEKdV4jzi82uNjMyBzJvpaG+L6EXRfTLI1DP6LsvNYjhxn2vUV
MYLebMurrKrktWGM2tB7z6s/D1E9qm7N/N/E2TAIIMlWSyQIZL7mfbqjH1kTI2+vux51Os0v14C9
tVndFck3XZbXRd8Nr0GbuPisWd1WiU33XkTEpdkd0QAheSoe1+nx7PVG3lvime2KIQcD48En+hy5
BWa45oG3gT+fdlp1dkBZxWizPegFoH61a9RF4NhozE99nxF1X0QLpXcvxbR/NEY/xVPHDRZI3JVn
0RfEAP8Kh7WfJXac3mc7Zad2FoGiT8JNbzEqYXUWA7d7JWLjmsKCUyoJ1GvhL4vaTo+N17Mfns4s
NUG934D+idnV8ku/iBCD05Ui9HaRMV1ZTld+3lZEiH4Rpgb99bai68vlf94Wx4f/+Gbb/3jYgTvr
tmEgQAkq0NC+fLNrM5DDIUrdb9GQLhTFQg2gGQt26DLbdJTxkp1oFgZYKKMMR6ClyGUgoMXwl8DQ
9i1rfg0XQRT+ft3oFi5uKZrilnZunCifJqsgrIdjMLkhzWo3bo75TvQgSzQcUemh28pxOPY6KHyQ
fFFPv42TtQUKbaG6OyrBcLwO/7qLQhZpVpaJscy8ZV7aTU3GpCn3SphhhiJOxQGHAHeXeDCrGERI
sNz/FnwLG6YRX0a3QkIYOM+5nei6nqIZyAfIwr3dRUTkUCE7scpZs/Ozt9lB9ImDQWahRwKJGLtD
pxse953p1/6vvlugjxri9Q6iz8kN58oc+D8/RYr+ZfNvyQbuUGy/2P8zQ8E9/PItcsYQ85xa+oiQ
uKrJXWgzqQQgrQCvQmmbL8vtW2K3Tn+030VHkOaEim8KLLhigcnkr3jRJ64cg7E/tt+YSaa73u71
5/2v/2gQWj8tHoKoT6oz0gbVubUuvqwX99c1w7RwYAt+6/HsJLrPw73eqPOev8s5qmPcCSS0ISs9
09ee6xgP6QjqHER1MROjvdIbD9MFuss8ILrIuHJBN87iqkrXYm0jOVGDaJGdbUTTS7AoVGMl28hT
Mt13/x4VmffbqMiti1EUIf5xrYLc9FOWdAlg4v6nO6jJPeZC6fUgee33MY+UyW8I+blpECH59i5U
y5+JUqX3MODGRQ/6mv9JkqXNKtSgMU4rx7DF7HBQB+NUDHKzsyoDX+bK9d4rqOQlylWv40gd1yuy
NVoi/oKPi/+AqbD/oET90vFq6SS6+qDPWMjmaMEZId+4plOXTt2kK18KWoxjM+dUQMU4WdNZbuBO
RjYlvrsN9JGjHwppnIuwW7+4SVOn7W8D5ArHmYYwanwMkBYDo16Q3YhYzYV5di9jzVljuf06tFm6
grIxgCvIh1e3yU5mY3eXyPf/YyK0qOH88dUnKybruqwbikXZRjO/5MCazrUhs439R1+S6UfQtMfD
2dR748A67ZwZiQs6vtZ/oovr7CbOwANp22oTUSWdi6Y4tPmjiVTtRTTUgOcGZXJ3JZq+gmOrFxpn
0WrctH1oA/dnFBfNTm2l/EhuVb/muYZBAn3XSTuRw7rmqhDL8Vd+GwOC+YzTRBbLadxl4RgLDGPE
IizBr2sdQRdYiHUXVMXfmyAyEyAu+Yqyl3HQ4uxBJPfFAfdKxH3LHHVaNi54cvV4k1gmSl5TNSAs
zVt8pgzavGWBChm0x1FpOkvM3n4sBrDdU55G9OtDpGOJ7tqPtZ1/7dfQilgPYVDOO0VGAeM/VnLG
VBX7fSUH5QbBS002YQhpOvnNP6c2u1ABelZm9lEN8LxT18XVMWmOYT9E4HpSvz94WdkfxBke6NWd
WVZH9nOVsRXBUzOhrotbnnaJ5dg6OFmQbHLH8Snad5Mx54jTQZr0D3xZJqfbIPnLSnpg3zkuwyWM
OKuN1O/WgAp4KhtHkKT5gSR+SoaL+rLO9nhRjLKNjVc8pPcpUBCUctZN4uJ92KpR8AOoUb1IBz+Z
j9On53YwfVxUkYwiC/Y50CI3LSs9/rWqoywdlnf1JWtNXLbLDaVp7UULEaEbcrxEDEyIX2rT3ruq
k1+aeIA1X7s7psDoObdOljVGe36UaC/OxMEey6FCrbPeZVWsbERf6bRUiFQP4I/YNlN4eoSmAML7
c6Mt9ua3pjvt0sW++zNWdIkIuH9LF1Oouyr3ht3tgHcMqgNxskmSWt1ompcDWfgMubYtn0fUdMc7
I+z002h22JEmxUGbWqILP9JiJ9f9QbSYY371t5kcrIZQ7mAJ/d0nQqjhvCvNAFCIHG/5EWpyuuzQ
tLzTUpPtVz54b4mWajB2gmEHYi19UUocDKf+zHUzFAnDcElmzn/TILzPsMd1TnqSmmdFr5/Mqd8g
QbKKnB4NUwkge6YOPrB0t+iVYdf2nfmQalnwVGcrkXjSK0U0RP5I921/GhGNeArzkICc8loizEOq
N3T85f9+pTSZkvaXV4q50YIiZ6usHExzeuV+S9b2WpfmTjpqH4nP+2Lpsr0XB8kew1UxoG5x69P9
esCUj0T4NSaN4Qzw5hmfV4nYL00Rb8hDOgO4hUp8UT+AOEUpuXVIjE6HwcDCBxP3463LDCoZHD6u
1IWa6dcwxLSilSlX9lz0aV2kYCLtFCvZwTUp76sEQGDhPBYmUHdTy6noTs181MtNVGPIKJrhkFIP
zPIatQRGG9RxTxCwDqKF8Uf26BnXC0VPYrYbNwyte88JvoUypqyJSdK50TFRECWwYdqAfOmTp77o
z7hbnwROBRP1qdb25bpGs4ed0alwZiTvrYmS6LlqW2mpqD6flMFzD+YoYxpmRPKbPHp3stKY3/8M
jbDt2+lTqFG07QJfg25tlz4Emaz1j+hY+kf8XrO9LPvwcWL/aBoFsrxiVLQ7uz+y2dPvJATp5Jno
c1rDP5bYN881f0iXv12H+bu1jnEU2he+H5+0sX4fLUd+Dk2WaXpCckw0yxyuoxX5uCdPo8jHo7Jt
d+76GoweJxYCEJtF05OKV0BFzcn0SuXZjyqMiY0fDYRCgH2agdJgERxyU3kVXzHRRW1ux/42OMHj
tvZepF/0IaPOKTZkmOygO6yQS7rt1G7bMjGqFiSUvuzXJFfO7nolsLfO6DL71M0QbosA/YRextlA
tSm5T85t08FL8oqCIWcjjnPMds7i1iXORJiIEE1xkGsLizU0uddU3TH78WBbqq6lLbMsCF5NWCVY
vQ0YcnSe++wMCJ+0wavsGsi/Aqyci6bqJPrCMuUEWQdGM+wV2lRxkUwJ39zK/CtSIAB6pttvwWUl
T7Uf78q4Hd5FfzD1q7r8r/0Wc88Wd4kRgW/Kob3pREvRFDVRUQ0VA7ey6a2vGetNPsp3UiVrB9jh
2YqPHzTAqXk7OJ9NbMSSmVHg7ypGPXIfmMpPw2WB8doY3Ll5oR1CDH6WXq+nS23U7EPPNhyp2a7A
4RyX5QC5uF1LZvIpxyBN6YPiTY8kfR2qcb2Cf5e/Fap+CPiyP9i671wvH6ewL5cneIOLfpZKkyVA
uA8KW/oN/qBlOdYiCaBkAX9gJaCcqlHh7wBoYkjh3Bm4YqzsxotOVvMU9K5lY0/DMsGn2LjoA1zX
25AClugzEHs4qVBrmuyPsNR4jTp2PlDjJeeMo9hIci+bK04qLZAHCVaITvsPslO402AxYR/c1jz9
7y8EdOkvXwiVLTwQKVNWcAcz2FX++YWwEiktJi2u99zV23nC+msHGQt7Gy1QOF7PTdcwdq2VI2Dg
m/rcEEPXADF0PZQGHmcdcD+Kn8Ua4aP4mojOp6bNs7kUWy5Qyfk6kyqkwiYolNlmv0bDNsnODq+q
wC8IPIM4a6rmqbSa4O7Wf4NCdH8PiniBibiFOXL3BBPikuFTMqJn8xShxmK1yfiqKjHvVJBgJ+KV
w6vTYRrgkOM9RqiDiTAJ1f1D0kvqXCx4WF3IK9dQIAtMSyLRd1sJfalo3IK/LKe+NG935juFks7n
ncXySu3bPbKL9gnzZ6RHqEsmQXdWwFu/6CXWbXoY13scAJy9hKTgcvJ4eYUacgwqEvyNSBCnCH5f
XL6lMwVi5kmH1QVeUt7y1R5eNagWm2rAcFg0RZgKlAmlrzadZe4Ao49CyP3tWfaG5KnN8Wm8Pswa
8PGNBhtuJkLEoZ4efIDwT02Xydtb/y1W3PP60khGdr1fmA0g/EckXNikRhcy0aC5K8NZQocIL+Kg
JsE7xlLDTrTcTrHv3ehVNMQ1vuVi1Vk7FWAZrvm3+yBAJv/HEsuYUIN/LLFUwIQOWRlARtqUlvuy
a4n6qEpw4MjhGk/yp0PqH3De9Q49lN55xOYDiVojrRai89+GxUCdG29Vpec7sdGsnVNjeu1FNCJE
Sheqa/tr0ZT6RjnIbn+5bnKjSP5RZJa3b0vb2AyKEaBB2hvdInTwY9KKPFt05WBuirB5Cdj6LDOk
ABb1ODpQyDsFO5RRe7HRBNiKPnNKF4SDRC3OLdaiNQ56M2HtwDZ1bc4MiBI9kn6uo59tf0SBhJ0x
jkXpSoZ9J/j5D27W+GdK1bDFve5BRJQoA80zFGruRBNQur3tpkSPaCood8ErDbp1rI/pPtcxXGa1
dASDPhxH+BkqcEGY+l4jwXi2m9RciCE0Vd7hyuubwUFq0PM8H2WotF3gI6pcfAvR7ZHkzgWYPy4i
01k49WWurR4ksWy3IsXhGxlQSo/9e8NXKZtMh6qgviT62fTdi9YYyEvq2M7OxgP7fkTGSEwdVeaN
qxbXm7VSIm7e1CHMitQ913FfHQRkrVbT6M6fWITmNKWLg5S45yiyqoNo3SIE5E1c9XkPERF42Oxo
vPGz27woJjtVqbB2dL9/6RZNmMP+gVSVaNymTDE/ijG3+X6bLMVZoR/ayi5RteJjldsh6gfU6iAa
VYBhQqM7yEoGWMaOe/J9fsAv1QifG1+flJKL7K8iqe+dWHd/mvVHm8JYx9EhX2YgCL9XtfKeYiT+
BsnTg37ua9tcZUOtTsoKaDlZh9CqrUNg4PWQKtHZjlJtXPhTnxhI7QfTZw3YytK0Ae+9cJ62Kh51
n6m5PsXSz2kPPAVn2/P1b58nsRdeexCMuQ3VinWS/Dbawc+zD0h3NgjElaQWG0PCWXPqdBQQnAvU
avNV2lnBOQgNY5vLfQChqYbVV+kG7rFy5KzE4oDZpzyHwymW7HUBiG1/m/8sfhsr1nvJ/Dr1tdWl
9m0J40Vgll0QxY/Evyqu3nxgbZ8g/UOxB2XYamvJubbEh7l4txLE26eIrFGCRV2W0QGeEn5orp7P
o8JS7yQ746NrO8YuZ+e6K6eDaN4OZSGvkabz725djRmhZjyUwfislFWzJuG9JPnmH1Wqkfc9lex7
WwpNtlSjtW4tXXJnaK3h0lGY8lwM61Ng0PshOw+PQmYRru0AnSit1Zx1GJfw+ZM03cdRjS0e4qLn
Vtf1eWW41kthIfczGumPPNJmlgOMbzZ6w0Yqyv4jksBSqE3lLgaS4jOkAsqHTMLdXVXNc1zZxUMW
NsESI5sIc2EGtaC2Tq7krMSg6PKUVEK0IM9hoBAhyXG3MzykNBJIyjl5mvgpDrX4MBZYPOZISSHf
VskJqk6UQ/yY4oqsI4s5E6eiUxyiafh6JqsGToEpxZdbjGgy3ZprW++lLRwn1Zr1ehls/SB87bPe
OblF4pza6axQA1yuohwT+KmJMypu7HjHzti9WPPIDZhW7H54VVUqZ731gtIvTgR9XqFniwhBoofj
M1LEMg+uGl7EwZOeYPy69xJJ50ttpP1OGcr327hW6vayy3t1IfpUGTG0rA9ZKFgAzNYx4jJD5+V/
QcA1US5Ts33QydZRUYZuzpOC+ec/I3IP08Mu1181tmcXj/wnlmbqk2iFhvdbaxpjpUHJeYrMFGl5
a01jA/y2HwlJ3F2cNeF9A2bu+r4VMUl/uNbGdbkugMdp1e5cdHh4SZPjUCvSs2FXc+iq7aMrVe1F
VtK7OM6kZzRY+j0akcqsm6LCvLPWGGnmSzEahyixoMkLuhg+7EzcWkW/8l6pm982By1Oc+vSxXRd
vPHI3CVr2PCo+ELc3aNjcmkSa5yUhoN42ZqUepXOri7iQL302OeZAZm9OhkiA1dWVMj8oCZ5Py3+
rp3xYGTrVqWUitwPnzBTYm+GP+k9TJ0UKKzUnUL/TvTcum+hvmIk92IgTpR+CpVxolkjhm3omyBD
xoEceTUDXRpjAbFCMdf9YSUIMCpmXT8ZsQNkX2lGtGLQ/rSkGWbNLBKxSptAPlocbB2kXp5kzyq3
rWf/1q+jBnzIxuwj8RLtwscHrW3NeRSZlmwiTQZdfhGt0LVeoXG617yMShJ03jZFthWDrVc7Cwpx
8Vo0A82s12FgqQtxN3MoBxRwJeQbMOFZtUoWktJ0qBW7pbGXdSorSFDAvXdr/4N379wqkfeka3zA
cjXBiTHIisMwVbjYTa+rUsIlLtawXY/i5gGPSGnd+MOwAYXUXuLRbmYiJIzItoACeY/RL1yMrQ94
TU3a/8iB6/+ymLRky1IQFuXx0XBu+iNfp4Hr9DBRi98ny1yk1Jt7RcMjParVaJtXERRa6h0X0Zdb
uCNFRdysRVMMjJr19apeUjZoZdbSg2G2M1zN7d5JoDA2txOwFdhsyp66JBsFJMDS6monDm5iFKvM
kP8aJana4YfX5zPVUtGTmQ4iRDT1tOY6cXq7+LdrxH36oXz7j92rAHdkv6GfVBS7ZNg/4KBBpv7j
91WVcuV3ida9qW2arBKURWZCqUmZFhXiDNF5PuuBXF/KwArvRB/SKdahKwwGqANUa0vCzUp0NlFg
YyejWfuoRWvFzTw2o6Zy+nLWqrF67es/z/7/4zq1XNWGN65FndIAEDzzdRJrYlssmp4eRjtR1BTN
SO/D35pi9BZ8u7bO8Fb8EnxrejgJ8DWTXKSKFWty7slO9hBtkgnJIQ7k6xE6QIxtTQLWf4hHJz2Z
FhYJqlx8lNEgoTKS1pgNt+omj9hE+raOnG+mabMQdd7vkYuM1FB+N6NGmiUYiG9zhSnZhFo7s/s4
fUXZVVpKfq+sRTPtrUcps9JzqlKMA5131BwteQ3irNr4UgPVQDTDEa3Izh0OXdgOz1r6A+++9LWL
03Sn6fb0ZHNrmAbBIrPlaitGUR2eO35aAhiVe7YT/ATiZnKCb7X4Ca5N3XnM7DY9N05aXKrWOCYe
LrCGEQZ3DcC6RdlbBiUN3CuDcMLIRkXwwcvxFtgZ0jJyqN2ZgeKvEDgu323rQ6ot/+PLhcibvfzv
5181p2r/78+/ZpnmZMimGiqidQho/jlfjBqzpuSYybPZsxZ5RixcX1XI6g4rL15gguzu0FVxd35b
nH1MS/D/oSX6qaxZQnXlVxs2DZl3YGCbrtOTu8HENi31deyrLLVRZhZCoHdaa/SXojDz+wwXZ4TS
h4voQpizXbVSij7PFCEGdNV5MEssSkWXBTlnX/njk2iJQ+8qOeQusipY3jo4r8FbslC0WmeNOy77
EKgki0wf1nQd7w3ACC99ACrBToYnkHTeXRFa4dxvW/iZgJ1wNEPYbSFe4usrL17loM7Wul7uvEZW
ZwafpXXojNVJp+h1PeQRvGU9NuLfBvwpRFxhTVeI4DQ3PxTNNefop8GPa3GS2MkOFiz151kpRkSb
Qi9OzbZtfetzB8D3FCj18rGWzfsveQDRvPUFA5pZFfTyKYWQ8Tk63FIGteoVVNkQDfXt1N/CAJGe
vdB915n7T6LV1KdYzzCGVN3kLFv+ibKT9Kw2SF/KSGXNSwPReEhKGIGQaq060KkXCDjphbk6PFf8
QfxINh6kkEPhI5nh5GGxE31J7qyzGoK4G+btTnKlZoeBaIvbr2rns1tbnN1i7ClaNNn2HX2SzGqr
9JvrJs4nebH13fxJwCgEcEKc6ahFIFvngDQfcjZ7HqnkW5yRwQCrpHBkeaDoJyUwjLlZsoLSpqY4
yLVnnBCrOE+I3u1QGgG6ZW3kHrBhm30JCwuEZ6/sOBl/uR2SGf5JHNA3iY72cC8aZANJO5NZfs4a
FTmmsUv0mRixgqn4pCukbadLHR6mnV2HB2ac8NJX1izOuvhetHIzSqhfBNNsFF7EIYkpcSGTVbC8
+LsPz1LW8rk9T6LWP6Tl8L1yW+0pMnNbtHLs2p9CafytRc3t2qoSFU9lpP5vkS2kqAWp12Th5Rh1
Gn4ob8VZ3fXj9Uz0wcPUZnKH+CN+B8XWmhwytExxKbdZDTTs67miw1NMwjidWdS87+xiGO76pIn3
qu3Cx5MG/Imx+17iFOZdMMqDCJ769VNqFBYaftQt+jb4EbKf/GakCo9zjyVhOFlgtwFbiqosZxZ2
OR70jmafFJL9YfrVT9es7dfUyZyZnivJUwZLbOHakJH+94T6D+aurYGoYvPIpMpkyvAXeFVkun7a
FZX15Nco6olPb5c3yFp2YbwV6etegqmaoxGyFZ9eMZoE1a9RWYl/jd6uFaMI0N01aoaA179cL24n
LvBVEMZGWaoDeso9uJbaT5F0+4M+YDZA7tkMtwiqiSSWHTrdXleDas5+uXvK0XCZe47ZPels2ich
E0lSTzquKS/odIzb3kIAVzTJFMpL29MGJklGTc8CSl/UxWGslezFMPCcHooYd5HaWXoYFGzg/hST
KIT51IzGRWwEh3r0ZzaA54cQzZJN5cnF2qtD60lqtUsAVWrjGb6+0fpii41n+mZIQPMRXFMO+Puq
O99RjaWD5uZzUpnPIsv9GZpU6a9Qq3Xh7U6httO/ZF0uLWBMWkKSEafDGO5UmDW72vFZ0zWDZx9U
SrAHre7sDzVBt52X8kPWih+W35tvWp6gjp644wusNSiRptk+9RYkjMRRm4c4TIdF0ZCkkKW6XdqF
r5/SFD1lgMHob5e5vO4bJMPNTrc2qtQ7+JZbyVaTsv7O6jp5ZxdFthlMyIBI8Qfrps+tYx4a0tK0
kdxXgQVTAuyaSxpm8SIM7PqxKlX28vh54jY6uS4lvfIaWLh3VXknvVvj+Mr/pPzGAuBgjYX1w+iS
ld5k/tajaLMpOv47rZ7GpyEbinOaFx99qClviqfLCww4im1UQYRU4m4m+hOkUdcl2DbUqS35zfeM
zSQT8dg1p56X+250BpypoUrDlKqCOUWt6JteNDO/iJofQ2F7SJA1+VPgxt5KNSRtVxepd7CRjFui
pu+9RJ353Dlj80OKwlXTGPrKzEJ1M7CnmWda1FySzNVWWiO3Ows0KxOihyhk6ecPWGIzXfpa8mEU
40rJy3oXZQEmyHhd7ij8W9eDaJpU41iDGD7SNQwoFrY7M3EqY0MxzSJccz11plOtHtNdFPx2GxFs
B9gBWHIW36mSUy36Ti6PrhzgU2ZikO6BWnwE8JjywdHTH5r/1o3++C3lwzzvy1Q+q8WIul6o2xtd
8tR7ybd59Qqr+Ki8ci6uSW37Z6PK2VOe6NGq4dHbGRrMbEnBfUVRkNbO3FLmsxgmW2bDh0CsPqaD
Nq1SRH/ZjA/eZ9etn6rkg2h1rgopIg6q6z3+zz5xE/Ev9G38mmjABMzANhaQhbzHpi2qY53Y96oU
+o+iC4GQbUUx+YTDrf9oO2UCgTKQ12IwNGwM2EOKAaLpqAP5OHOtWzJGaFXfLqHXHbV4rE9mLdUP
tR/svDgijaW08QZNUG3ZTlktqNPhrFWd6lRoWvOgNt5vYc0A0jJxXrTIGjY5abrE6UDxqoVd7nsD
7Jo4iGYSDfz9DCNFjdTU7pHM9e7DYAs1l3yl6JI6412TnfpX32jyogMDKJZilFVGvvvf3xPyDH8u
0G0IIzYoT0qrvJyKIn8B4BSoeI1ZmOJHWfsUY1bMtfm2Q3HXJO92LqYP+eg4a2ibv1rT2K01jYnI
evqs939E/vM6EVlN9/z8Fz6vC/ArWnclPoZu61JOcZuO8oqzl6sWzKRtDkfRIw4DoKi1FGKs+GWg
MjHhvSaKbTuRF/gsbf3IgMkwldx4wbMjGmIb0RIHHROTNRNFOVcMH7XktrabeevYw9rHR3EEtwQH
sHFO1hC420ALz0EaOifRJc6kgHJN440SX4y/B8hulas08YZjiEGsnozqvTetWoekyLFqlApgJ/ia
+koo71g/RLMhUT9K8ryPgWL/QA/UfyqVtlsNqYvlnBsZR1TBfRDDXnWXZ52zJBsFe6s2Llae5A9R
nq6jxMxezLQL90ZDblA0e/CKzFpGvSr7NH8ZRjXAHXVrZnlzRL0+WZCTUsHfZyaveWdkR69cjkoF
ZLTCypalRL1sE0iw62Ec/4Ik2M2GCNVLMtP2U5OrF41i67cE5yBWwlBCgAaZm1ijkv4vEWQ3M+RU
FXUNkUdZjXlNUUNNkgN74HyJpHnyzLfsO0QR94eqvjV1U93HMIv1jWuVHlun3CB7Exv3XZwp25BM
yRLShfEq59LKx5r5myLhjisi+Onl7UQ6W1om5SvEsqq5n0QswSfILyn1Zh6X7JXVHJALmFPsc7vd
FSLn+o23D4Z+38seht9IgM9qqYIPOunwRUOn/vQUPPFQ2Poo4QXPWqCwL3ZepMjkxtHj0AYK5sW5
fB8HDhbPQMcPaI6i1l4DZRmC1t+5vZFtMjuzD6Qb41WIr8iZvxiiDBoF5cFLzGrFGnw8aAVSzZma
aXeeLA2vaC3Prbx3yJm75aGHf4BhCf26W40Lze8Jmyauvuh/C5OjwpjV0wwmDSl3q41fYVEExTty
fvJpj150foWIKJRvHnIHy9i0/X0d4lwRKxEmIRD0PhSURzzZ/BbIcoZcbeSAjHLUbYWfCD+sWrxE
WXJMzMj8lsTxj1TqykerKPL/WvoaX5gFTFWOoumqQjpNNnTobn/mEuoeQeW4yYYn0DrOpdSfba1h
4kUuY2u0DoyBOCrekiDEbgfF7VPbFdq5VxWkNeiPxmjZDujlwcOYa6jK3YmNiGgi6fh7U4yaWb0r
gvzsjHa8d5WgW/lln19iBMvmPdmONy0Zz4HA5Tr2XY668M/KzP/Shth+kaB4Cn21O4o/P2vU+XaS
XFG8afLh3bfSC2qU6kM59fuA8Reerg3v7b4I3QwHclLvYkefRaO8wgnNm4v9vsgLUODqD4GaG3dm
bOn12sjkdFYYWrhGloqVJcRxapV2Wv5KplsdeoW12+6tMEWE0Mf7ay/arpd1e6838Apz+/DrgAgx
88kSQATWTtmjLt0/1bp5L5CEAnsIyz3eT10SpIGzn1sxEhN2t4BUKR9sC6FtS542Q7KcIwES9N/r
AOaq6hk/Lbu4hK4tvSIoYMyjsFTu8VFD/BpFC8qXf18euGDGxOX85q6Xm4an/ywD/F60wTs1uttt
rKBPTxW0glnmmekrSof1yrbMZI3GWvrqW+YbPibdfVCMwYMDbVZ0D05qbxBPQOJnuggtX3zZVaxr
dF+uXwI0xDQ3eXWy3NxRJcZJb2r20vAA/+aE2PPwnpbuETfvAkX0Ot51itbi3k6/h4UHoLriUUMz
M8VIbCbH+Uqva5bgrOT3gMd/P9z6ZKvulnpWajMRchsQTZCiOKVSl1ikXTUsejWJz06B3RHLDZkP
ZYD6V5gUe68YsruIZeE2Abmw03hBN1rYNGiEJMpK9lob+PKIOn4S9pc4dtx5bqfVU1Rn7qxXlOYV
fyhEusNB+0t1pxpwnv0o82qF8xtSx6Oxtg2wqOgNI8+NNbc3QzcaRxWr/tZ4wYPWjmn4swVMcScq
Zn1FXcBtorM8VdMyO8BMHusmMUZF5zqmTaT4zzFRk/vndWi8+4u2S9Ure8DRA+T1M5wjBAITbiyK
uLkPOWuiGtSeJa30Ls6BuvJENg+O7N2xjPd+wlS8wyw9eCMXgq0OPg7H2Im1rYy0zSoJVevBLqli
B0iz/AjNOW+/9b1UCnk2qql0sZUxW9csBra9h1ySV7DeLNR4eMsKbxc4cX2o5EhbW2TyZiQ+vZ9A
TpNU135Kef2WUVx+sRqMLQq7GU+alQ8b3DDzO81t9FUkxf4OpZRgFfuVstNKJTjIdREvAX1FL1oX
P6MD0PwA5bJCRtv/a4jQ7cjNwb+HGJGgCpz6G69stbPlRz7bYtX4sLp3lszQDeJU6w6BoCmYfd7t
pvpkN/EVxACIoF9nujL06BtkOF8MhnnfdvVbmTv9a2sPw8pKdXKNEy6rVvSF3EjO4xB3BWr+WTCX
az14bbIQuBqPx0Y0nRGrsMrrLqVb12fsgh/UKcrJtHiT1AOiNFOT5B2ZT8n/lhpdc6SewK8ih4x0
A0mNwWBRaQ7I5X+CrVADXEhITp1El5VauCfG/ppagbaLox7ChWc5+AFUzAxyjLGf0jSPEe7CMxT5
uvfay88hTwcudtIyiqLMn6Vhjulw633gdAyx3wv0J3k8XhcGUvSNifrZrXXtJa+VcdMkqb8UTcdp
m7kk8aZdR/lvdalnHv/3Ot38x7fP1DQSxCoIfsWR/8HwVroRirRZSI+dkypgmzRtPhRje5K7JJp0
ULG1tP3s0c0mA0Y1sb7n4ALR+9b+usUO8BrvhujIsoDwIE8fc4ThZ3mmmbfwREaRStw6huC6vcZO
tzYmNknl1ur8StROxwZIfRzvajK+P8pa2fZNFr3XVavPgzpM79EGVzcZ+w6k8pXw3oM1ioVX5r0n
MLI9FuXiorazIrKg4DRGcBPqNBPkRhI8Wl44U6fqPE4bwWPUUfydZhAx9tkaovHr2HTd/6PtvJob
x9G2/YtYxRxOReVgS7a73Z4TVkfmnPnr34uQp+XV7szO1lffCYsAHoC0LJHAgzuAcrH+i6wMkLn7
hRKMEw0NAxk4HZL796JGpG88HTih9aKxtbuMseYsXnGzWQAxizcAxeqDLfdwM8Vp1bId2cyHa0um
jw7ytnM5qdmJnEbb9VMDJKk5nQTORcBhxNkdJuau2PfI/5dTY+pbKFJoA7X4oQ3spz1bisqk0+7a
gyKV1hH7kW5VI63xCakSfzGvgn6mBcY+OYYIc6dUCulkRe1a1ljzi0517POzDGztk5UUTPWTR1Ut
gh9t369steZXUvoo/o+AYWD3fbWw2viC+WjtwmUxnuQxhhYbh+apiXRpC/9Q3sVyHJwM4AJrfeql
vRPonwMs8VYJIJsjKTrnAD40WkvYOL/g5ADfCJr+Tw94M0YOPyvweOA9uuhTHzvGKnSq904kwsNr
J5at5e9Oo0AKVEh1VYkaXjtF85XmZdP1Sp4q9S+yZ7JFAgBo0+lOusoAdoafp8b/qhi2cuy1ONpP
ReQw2SXLWCPsv6rRmN3qcw6y1OR8YZSjc81BIi+Fz0M44Xlh4FUMflOSFPNL0f2qZ5x70zbDuiKf
srWNyJqr8QXOz74ef0mt1EMeDa5uXauvyBh6D6JKHETRSZM1iffoeFev16rqtmmPW/P4hFXZeAhm
AUR2QCATz2e3g6iL/a7YxtmRJ5TdsW6Tn7N4BhwnnnFUZgqqZYKnVe3MPKoz4lm0jq1sHCvnGX/S
eqemsfYaT86aTTrzWR6s4FIF/XMyk8ByvXa2ShqbS2lStZXUogeUF1W27cm/L8WvVrHHbOuMdnst
itYUh1BPGTdG0fwy5qXZAFB/TRrHpIqiFCmnEvznk5f/0EZLOtbOaJ3EBDdQ1qEll6frnFe1zWYi
O692S5LTTGdi1N16OUI9rQ5AVzMlY5XpI/8eBMciCtJnY4o+1k+s+obMSJ/neKNNnTddPSYjCH/M
bLJPcYuxhbijMC12TP3tZa918tacDP4BaTCbOTb2Ccfy/BPGgiuxzsT8otil5IfdPlbb53EIik1h
a9FabBR6caot0lh3jjEf2WsWnQtZGT+DPnu5gmDAemnLSZPkNXNja596rXSyu4blZdTg8dLEZ3/O
dXZRsTfTzHjr4wHLEuZlj6UXejtHqutN6Dv6U5Il6sIGq/KjUdd6XP/K4Dq8ZfkTyWCcvX+fSNJ9
zccmLJwzbEM+xGRlY73JkPvElgPYl3mPyCLdOn+dspotIzVU/LVo7aBJlvn4zcaYaGSt7vHvRPA7
bx4SDIGPrZGHaK/V1ttsv1cnjfI9zVu8qZR4uiRMkgACmvY6CXvnU9p0LyKiSkMWrGHyqSkSfMzt
LNwpSVs+tXPyTURYCE8URjeeCp5py2bWG6nmQy9DppEDrEBsJRhZ15sRlZapuUlrRZ/SIXzQVGwa
xcsnp0SH4iy+xnPbrYTfyIfS736exxfx79/+jmz9+/t/htuw86OwUffvWkiaIdUSdsPjy+TsK0np
212YgklyHL1bdnlkHgQxQpz5rccCSIfjtIxqD8cjbGHWbYbsD+QUePjkJg6lPtjsnssvsRU7K5NH
1WbU8agxvYys8AwtFiDjaNa4aXL0iUoIayGiRgeTJ+tnS3c+Z3asPoqS7A8LLYte4pCsjWJm3p7n
drX0M8t4g3H9wwIodymcWnqIp25YpDDMHkZHKslBDJeg6WrIf+0PA6Xat4rMGtiFbnyNNCT1wyo5
x6PfP+QRLPTQtvOHCinybaT09a5idYpTsrQa27J7HlR5OiZh+4cyqd0zJkaqG2GCsDYddhUK3nU/
HLPGjAe0UaxE0rb0mm/4O2tPqZ4WfB6+tuwVp/qq8GvP1MJ6xQ/a21i6mW3MsmgvgVmcEqC8b5jw
LcW+ktzAoBv7PDhbUXnppSDaDUNoHrwMLoo48PoEoZiXyK3NPKGZV9X9whVcRuIJ3o/zJcg9hDY1
uTrY1tg8siXGq7TFnEAzBrxwY09/rHg6ub2HsYvdgyhYwNpGtamNrSfbkx81YHBfFQAzi7zIs4Vn
FQULnnGdy/ZrYGTdNzy380XZz7YCUxttzEpWXJ4A/atjmnjo6UH33YcOX/llHyxa7aXLdOeX0UkX
FsXbht355WjBWBhj1W0arJX7NLA3sd44h3yoh61pS3tvwkVeGWGxJzXWrKCrX6esHdYduLh17rWs
wLPmUS3A79WADr+1cX+22Wz9yZYTORvLcX0vsNfIBWF9DixGsP0I+JMWmI1TB20hOQ5+EF3EoSxl
5SDFQPjmqljC6T5MbWOFy6ty6q0R/kFffBns4owXU/ECrPZFqZzkEREl+VMuKZ9zX7Ee1KioT6NR
nSECAOlPo4gl3M9IbrOjHPpPDrzunW+loQ4RO9ePEgloZzUFZvrWm2SNC/xb16IojeajXbA8NNWu
f2jNZsD4J8vedCkKl5XcBgfVaU/ANG3wz6iICRpN4HBWotkUF1j8pGP/Xi8aY5KYpGvmEFFGbewP
ycqzZeeNn9gZyR7LJPrE7KR+GIeIX9LUK/hm1d1nPHeiBdDwdEOS5Afv3f6S2p12GgZrayR6ELoI
apHQ04Ggz43y6PUX7AGtfTHF39hjJKJHIWHnhOiSXcshirhYG6m4+gxZtyrILH9mGtOugN7zWpuL
pmY6ruwo7S5Dn3kdOsXo9k0tIf9iatnhemrpLcskZly228+1sc8LylYlN+gfij5w9ph4nssxMh7t
tNmw+lzpjvYj7xVmeFHzrdeN7jw1aeGquV2tq/BtqgD6Rqx0xjaqf/X6c4+X36c6Dpxj6U1wh8sE
WkXcQiLBmOGMhJ+3lfswXRT8nM+p1BbnbD6zdOWc8tDHiZ4q0djldbrpe813RRFwU/ogKdW3mC3h
vLaMFywnuh3OkhXu4xSt0J/IvMVfIykzX9AW7p/SNneTuVTkMDZDv2tXgzxIx2k+gCZ7P0tirdt0
gfn1VnULu8U6MIrZ2uDqv3taZn0Axfur9Ap7P5R1tLNbz4ESOqTbUFf8Ux+GNX5xWvzAViKm9YVW
Pk52Za2cFGmPvvfPDm/mbZ7m6QE94mYf8PPftmFuHzWUUtfqKE+PQ9nkKw/wx1M7xUhP6738UiSX
qjJAHdhTekHXGrMUvapwfHeaxzFsQ/JeSfWmetlJLvmlxwnYAiWr/4iqVnNB6qVnjW3XLUAqedsV
beyWuQrdjizqTjEZrTek+ZXRl5gzaspXk4WFKlfmTxTznxXmEDhsy/K516QV4iLFLx1SWcCz8M3v
uMM+iPOzkYXtthqbB5uf0iZW7X4zGGBlZAursMIM1FfZqL+pZhr9yswTKE0EFvgxn032nt+sQCvc
slPqJ+Re2nWZNPnRHqqDE7En6PlSfYZh1OJeyE5AielzkFfJTzlgmeVkzEkwbs3W0AvzwzRpxkkF
R7IMnF75os+eFkzC2ah0FB7Z61o2S4yJDWwhbbnck6a0nrK6/wm3ggclu/asiGvzktZtdNBCHyW/
tBsxTJuXL4bxLVIKH1pGM26VoGk3ps8UCcmiSwtK97sDTG6hZOn4NKZ6D8K8ktdV1rWvpCfYICEi
nCfOdpmnF7Wvc3AA9RazpGRnTY65U6YoP/K/jDej3JiPjl46y7Cf5aqGyNmOajgeswI4/hA63ouh
6/XZqoZ9DDO113os2tju9YcmOYUI8G3YQW5WAtzl81ku8WEpdwL61SJsDlLEbhC1AvpVt/aiRdP0
RZa77EnGqUErGuNgVF3ianrX79pW8XESVLI3iBg/2XUZzqUDtSPXgh/h/Mw1YmdRdBIudSp52NGR
zR0eh3gpdnH25Ku9Q76yrb+buOOgUqz8xP/1ZymH1qdS1qeVosRv9lgVyzzTnHM6HyDY4+wX8UX1
TEmVFiSCsGuqcH/H9885i0DHMfWNHekYp/6uQ9kNfovBg2UeRYQlxmCe7evY18ESU9n4oBq6fnod
JT9Y2XmRnSSfBCD8QObPHRbuTuT8YcV464Qa6+ugfp40bTaDUBGsdWC5V97ecmzlhOWr5k7oawM9
QRTfSWp1l3XJ+FjMh3CbjWm2ZnEcbgtWCkvdbNVX5E6/atUw/GJ/bgKpzESF1XYlJemibpx81ZP7
5nGZ+NMeh3Q30CXjMvAc2cqjFC3x+VE+mZFvbb0Yy0W+8vxeleQLQJhkOdk1Ey65GI+TB3ok1Qxr
jW/ZgB5QnK9tebSOedm2mMg27bORW+lW1N0OSm3/GVLbKnk1C/gXsxEUCev61a77epFZevi5Q9R9
2aWGdo6dgCUqWAjw3JtIm6AIQEgA34MQZK+W2ACFzamvNJaAZKieMUY2FpCyh52oU1LNXHQ4Ii9g
cJ2x3bJ+sheFC4LbeL795GvMkkNV/ipLEtaJej7tdQmmyQLXtkU4zqmJUuqZCMZfpDpM3no5ALAO
HGgGLtskwIM9qPQOmTPNxFDWno2XceIMQjYk/TQ8ysWQ7cIp4/dQyNKytCaVrT3Hexqt/sk3/RPc
aD9AHEgiwRK3GMtV+YV8GpRkXGLgsTXQxk1mTVBqq09mPkangbwGqZCm+hQXuf3gxPoL3x/zZcJB
cqaD/8kQx80su7JoBR+sZBW3LDs2gAVBXNRFZe09NMV3UTCDQF7lVo+Jp1VN5xhprIWmNAPMBG06
X+tQ+9ioCTaGoigaWC2gkSKhAUOnoo8wJzYyJsCzRtrgWOWxbZP3s0Qr4hWykQYyXxi1sQ9LzPWU
JxHfq0Tu1kjmo4toIDkpyVC7U8XxTuLA18DZtTCtNLRFTkZl8gJIo0tTYqEj5zwWmcFaF2UaEEfh
k9kZlWFdRF1j53s1rqdtHtkqAlMwu9rEZBd+QA1OztBUKccHdp20szyOhqthz3gJuOvNaI3JVmJp
War+BBttnFMIjyBYl50h67ymQW46hQoXJ9LfOkh9p6D7MWo5G63tWKyx7IqxPYqtfe3VzMXmMyVG
PudaKcri0FgP7PKO664NmxVpU7YoCpiQvZS8eXEQ/4GZwKyIIjWfed4rbhN5/jNYlHClR5X3aMp8
KcL4K4srNuDbCvA+xkIHURQHPL9B1RoO2QF4bTSpg2Xus34p9Yl61uon3KshNmJzDMWcDxhJBJST
ZafCu9FUe/gbihS6xUQ+QI+NZBlOknYRhzKAEshsq10rvvxeVzVty4aNWu6GpNKvcb2iPLChZx7j
3HDWRTTjxC1F3zchmRYHDesXJTDrp77uFzIiuC+61a2cWJYu80Tda2vlVQOxeiRB4F2LRpGmbjT2
0TpVi6hCaxcHjAL5/w0STAl7sfl324tynAP6fs9vDZ+0Rh8uBkoa7ugk08ZwPPsQV9LnIMrjpx6G
pN5W9Ys/jtVLDhqp0BrlofCl6sXResPt0KjmCUsRFxZvo3SkZrzGezByQFVQt7yHLDJ/KBgPv/pp
VO1COWBHyPHjVxO2zErHjRejXVphRKDdGegF6BVasZlA5TaWnmVbl594fwBjoXqwOniLQW4uTBaa
B0uaAAx2hrY1tDpZoiJiwpiKawSbQI/BAzc/paQS8K+wZSzdKRqjrGyKnNe7hHkhKZYA/U5goivR
V3U6f1MoRbu69m0BnfG2J883BzPDq9f5BDJetMYduT99nMprEZgWL6xxkNciOOsT9jcHHTnD+bqy
H2erqiUxdu07DN7SYkN7I4K1rlGXVWB719bErFv0LdJye+0b9my8dWwJiT8hngKMWpsm3mDGszUs
p3vskL5fp+FUHO34APokfJFqt1Pk/kVSrO4lrYbPsKicU65nw7bsIG9K2tA/tg0SdGHnwB2SQvNa
1yhfywk9tWtVh1jBg85msycX6NxGrJgBmgd7u7f7RzFGVoUJmidZuLGzAUfdrGeKF1pL4NPJwfch
fsN6+56RnPpaFAF2EBgWPqaeEW2xft03zYRYnxF/amVM7+Ejq3t8LVC8dgb/tYqbZk2ufVyLVsAD
tcseobMXrblePad13p390NY+t1/rMvW3apDLy6I3KhRDzGpZw1vd1BGbnHhaIIPk4BVrrCLD+vM0
mU91JS1V90PAh1M9VYp1PJI+8I0nDxLmZ5M/79nRgfEOjv9Z49t28ZJ8L0qS0euPkT8+iVI0ZUig
Zv13Uar4o6FvhzhjD2XwearQDrIH9ujEqFEzaWsPZMoyMiXtcfTk94Mu7Syp9x9v1Uz4i33i+Z9E
0K0e02JlFYzsFN81YG0vL0oPtsAtWISQj2Ctg44ZduLvl/M6FoxGpSif4MOvw74Z3+xpdpZuADWP
SiafZJV0F9jppY3WC/z3KnDD2exEHPBVej9LNMPm553xDrdwRhGtyu+zJE+d1dBBKLlrEMGitW8l
/0MrZB/sV8y+JitB7vU6al3bi6SeAO61kIpJsMyOcMiFvR8ipgr7ZD6Is1vDLe7WcBf3D0Juw08A
4uOFGP/WTxRvMbcr/YOQu6Fuff/yLv/yarc7uIXcDV/7MzDvrvnuSrdhbjdzN8wt5H/7PP5ymL+/
kugm7lLpxnLdBuHT7U8Q9bfiX17iL0NuDXcfxP8+1O3PuBvq9oH9T1e7u4P/qe/ffy5/OdTf3yny
DhWzQy13EQhhahfOP0Nx+Jvyhya2ouiVzR6Qote13Opx/rF87fCh23+8gqgUQ11H+W/xt6uKnuIg
s+88rW4tH0f6b+P9t+uzmGHp3euzweXtitdR7z+Hj7X/r9e9XvHjXyKu3sCBMMq+W9/+2ttd3dXd
ivc3+pddRMOHW78NIVqS+V9+Vyca/kHdPwj534cCU98uRxx+Fno01g/tEFirCkS8K4pBN0sG6FkN
codWMFqGK5e2t5TsOlc3SY2pX105zCjnZhE4jD6YOMArR0jq1V7N8Wxaima/W+l64pzA/MKgE1Xd
5CSH0mEWWKiFulFHzVrqbCq58P5cthmAXpKcPlzN3ISvm3Bug7OHpKc4NYYpltybn5tqvXe8Vd2s
4DxPi1A5rpOv+JhLOx3JZzdL03jDnhT5KDnNn0BlbvUyax4QW8qeJLIvR8NpzqJNRJX8cteOWQ1L
aOHZkwhTY6zEApItexGiejJTpIypKaOKgKTIwXDpEWDB+SKi4R9eXbW7s2WoHknU/3BlZ0R5SfW+
+ZlGBi6z+9MEEmtcmGh/nEQZs8nAHRLnvfnWoP8OMXWJkHwgJO/fu4m+4iDinN+jGGUcrHMd8q5S
wGjRqohdAHEqDmQJESm9lT8ExbZ9An05bj70AXn6Z/iHWsQVE9sdNLlHpg8Nf1zezIdOCa0HcZbg
XdF1WXu6q2dCFC6Zn/IduuswNMGxi33UGv4cQ0SIQ8HyFhUos9vc6sRZkFjdFhrkz7t6MUhR24eq
mMy9aBRVVtKvU3nsd6XSG2Am2SfEyMngI7LczKyca71oFPXi7HYAXmceRHESAnji1GYzxaui976i
W62H3jLUqgbPs3RYAwHo3DCaVGeBvl59XpQKSRJMjSS+tUCoSduZwzpy8ubc+3JzrpTC2lud/SKq
bvXIb70YaWOz1iBUHFLgyGtT9zt3nHuKuus1xEi3SnEd2/LH63VEg1xMX9K8qjeCpivO0IG6vPN1
76i7iPA5xeLadj0XnF3B3kUWFrRDs3TQ5QzYw93LjaYl6JrPNtNSKZmce5Jc/ct5o2iV7Ipwr6m6
4dAoqrnw6w7X70h7507HUuvYZDdgR98OWlEj1kk2X1R9CLlnXot2P7KhY38I1SSvF90FERv5gkWI
zj/GaeSsdQ2idJ3Y5iGYQRE4RMp/pDnqQLOTxi0iMBUF0eA+ddXdHegnTgGfr0WlNbuFwn81SIAs
89/YIDSNDpnps3M0ZwD5pTyF7KIiXIksnjggyI5LcdJ0V9G8QuhJz3ENu2HXOKAW/QrVkxrpuKK+
zAoF67CpomWA1HvgghTMgIOk0bL3nOpS9GN1EXXKXNdC6sZyiBztWpRF8904gxw91q3n7zqz7o+d
bHRH/MIlzBbmcoQK/cFWH/I2H7LltYHkE3iAwWq/BZjbsHGvdugv+8XyNkKbRe9j3dUF83ie+nBX
bcqhtJHU4dL+NgP98F55dxGtvMklh6B8eMNcXztsAR6uMaL8oef1JdN7oez6gJ5cGH7o40rsmKZJ
+NrDC9tks9mcOCS/z0ZhKncri+auj6897upFkRV0twH5/6XuW3takPiENeVAYk71UDrdDplXvxd1
H7ttYCJH0Sjqr3072DiuP1XT6taNrLq37IpSca9qtzqEQ2hQPWKAuhaGgICVciVZ9Zs2tqm/bzKr
P2ZRxsI0rMtdNCXlLtYSW37qDXIH8mBnroip5sBYUBVGB2R0y64becgHUWUHau4yGe2RB6kVOXUd
1USveLCmLa855REyq/oozlJ8QNUpbE+3ehXrtmOqGmgXEerIgGoXylAYG4vbhuJH5e1AWo+/BNT3
MpSceWdgbg51PMyV31cTdfV8ySGX2JLharcbCKqsPna1fr3ah/osKUHH4IvXT+puSsJyQ55afnba
FKFKyTN/qNh5BG3af7ObrHcrSP1n73dsqFnTXWxvfam4TFKip+wrbAG0NeJoiVOTTsr8rYZeU39t
Ls2QjCRIh/e6HGJVPpQ47Mw9rp3FOH0wJ/XKwF7Uc0uFjpmyFCOaQ7AVIfdd5rGh1oaovtNDtOZG
uUxUyxrMRzDr2cquERrmX2f+MAN4Ikpcfg3MCF0Po04eyyrG+xczw7UBz+VFxAq5ln+NlbvJYJsG
6IOkVtLCUnglCc5AjesBZJiY4gwjljV01USrYBuIVssG6CBaRd+8ZR9SdjTdqVyPcVydffJFNftJ
ka8nA1+Cn7oVRWs5O1GJ1jTHVabSATTVCiq/TrvQvaR+RKgEBs98dmu41QVzKwgOZWNGsBVEnDj0
qDFfG+Bu/JjY4Zv6nk3UWwdxibuRxCVG1E5QhGZgEXy7djLfFOir+lQCa9IsvViZI3C80ByiN3hQ
2MHIbz4fAJuFIVLDfau8lYYCyKoYn8e8h58nxQk74b7yZmWyxean7J38ZJIxQOQLO3cXo2ZNVu0G
8r3/bFRvUNHGkCT8fZg87ozeNjaK18HMBp+1QD+sO4Zq6L8GxbTzS7L9jR1NL3mZu8MsjAZ/Ln9Q
W2yj/DkK0iJzZxOPGdHqxGrJn8KQolUMCSuvP4rWUJc/DJmNGRvFjGE3+Q+2FBJ2GJwcBL3VPskI
ju9aOzDXmF2Zn6UpfBDv4VtEAvBzV4SWsQ5qA9FlHXWqflFNRrkR8+QpCrWDbmXu3VwZUiUz8EmW
tYMRvbe+14mWsK4+tIwDr5/FdarOhs9Wy+vneLZv1JIEFR293jdyL/UPv4tsivoncZgyawc5ujiZ
En52DJRva8UOn8TBAeBRxGDxRAltC/VU6s1B63QMYNIxHTZp23c8ZOkw8ft/stKkcWf/rU2OFB0m
MY28L5rWOomQUfX6B9OeNrcOqjnFW56gsOpFB0/ODbdBPv0ac73uFD8WeR5cB9GQd3wMRjY+xV1Y
wPCxbfeMhYgVB1DTyRJsU7/W5+EnyS7cAVeEZylZyhE+Knlb98+jX6lu2GN8K+oGELdHUFE/nFnv
VVSVuY5UUCqfrLmqB52+jiuTWeRcLFj0PWnGF9EmwvUIHqmTQtlpZE/fj6n3hnZIf3B8vz+M3gAK
XZyKA493ScLX4nfAfVT5u0XEiKKXN365EGWkzsKVakzddcxbTJpHo+feeotxjWp8v4/rEKJcpNaL
3Ff+5i7ErGXeqL7zKTAqnFRaR9/bnRSCHZxkTsXhVhbtIlI0W0hlvUeKsnmLvDaJUDYkRlfx0RkR
QWIMcXa7JN4Ekub+x6uJSNaoAaqDIBNltR4eLQQGl9GgxCtR7JyAuk4bHjt7shY9GhTruwavT34E
7Lfs7uvzYR8UqXKosioxsVNhkMF+Vseif/BVvwGclFprh5XlBVH7auFVU78TRXGIW/tJ1rvoKEpl
FCmX1hiWGQZCj/lccnTfv0DMvHUpUeE4ta2x9cZ6Cl2nbVAZcNKvCvTv0EXjZeInoiL2J7rPFx70
oF/XYQpOqaxc4D39pbLk4BkiALhK71kctMhsQBAZ3j6Z6+waoOo0SZi7zEV269vHzFf3pe68d1A7
IAwGRoKiCipaurKmDtnYOR7sbXbscuvXLR5qIPAuE3e7OaDsytH1u2DciuLUFC1gNDN0RVGyE+0p
Kz6ncfJ+NVSRStKXprXTkiYGdZNrJG3s2bcMLdGIvyzyl0is41g214W5AYj4VtZ3GkQ5tPoJ8OYA
ESWK4qCFZgSOJveXdw23It4t+jowTDCCnzXFxidn1HysUmw2mwZ07A2Aj8umr6c1u/BI19thcJFD
exGNRfpvraKvjiWPiE00238W/SH33/cXEQHitNeI2xV+X1803sYAFIyWLyB0B6n/tRGg4RVXWOgt
TMg7J1tqVjAzfIQEjP571UT+Ppox1gsR3Zqh5Y6BNpzFoUE19VR4NbL2zXjOTEgeaeSlG3FPSExj
yWBUx2vJZhutloxhEYuP43eruLv0P7QmpMQ+9G3nvv380WVybGzZq/ZhOCVQb+Ki2gMXjJ4GALBP
Q+Am4bzhP9fkcuTszSH7JZquQZXXrpLSDle3Pn6fJ4ux89/HEQ2IGf9/HOd27eG/30/bTbKrGSiU
lYmhHfNa3XSRauwaT2O+lXSddhxLhmHqlWjHxNSi/QAFGFtI7SiqetF6jRHhJaScldI4cEnmLiJS
jC2K0oB7xLL0EXxq4nJciUrRfL2iCB8gIa0gX1WL0A7j96d0MYLzWRS6Nm7xxFjhfhfqLkkNfR+W
qQF0m2d+4/PKw2KCsiOe76KdXM5or4qyabbv8xpvCHdk+aQHfiD+o90m9nrIGw2t4z/r5LkB/zuY
OZV6rc9Q3sEseQ7BlvxLpxrFTvQXVaKDwtdnyTcFWZS5v2jou9Q+muooraN0gM/RF0ewEuVxUozi
+J+KokGEjKham9UEtfa/x4qRktD/apkoolXmcyFpkivOdEAr17NsrisSCfO/361/H4cfrAQqmGSm
nazutLFEUQXGK2UhgNl5HieqxKEKOv+DDXcCtCDxNGTbUv+kWD7kM/aXdT0F4zzoGgDm6Fmbq720
jfcja2lXFI0S6j0aSRIA5il/VRWS8GSBEBydg5nRX8eYmNOcIyt49iErvXKI+dnqzGNwuDBT/N42
eWE91Z6Jm+StCDlk1/kImmyk2rm2+oiVXSJTN45IhA/nCZkUY9TaAyJo49nTOdShhAp2GapLqyt4
eA2RGR8n+72D6CUOtpZcu4qS6D8YcbSygNIsC7tMyHW24yZXQu1SQLRatQV5Mt0wsNSb6zxJb9wi
N+triGgYGWCBMlu2L9TxZ+sbyp7UsHZB1HQvR4F8UtrGDt38dYQrdmnmprFtpJNiDttGs5wQI+10
3MeS+usaqUPWAp2u56645u1mEh+t7whYTAGG/SDqk8Zp3BKLj811qNvNiGZxg5GVXG/kNlz+qjix
tcsi1UcwgYWdNq8n7VDqtkD94W1JLOkXt0plnMDdivWiCAfzTSSi9deY2xC3hlvdbRjcfqLFxO8U
r/vhMym0VwiV0kuTj8Ymb/Vi26RV8iJNaJYBfPz+rwFDiOFF5ZOWEVJAowxPRkPIS4gByoGpLc0y
/VjU56IIFq0i+FYUrXd9cxN4egPG2u1bQzulMXigwbO/gG9VvL2vIJcOiQeVr6qQRtI0kX4it6ud
RHQ9NMu40vpD3vxKckPfB0g8HWCS8q8qJXwqYYbmFSJi1OJjPhxICYnWcQ4RZ+JQ1ZCkri33ZTNs
tL3ZfcfSzIQXPceJ4USZJFILFbrcR6OPXLsfdyk0aA7apATSdihJ2E+8R9zOKDP7V5Lo6QE0cEHq
M0zTQw0iyo0tT3FFp9pOnFXYtiFzq8yS9BNezbDW+xEG4OyQPhdRjRofncBrMSF33lsNuasuE9YA
Jwh4r6w68y9tGk0LJQ+917YFjqR0+fjqlaGxcJo6e/UsbAfz3HdwUailhWTA2W01GE1sGzh7BXfa
K09bjyLvWlSE1ANqNR+Kt1bBq/unfZPED12rZ0nezOxPrQUeo1WhwlzBsU7mrHbC9hko9pE9w0Pv
lytRNwC5nJbX5rlL2uXKqppH0CF0rRxFrVZ2JRVb5FPsVQxt902No881FIOL3JXqY5+WyULUZ2mn
L1MZGLkzg3qhPzM1U754U9ngTwmkDrhW/Aa7rV7UvuM9gAWcngqpuYh6X03LdeLpBokxLhLWzbrV
gRM16Gy+hn9oQTT86CcfuwIea5euaKYt7iflVtZT/4nlIBh6MzN/hH+oDfonIhJ5s/FiRsjCvM+s
0ZuE+YSn4xIJiwQO1G/7eVEJ1SBZjaOVnEDjWY9ZKUmu5Bu8zX6f+RmpUlEX/j67tV7PoiE/tRni
WKFvXgJmrzu+i9qDOEBi1x+MyMO1EefAxV2DKI6RdymK1N6J2FsEOu9kwgwwp13iPyHulz0rVRKt
PBnYf15DHIukonCNzkq+N0PkTvo4/OHjLraaqvhjRD1vkfxthNCJSqLQTcMAN1FfgvCRIbW5Qd0m
5VckycGjNy846sCxloaMJtjVRDkQixNrXoaIds+H3yCFxsFBM7RdOnODaHUSmx9NUp1Gqagghcxr
mg/d5rHZAx4OdXVq/o+1L2uOVGei/EVEgNhfa3Wtdnnt9gvR20XsiwAhfv0cJb4ut7vvNzER80Kg
VEqUyxRImSfP0VK7bEDA127C+l4BmLiTgcE241Qbz4hgzR42in4WhQLxkJeiJKpEftjSfOtQAf+G
1LN1ALNudw8eRXUG9/mNXeJjL81KVRtXMbkiXzrYZv4NFHbWgVpNn0yoqRxuwOcu7rC5XA5Ti7Rk
BDE3EsrtBOJwlY3oyCQ69eSzckUl0KBHxXYYciorqnIOmG8tAs8zTyhQXObcGoyHJFJqDdb9ykOl
DGhx6cA909wbrj4Aa17gKYJTYGsdhpKC/nuBZyMyBbqH3HVN+3+dljFEIFuUw6LutVHjJdHPa5B9
ucjh5C629ShcKH9NUVdurpKeE3C3UPdroBWo/Buyf1b9JJcytcdDrrizmMDCsSJH6rhORWdxJrbp
+1Sf3LLg1gitQiRbUK6wdNUV7qrrvPLOrXNsNJ0s3basy1eCJdhpmjkK53sTOqNO+13WRbhhgzlB
igD61KRdTbYuHKblaIziQh3/aTP1WFT4oTT16kND8lbIZa9Ga0WJxytB9Jy2/JDH5FAv2kRSPlHW
cu6euaP/PJ/Tm44NSbqZc7qvem8zVP1TkKxAfrlw2ZifpBoGvs4MlHr65R/NTFcZlxIRunzottR6
d+10LXKrD+92mpFaZCePd3+yO1og6d2fLkmu4avXgICp1qzVdKjqyFuLoZ0WVxudaf7ME6tC0NiS
jxuAlxD1+m/jukCiKIg8ZdZASktm/rpqso8+1xk7EK9tkY36Cb0Eb9807nn+PqgJ1iuUReMLuP5F
yLLNbmQKSh9ZgPehc5N6PtkQ8f0WxW2zsJg016LDk43YBWph/wSgfriNAS0GhtVaEAeBiJvi6Djg
CSUvGuTHA9gXNJX5n4M6kZ3eUiVWYkHp2ylR7lZnChpSkGdeZLU3nqgdQx5nMyikEslmaJ+Pjqi6
XuNp5c+jqRsxYQuZRcTfgL22QTyU/nKQedsZpbLv6DB1g7/ypYjXV1uL8jqkEM14UZSmg20xpNql
Fg6jA6LV4FttEfMuxwgMjlo4jHuZDTHqV3L4YO4HawM622JJtusciMkB9yR8f56DOrzSCk8sxlJT
X6p/vx5QQPlmmhz5uQNrjh9IvQ676+RNiJ9B7fS4+UJ2AwYlUMJo0VaQGrYXm1Wos/adW1FChR7i
kO1FO5CJHOiQ+h9N5KoHAqzszgN/n+s6/e9zqar7EiaptQ8YX/ieK+7pkFoVFO+tqH/TtekqkCKx
KXR2vZl398NQhHdDwXWMCloyMoa+amTCe24jcIVcfGm9efsox7mrsJX57H29Ho0w9fxkU84Y3o2Y
n1p9bb0kBX8Zs8S/jBLLvSaz+Y6aVLoTTv4BVWjiRDU8RRrGl9Q6UIOcOJjpUcvoPCa67ofs8I62
2QDUVOuiGGzZQzpvZQn8cmgE+aAC+e1S16n0pXwEcSG7jQ9jdRW/RC3q/PQcJiqvjhKXKUKd2TKj
chObHCAL4PTveDGc2ylXBzLRoQar0xai2AxkjnBD5BFc8in8TBfggczwm30zOqkPJWHIbt/QViKj
Vxyd0gEcjtGqsyxrQdsUstG2hM6utuuITzaawEHWb2EGVb/mKAAFZAh8YR9Iw1As6u9aM4cyg6YT
Q7nrG2FYpdq16zJQZA4QF9wYqJ/ctDpBOmV1sUGZQbZpdDb12qti9mO0gKBBSi9Zok7JX3+CyVOT
emukHOfeK0ye4PTI0vJ57KeOeSrdm024k6FtiOgWqoigafQ81WDqiiww+geD5T5HPXuFIFN5S519
xxYgyWOPTdGG94rxLZl5ASE+W6IOd2SJ9zxWptiVZp2tqNeNhbGOwxR5NH2BCNrH8wXmKUf/0wWQ
TPxwgSQQwQZUpkC9osylO7o8W6KJsAs1CxeAPmWxZZ4NexB4Bsc+UslKuEnyvUEhx8TAfwohOGcj
WeWB1KLKnkajvZADAJQ+yC5i+/Y6EvKA/HtjYRMcRs6XfCrcDcRdcFu5YK3PxwL8MBqzMmiwy/VA
thLCK6C3LbdXe5i0ctMAKIk4F8TBPg2lpkFgSj0WdbrQi3qfWN2nCW4mt4/betFrfQo6eFWPQBWd
tikgWJ0+XLvJpqaYryaJQBB1fJ5inqdukShGFHpls9Y7Xg+yH8R+qAFderfHQCMd7RFEe6t/T1Fy
OEzig0/VJeM268LvQzxWZ3Als1NrbKgBamjIPHtYjs/2ptiSnSx01ukxMhPshLXN1RxDUBKcdkiy
/jbph/mu9t8mjSGINZQiCfwlQ+WU3lPQBsSNAm87jtnrvEWhxIk+fNp/oFD4C0S/gKfVncCXsU2S
jogW/+7r69kanrzOOyDqnfczQyNXADQFh9QuGoR0yvZB5CjgM40JxShF44NHuPEflYfKdBDW/AMJ
u+DJwvMTMTwrOk5p2x6YDSAk9IvsB3zncsGNzvxpdLek86XHuA17GxNZRnQUcQJp7qxSa0uqpSoq
7IoR0X7t8HxeDCBxuW3FADoPM8buixfTq/DB/QC+SLXMBbgcfamqFTIq6S2gx+POC5SxZb6oLoEV
Ntj5oA7LDkG3rMnDVCLvxkGwL58GWV1rgG3VqS5dC96DQDF/58hQFVCdwAIS9UGtv8nc0n7O2vGc
qyD/kdkZKimxersHv2aLGlN4cMO0n1s5nCl+9jeP9zn+0wNFbMGyRBXwKuizJ/BSFHcEdOjXJrJb
z64SLQrA+CMBKipuevsRHFszzKGobUA9oYaxsUewV/Xg293Wdjksq8qB2rZGQqRlMk9K47sVTaqA
lqRJCUOBwk5/nrS3VL9OIVoCaDGWKaYv72KzKY/QNsAOBOJkc5NE6ok31oIJsRMwrOjlDtm1qU3N
8khTvM9DJgh6Lv3UsPA1g77fA+gRhVcg+YiPk8eyW6GF9HrOyx89B2KqC8NXNZnRKsdGa/ZwO3NY
cIB0QiDtNp5IUUD1Hk8FHYC4rercQgdk5BTFT69GFzzYkLk0sHWh0UjaNAsGzgf9Qo69VTVOCK+p
orgtanCJkq5536QjAFV/drSegb2E7ogRUZtHZEOIu1h3xGntHJkNHuLTiFBVUQlTPLzFd6TtF5sR
CWrSu1tFgzK/ddkLlEKLH4j0mcskVNPZAr7piAJ2UIS9OZRDsm5zA3g+Iw22qus3rtn5B09Frr9C
uCTblCBSBMoIGvPUnRjMPyT4e0A/BL3KHKV3u5yhiJ3+MsCs1zbQ/y/9CKaPqx3cOGsnz/jLX/w9
bWdJWAHZKMBFVoHeI89a/Ep1TJLaZhC3C6SNXQjaIXYR1ta4cLyig2RsY78IZF7aDkFIBAfOvO3r
BbFsgmcFlFYG+A6p6XjO/x7UWA7AeaU6IUhVgf5WHwzwVAJeCP2MbvrXpjtSyJRBEUYC9mR6awV2
49oKmmMqlLpwfShHdy3qCuzuukUHAP6dRGDRqS1h0Zu3PXLF1AKlI/g4gOyDJHJ8uJrSsS0OcjC/
kokOXh9Wu8Bk3TxSJC3fla37CxI9/QHcn5Ax6sdsgDho1S9BhO4ixyRrxNu1kXrIk85md2o7cfGr
zE0TeJlsPGLLZK2baZALwlpaEtU3WJejh9rkQ2d0AEsaeAuy49UM+l4AOOu+fxvQCkhsN5N5mzEf
UkZGF/p4JhsM31zfRmvVxMEqzWz1KAaOOKobXpgJLBcfa7CHepZxoM5JmiYKKiG0Tr0B6J9uIFod
Lak3wKvm5Cn/GyqL1aMLLugHyAFUbdv2y6o1bhsJbjHyrFxUZzeqNHc0D2vx0xGuVGvqZaKXewv1
rmDDxCcCjiO9S1m9p2nJA0hIEPYZzT21khJElNhyNkeaDTGrHiT2jQKNlge9UQd6eK41YBs2cfYU
oZgVCY8ENFFQIr2RuJF3Nmh0T6jKxqO5jevHBuQYC1NCma3ClxYh4BNDLkiszDgdb/q4BOBCx1Sx
nbaWScIbsOKhWbCK2wugGbITXkrga6kdFNsYjr9Ku9Ra5lHxmyP3IQIQNcXGLBuoAOsUnKFTcJFO
zeWIAYXD2J3JRJ2eAIGNGTpyQx7U4fUgcqLxZLtOYrk9MLpFfya7KQwJSRpoZqFe3zq2fVPe1Dy6
RJPhgPqLKK3igoHIygJH6hSlPwq8y0Guonu4CHEKLZhs40E7eEFGcDfDnU5nV1BXluu+R1oK8tSr
MHzhVaduryEAZTgoC4gS44YCB9SRCGeEELZoV3jA2nfUkTOBnHdlvYAgI9/7VVXiwReyrVP04bnu
oGtQuAkEFaJpWpqtn750MqgW/lRE35qgOUuJgPxinF5rbPjwrVYdKkiG5lfmFM+uzMrX3sC/FvXL
6gn7gWLFy1xc+qFCQMBxrVPAx+lGxX6/b8xQQpWX/XHlanQ+XtnVVzZ4fa5VhThLlb8iaf/xykOf
Pad1YS7T0hlup6TcgMQMbNyTY2ydShnfbIn7POwzBjLsNliD4j88ouZ/2COPbm1tmZp3GQjNlr5o
6i+u6F80aBvj/wG1ETKdU/bNsAzzJR78bMXwo7+L88jYon473SdZKk5jl05rN5yqR59HIIzmjvUd
QhpvH8PCxzCiOP7e2wgCfvoYagr/+BiJE1S/fYwWC5uTjXXysh/xe24k5CuQhCgeQQVbXewOjxXd
ckITB2D5Sl+VZzJhtSVWobD7LTVpOJ+AVaJmZ4/zcNR1+2Kph6IwADXmIEX2JydZDTZ3IRBvFRds
tQBM6NwH6Am4D0OsgzAQQTqQrY1jjfrVXFcgOX4Awqi4eNHbcEiCIZ+YuIgmOL157Dvn7SD0WQb4
u2cMQJfqlpcME2IruY3Aqe4BOQ9UeyxzZ4KlckW6Do6F6AJSINMRbLDQ1DN/kBnqopCK0V6kU0Ne
5aTUsW7MC9Yt0TKpa/BhKum0x0EzqNCBdcOA9THIoBPQP+6uHZBGgLf57q3Gdl110Q3kOvuljfjZ
jpJ3eQbuKzBMBCBDBc6aesF5He4o8VewCXK8AehlvShaz8CBSXK+iCIZbKvEau0V6b1b2ghNhWBL
wu4kFk9n1MvA4rbodG/TATvTyw6q6yAJu524/ciIpVa3lGc+EoUt9enWtU97mu+ev4+DwPDsWdut
jUIywMIi6ap11oFDiZaA82qQjGNSQydELxYpVU6H2dvpbFT5IjV/PYTKUGtVY/UruXeTOoYNkEKi
XgHsWtV5mL2opK1R6gc7cdNmSQgmiyaf7YHSDGNBpF61/epvMecXlm8SzzDEXkbN2E6HLmOoFpF9
gnAbbNfeWPsVfjcB7EC7xTIv+Dm28OLqOolKC+WPX8IwilejXbA9ZXf86m6alHj55CX9VOcW9zl2
8BcD/7Te9pC4CBLfWQUlR4JTC7NKW4yXRuFfSmmNgWHPRum10Tb8S+6Y9gNYdtYG3jfQTHH7o5Fj
v0ZKNSy3sJxjHEVEWscGsi8loOlcHKi3y929Am3FfRxzh+Yg8wBp0SMvMAdNaSMOBjxSViwKXmVQ
sOr5Q62aBvQ7ACo1dsIfKhD3g6wlWE4j2GeXjT1A0zCK/E3jeG+9GbbVNJRMfxuvPajTR4Hd2oUm
DWoHWr+r9Z8iZgJzv3KaI/4UMXOWmy5vj9Q76cw49SI7DmcOfvNrL/2aqMl99nHs35zpt4anWnaU
hzLxx2XphcajEas/ztTI3mzy/eyTn5FCy30U7bgVZWYf+BiAdEfftMBB3Kt6VA/u0NmHulc5VA1x
c7ag+7axe/lgp5s5+tdfpuACnYZKeua69nwEiEBicpgEZwfFOm8FSXh7QbZrx9+aiCWwZkHjrt12
OXmrjkMh+1OHpefP8cZddYENiS/D4rd0KKr8EfWrPhCP/5roDLxu4RKc8vm6Ir1MMtapAG2KF4AC
7XfvhAPsnnvfr2Zbxcn1CoVfvV3Bd4Hd0qxx4ZLFPF/TiKuzZxQPsSx2hgGWTVQvpYumGNNNB5VP
aMkFbNdNZnM2dabX4EV4MHtADHSmF29acS8Qc4LMQgPdVu1BHYVwdhZqyOZBKC/uVwLiZsqaojPk
SLuFkYf1165GOtJlBT8U0VC/QI9strcKKkUQJHLWTdY2X2usVS2rqu7tMgJbUaGANNb2QQ9HBVR8
Hd5AcvUh9vpniFxUK2jvZQ/SRLiFzsgmtU1pG539//EzKoQXShNc0+PIrWVoT6Db1080dzsNqvvi
MK4OygRmmaxZXljLUeKJUnMb+hXrfgIJdggRHgMEeZtWpNaWhC4m3z67VmXeZ8WY3SWC/SQzeQVJ
YG5Lx1FftJcZ+lu7AB6mMpwHrDXLg+XiIYB8vPtAtorz1Ygix4vt2u5DCqHmlQ/U9ZY8aICjEO7U
ArAPZNMDBg/srXMcIGBxAhBftgZrN38BXLrdRUPL1lyHvnzY3c79aK+wLXrV/n+zyymH+mwTLfjI
+3NWymCTsaFaVyUvnkBZaN9AlzJc8qgrniRvUbTsx/7CCNFMpwhBiRr0mORs2eDzGQp5ps6sTqf7
DCRkMZZOEjpbqyKu2CPrZXKRfidvhswLTIThvG5f42WZL6QVRzvH3lquEMNP6jAq0F0dCjZ2+9kd
sn3Qm4EIFdBTDVhYpno8O0nVv3Qrb3Tki2mIDoJTY76gZlz3mmHSgAys7oUqaQ1xBZSyULMYoWAW
u/IBmenwEvTeicz4dsFQFAPkXmctpgygglZACOaGen1LvUaO6jZZjv3d9XWL6EiuFgkiJNAC+PAa
prft9eUbjWtd1PvBgfo4KbCgc4LMy/yupoEMMegEZEhHB+zu2ENacjPoLFvRj919MkWbrufxLZl6
M4DeMW9/Uh+ZroOutt8HdePUHKxe/iT//9dBSQ+0GNge8NF6ESBO6o+3YRoD6lELaTffVRsfjBSr
zYcy6qrHMov+sfSqq/HbZBFgMXkCnaA9N73fm9R7dUbESpyuTZmh4szK42YVGrvI0ZXFox1Md2jF
VGc8/LVl+2W5kLnX3AMSwpZuwdklYJbaQFa6PYIIbthLAbGc0A/ELeLL9soAYOJpaqCJoaqm/R40
fCcs4G0XFeDc4CeAUGhhf4fyDv/iMZ8tM6Tb5ikHQ9M++uXblHICYKmX7tuUKCk/xrh3k07IL0bF
BlAz4kyhBm8BnQP5pRS4Jp1JbfurX2VPoIkNQVi6HLuCb0gbLEJY5eT5oLhoQJy8pmbbtxAKhyIn
KYWRZlhdMP/0bidpMQ8BDLyMsxRrwVNQQjZ4gRMnwvtnAamO+eRj1//wMQH42Q9TYm/i3u5XfPKj
XRKG6osPOeteVvWzsKr0lIMhejFC1+MLuSVJZuzAEQydTcdf1GwIb9KMRVuOYsUVCpOddSJr/K/r
fOpXdpVD94PaqnN60Io4znqEqBB0Qb1pbZv+Flimn5Gr4h3x1gN01d3S2bv9aiL75FqzP1Hck8nV
gJERdrxV4x3ZyUSd/1f7p/lxj3/4PL/PT58zJETH+9ySuZsQVW0by/Ac3JD/HgYQ2SrW3/ZlBt73
RgZIXZTp99b2o2wNbDviP20PkhE9YPaxpxRCL6kPVZgUT+k/p7pa3qebh6eg9PXGAgrhWg3BqVx9
F4l6GVpBviEbaSf0YD49y9xc2AMDLzZepbYTWzukRs0ZNyaD3Fm4IuhPPljmn5LGfnsBp/Wb2wwj
025hV/UnsIZ4T9m/blM3/jHb7240vIpi/Is93P32hI0xFJhuu9qFJr3d+JdEJM4FaE+J+mHc6JV5
zDswW5CncOzuxvPsAFyJDJsS7d9OCagOeQuuW/JRhustWgE0HUOOZfbRVwD7svvhCuZqds9lNB1B
G3FH3jTtGOK5Zc/JIVOM+9EHasWJjOImhw7ms1kjJRH5UXyiJqj+tm3RJQ8GFOkeCmWvlK5xzXKb
oepJVAtqTpNl34CM2Zx785EDCDOW5Q310pQcghsnauopVQ5OPpqyBL1O3sfdyY0j0KIYIYIVfMko
bqIPoi0AE4cc3JFiKX1cT9DES+INNa2MywMzoVk0NLx8jJE3enDyOZRCDm0DyufrcCEacxn6/drq
bKgUxml4GRuUqjGtFlrLAbQTfgegcT+A/eFPDxl0h3bEq/6TB5BTCIvrlMdf5vCxf1+NiQ19eKxZ
CrYGEgchFc92cJw07f6QGhsi0p9tcz9I9UGy37RggXVLw9q6jYOsBAOrKfJgzdGnJlImc5MQNoSp
4dKdTVdMzfsgQuuQ17uJWuT6PpChHOHIY5RSp6y67fPsAPlB/wHQYP/BZ+wZZVztCSSxPiTLm2CN
+Pa4ps7ON8KTQsiq051kKsv8XPk5AystRmeJm65RUt9uaHhgCgs70fb7PFoPgpTGFvD+5I5MZjBg
UQXi5y19gnEI+gOHHvCCemkOhhxcabLhQiZZG6ggkn52Qx8B6trN3mWeCQDIv58IpD9Q/TLuydKZ
BVSfpu9Rmgw7CsAJEORup6av5wCeTOzujBfthTrpJkM2FqLvKb/QDcazDmUfvw8XRV2vuMdA31xm
wS7BewDY3WDXhU3x6LK0fCywTrLHbLyNGxv3uMucpcu4uKFOIKSnGxtECUsa8D4cz6sCJK7KXwde
lZ5t+4FAEwwvoRUgvRPYd8B3nzVIKrdyTL6DBveb10PfB0Qj4a7gUGP089x6xUDqp4GqNoKVmwI0
U64MM2U7V0PwLaNRN0iLWxp6IS7IC7uLqG7zTQDWAgkZpC99lthgO82Rwci1kpSWctF2IGvZB/vv
/sgZnljY8n6H0uURENYMSAUd+fsUA6z9pF7aCRIa144PwcKWIoG+BKtmmeAZPgwVuDRkdIGKV3Tx
LGRZsDwOtwNkbC/gCEDM30PplwzCI3mwKLXuxv7bpFw3XeYh9zR9+K/Il166dDU7cKunJF+ag6Z0
mxaaffoKzcAQvO2h3h0NKHrTOzs8lzzI+MXdjpotM1ccrLBPCXYeWLb86UavisGFgnZYdH91a/Rs
BGR+d9P7mHk2stNFjd4R14vSbP0ARuUhkwBOQJhs201ZdoAuWH4oLMPZKqAQbrmsAGOvrOChjxC6
bphbfWUJ/5pwWf9qUujdZf7IF/YICHTLq1992HxVBi+/Fk2ZQhon8x8Uw4+5Nnh+C4GKt6s01vjx
Kp6TpGvkwVrQH782tvnGGgOlaXkAZos4Yj6YoQ0508r8zUaDNAVHEFuQ2AiDdY7Y2wNEYqq9i5QN
hHlc54FssfjSSWe4lxZeB6EL2eF2AhfW1R/SV4A0ChOr1NZqL/PhZegmiJZWzp2rRm9v68WqB+zG
xspUijT2JG6RbB+Bdv3dOIvHk9HWnuna2Y8iCH5WmXk0wXJyPfE9a7aE/5785lOloXpOuuaV1si0
WqaFshogNi8ic0d2GQa33A6Afcinr30M2YFreJfCwNruMIidO168ocoDJZ/rGEoVkIqwVgnyjJCc
S6ezHQlzSQ5u+Jx1jbPkJYrVWxHnSzGZ8WZKXOdsAHE7H6yQ8WMonPVQRAhvUQe5SMgtLUv8yDZk
G1D/tzLdJIYwXS9uBwm6kM7Nxk1VCnx/TWUgACnUHotG9QXsuT4kKl1j3+smY5smHP2XGuQ1BzeA
eh/X2tFWMfnLXoDCf/KNEkxY9a9a2carPgmy+u3EAj9uJiAI4lrILpZWbj03QdeteC+cW2lBWyBr
k2KPhAEYHaIpXNcMqgipFZXLvAb5Tqzl6Up91gdAewPIg7ZpIemXjqa1/m8fcqRDmoLthGvv62R0
xotvZdmF2G7ZR9pyDhWf7pgxHUmGLEuZutN9tMOkvpbhbtGb0/e+/zUOfChguR+d1xayDAsQH/EH
bkfBRgXA2EjQGJ5YGibrvhHWc2X034pqhJp5Ah48rOp+gO7ZXox6kMH+HQTw7XhCQU8KZk3DfJ7G
cR4EWdV5UFshoAW4iREN2SFpXGOZTzJdIuaUHeJoBEk79XRRqt5OqWvKTARQ3GLa2yMSaKUuq6wM
FIInFoTXoQWWHMMIDBpGIdp7w0nrZVUL/qoKeeu7qPVaDPLbIILuF0qm/uGBGzz7uQ0e5mB0bjPf
zKD7JPge32x9ypTN1sIJ/AeWipckireTzh/RQVYqBLaGo26c2rmNdHHmjnuLMlAffN67ecDVnlqd
CcX5ToXTliBB1Qid8qFFRG9GCGn4EChZ/m4THhgoSJSanMlvfB9LqCOaj/z+cz63xRo9yLoj+DdQ
nmL6xuoaYRkc8xEs6cDc6CBN6QAUWLkeqMo0OlofaFAEbaf11Tal4dkyXhtsu/dJENbYJZvGiO8w
Xs3NURberZJFisrdJES4AMRJiT5QB5jsooXtlnz7wRur5VWr8uF0dXZ9Teyd1Q8f3CDknqxHt2jB
Bf4CgpjwJKratRcd4gG70I5easaisxLYt6wAv994NhjIZhfUXE2LNIkMPF1UsQKeCKIG1+fTyPIa
ZNZrejB1ZHdU75zLvCtWUjtTT5QjA7cwBQCCqZidPz38aPaC2RbIFlGWrtkOPU2PGLMSdZl0ahLx
4bWLjNJKHaD6gM3QQ0gD74MfH6yKr8jRTSyUB9m1b++YI2fbPIOt6psWMm0OXxR1AbkJy3Lukmxq
btyky3el7arbCUKQ0IhLm68j5B59IzZ+BbK58Srmv3Z+MS5pUOGlzY3MLTCPhL26tTHlPKgwvRM9
EZyyu0GMyJsHRcC13YWpWjMo9C0KXang6UoFOtRjs0TQKjzZjrSAq9Fbe3BtcNBfofQAhIxvftg1
gblE1A3w5gj5LN4Hm1Uit9BHg7wx0jm3wAyPt0UmmxPzoFAvWOFBfAcUKGbSqn0VmhdqedpEZ+At
yW96T5cn6KE0CXWURpxtzBrwOz9qy7dZwjzvVqxHJDWxgihZlw42mmPGQEh4vRRyS/g0QNDc0Gyj
Sm+iNBVnAVKFdRDIZE2/qEr/rMykfICSGztSq43C7lQ2PXj/0EeHsDHl2gPiYp1W4ZsNlauXqDKC
+beIqtryVE/2LfnTTxHk8WIdc9msrxPJSNzZkC0+0TwIDoN+Q/kpgkygVKk1/5WVJf8Imfp37gDx
bhGBtZ7swnP9pdVa7NDG5fjEUr7tVGB9zaUFJeuyVVtyy5BCzy1s7NtpYPv/mnZiRr3wJGi4aNoi
kuXeJlhga/T2DaoGo3XhTt2GWMiomSK2/qHJdZMoy8y2idbX3kgiKGGW/8R4LTwN0BTaiwx/JTUd
jmh55QUoRNC9qas5InkNXKJumimwh0LT9FMTKYPklNVdNjdjJc1TXBu/5pmQ8TincfmNWrFw3fPQ
mc/+NE1PXSm6WwM6YtTHLZvftXl4pr4RyMW7VtngDMAVwajRXLDAuolAsPKUGJMBTJHaUF8xMOve
A2Egjevdvn1QXbKkvnqKk0ev+KfGnbeVKbDufVQOD7IoM9By5cPB0+ROgA3bNylzamjpgC9qdkE1
TWO77oVaaZkzYAATa0PNwQKGu8zCM7VoUIkF+gIBguFATZrSD/qLn6WPStOe5EOb3Rs6alvW3Nli
gTFA7obXuxG1+2dyQVKGn6FBsbsO6AphblEIAASFnoQOfZGIeZK4aIadDejyAgwTIVLZtbdImxBo
5tpxjAUzXA6RLRGunH6K7uq8iu5QLZnfJJA3Wpjk0zCU2ZV1f6ZeOpCz2pdh7N3NTlmLh0uLe2Ce
NwvBlGS6WXxzHXS9VqkvY6WgsA2z0l2h4AoYkjA22cHFl/O+FihkArQ2tT+8/cdE5eveRxC87sxt
2ufDjYdqoYeYuz95OhU/SjNE5sCvngrQpf3NIWv9p1BV9eyAF+9wUytsuvQMOTZL9z54ZBaJB037
0orrk58b9gsTmykqkpe6GZvzmMTAaWtzX0q+zQAc3yAZZb9cB701sVpPEcmapuowvxlHFuI3kvAK
5X2QR/pw6CMA3vigoPKLjla/W+kMMu/+GRuexB7DFVlCxrDOyapqG+Ul1PBcJ4Ssay7WrmDpkyiw
FEy6uPtZIVZlMMf5RyCNVfsq/ep2CGrkwGdjp91je4jl996qWxTb6eERxG7m4VNgtk9IeQzrNMdq
v9VYCE/jI0Tr4HXp92dq+SbYFKYuE0tLWcB36N4+kG+9cYxy+catgJjSQ9/Hh8FYbswQDKYJKKwR
C0Ah/KBrVHIbtCr4gTwgbx+AKwp7gcFn5msvH6k/ArfbitnhdKCBuR7YUXHLND42eaL2vi6raLqg
PLv6jJqxF+F3Gg1Ha4LWNlg4wM/YVPJIbuQxGXG17XqQxe4APuqXgVs0yHgqY64NiPK0WiSWKe+s
IajPwL4YQLMiderJusL9WWtx0n9H2HEWXkAICA7z3Pnhi0Ac6OXUt0l4hgzatuN40y9bFg8bMOm1
q+tSTw/wZN4dyCRB07cxAxsgaYRHReqNr1Fe70C8Y/yyXOsI4dLpqwCzwNJHvf8teLOMG7c3hxuU
lwK1qQf5LuoWU7PZTSOvbqfIKReZKvkp11WpWQJ4tIQk0Nx6t7vCLcWqkMW+tMGleCWZASwUuj5G
74Nd1Sz31JHj9lpXuYMcP4ug5Nqb6tSAIe2l/6eWVv8SszEGRy5Y0cImtF8E+L82qSXHDTmBtfVt
DPMa58X64cT5jWzK5NI3Nn9ghQ1gfG6CvqpNk4dcVO0RT5yv1DlxXp9AUX0qRy8/2irLV1DGhcCi
boY93oALOqVDZKR4hOkeNWbo8SHcqYV6vDUZB/c7IHH5xVF+c86BH110Q2h+4e1orKqGlTtqZshY
QB1TPmWW3oIBZ7vgYIb5EqXNCGyFGex8HqQHVJ16SyyHFn0mxPNUxPxkGioEgS5gABCS7VZGFcT7
Sje1m9BuZtzwE+KV0ESLWyTDgMJagcqG76n5f1j7sh65eWTLv9Lo5xFGGylpMHcect8ra3f5Rahy
2dqpldp+/RyG6rPK/tzduMAFDEEMBqmsdEoiI+Kc89PNULOhWAzcaFRUMFZvQHaAYavIXz2OmLqK
mMd61aHSSrqX3hP5CYg4vvrpgZQEIABx1y258vAbUMqTBzSJ8teg/JiDPDQozoGLCBzJeCDpdw2S
aeuxBAakz0vjDlB64y6tvU2FKOUNeWRRbKHiwOsXiE6BZ9eJ+bjA02bYk7NtAZNdDxVqrjCURlRq
ToQjq7Wdd2O2LLi26Vv2YkJTa5+AjmnRKGYYNvrFkZoQqbEemaw/mkE/RJsIUOVVX9Z8VwgIhtFe
neOv3tV5F61oI0+91KTd+uxsN51/RFAnXlBWq7EbUAXHot1ElauhSDmTh9q23KOOqq0pO5b4oOTq
kWGlAWSn1Fk19NF2QA3QNNM84Pc5ESmCKuEqCbHsMVMUuoVZm1y9BG+0fnRuS1/AhBqCY2+6X2dT
G3NIIthZtwyaVMZLJ8zqVaw1yWZqF8GoOMsjaz+1DR8v3zIXF5oiz3hyHXqJ/aEajHq7af4UEFuQ
1PWHNDpmQZecsNr5OIxujGKf39thXrTHrDqSnUY0vmeBRlUnqhnr4qhi87H1IRjsAEtp+Zq5IBtT
Hfjvz5cCRVHrmQaEzhBGRxoVlXZhlN2PbGAPfY0ymSG6kbXGHshiaeMe9BHyWitTa+nlIi6kcyQP
gYzEqqqhhFZpFceKClDJugSHFA0NISV7ABjLW1ATkFjj8h+u5FilvEYocamQhfdkyoCUHsvs2KhD
1FtoyyHMUDM0Zkc6o+7clj3Iia0evI0/xwTkTv3kWYwF+Hx+P6V+rWrLNaS0oq2dBsmKdMP3mUKH
FfidrMxK784SBfhnlqbJKtVN69jz/HvtJ/JkdPLjEMS2PJGNu+DXY3Z6pM5ReUiwNSCO9tOFenog
6EDpDF61TLud01Rj64RHfShf6p/IchtpBjJRmooOWgOKSuVFLXKlgWPYTAOnjNZfc83T/zoX2X9e
cZ7L/OuKNLMphHUEFhuPTzyMygTIW6rgdX82sd0xH+MGj5W5F8uJz03qRUI8TM3qbDOtO/dm7e/x
ajs0ZoyKHbJNpy4KVPaxYRzIRgfBC+CZ1QEwA5CUPocNdhDg7aqd4VFD+b0ba89FU+ZvwnKfXfwQ
3kAFPZ2gnnQ6+aVL93vnCVIZB9Ut1Mj/MMX/uA8kwIDyAn/3mknGTmXP7QURPWRhGm4q6NRO7BCW
A2WXotDZpcGf/GS6D9FoWs9/GuS7ZjWxQ/x9UB8X1nNg2dGpEwBfykzrr3RoIieFVuZytowIxF15
pBbkSahEX3XFZikKY2tE2KPyzhg+DU3lUvPL3J+mbA1wdei9CkqoK6iY3rX0Q2Ob+CCCJZuNDOWi
ahwBalBRrFtg6ve+U6dPgzZuRWmiqFXZdSvxZnsX5B92B4xt+xL1dU8sxx7yp332/9Wel8CvUfZq
Snyp7BUoL6HJPEzJshK0tSfpVQ9z/ixtzXLbMrdfzvmzDilMRGEjdzMnxaQdvKSB3R/JNNnDZe4D
UUY5t1Hzk1NoFQ/zpSUeONuyDIflPE3lt5+npo7BSKepaSIdVM5Xyc3laAAhWPMRgcEUJSmXtOB8
qVV1BhxA71+mHjyhhj1wLY+ZspFfZfpQUEQFyZZmmMbSBD9n6cDuA0CTmvTnAcvTaabZNM9ZRskW
7xvnSJ2oA7uLWSpPLWD8qz5zsOJWC5lp5YEXXzHYSM0qkwue6V2eDqDqUk1arjARINfW+cmRbNwF
wQGKwm+oc3JT83KkwjezTZg/5mm1wf08LQ3yNASz4q5OsI/CMoimbcFoTZ10aH5O69fYKgwFVlV9
o7F90WBlR+sZN0AdBDVpPUNN7rYdgEhITcxN6gWWDfdLcnID7HpaIIi3fj++eg22RIGjtycQimON
R21HGemMDpEvIBGbVFsa6oNlHa8NNYTa8wx+DoJ/q63ufrNPM3+6yJB60cJxRbdBiKPd905wb9qt
/tWBEKvns+hbJuN2WfWxe4Hgb3MCjQfghEPuvRrlmRwYVImXuQNO+bIvirOAjsiKOvjWgsbUG5Sd
yxUvu+jshUF2CUfUHiC1FX3j5kNbGOOrBVD6Cjq2Qi2b/S1SxIg91BDuxDt3+Jrpdr2IEiu4CsHt
C3VgCwBsherQALGbOgoN/Mu+CRxFXx4cIwS1IlMlUH3d3ZGtaxiq7IZ2uCsRGdxYgdbd+Glo3hiV
flurRW2MVBK1ukYLNxoY86EIDJHHwHHMA6IqewK1zEAXakLdmR1Afj51kj/Z6TAgtXRgEd/9blfT
gh1aO+RGs/vkr+x0gWTUwiMAOVPnb8OB3kX+WO+mjzfjbcgNJZHiOBbpdp7WRE39OXa7ZanV/Zlz
JHR61OTftD5e1wCaRXd14qHsN4diQ195YmnYRvHs1BVgfF2VfnVdVAF0nfjmJSBPElz+kLZYJUnm
QD/0DsmgGLuUtF4WnuX/QOoMZdxp8tZH78DolY+2lMM6xKPxVOoiPxrIrm5G18aiEuQDiyBzm2+W
GSy1Mc1+gIP7SbLBfva0HsF9RN4vXNP1fW4Duu9gT3YbC7dddo1ufB3sdt9xI/2hO+NBDl75FUWb
EOgC+6Ej60XYteO9bop469tlciidOrmx3TBYGV7bfUUl/XYokvS7PoRfZBoPT23XD9h9GuLkGdI+
4c7O107r5M+ORDhQuVrNuI8cNzyWVcSWRRBLUGCz+hi5xnjf1MY9eDrYV2g0Q83Jt5sT9MOKO9C0
vZEdfwyiMm3ZnQVo626rOkQhdeSuNA/gOhBgBhctE9G5NEJs9i2rfavYmseR+IbiGshkKQez5sMW
GMpwHZuJuAL8Iq65D4AXAg4F4vUsuxrQXnMXRYZPPKY3ZAKGS0NmuvOscNFr+S7QmnjTqaIP/Fdr
t6abRguEjbuDpd57U4cPtMDo51dqhdzPz5kZnudBaY63/hBGIPH8OZFAwniFmyneaFQiggX1x8Tk
44RGvcjc6huRvY2Kj7NI5HBssoVgivJtIn6bjuRDh0/tog/GY41aV2m4B0jYLBgHi0eeWpepZmGE
NAaCA/GGahwCYdZnADSeqJNMPDTOptV++NeocEeaLGBHrXLZkugo7Lz6kke2cWciaHb6g70txWd7
bDZfWFp/+JcoAFoSewV+N188Pzbv+gBoqimSJfy2/uB3RRLk5HBwg1JNAkHVMvAvNFUD7gnfvuKL
yR9bSDLtGkC4N81gGV9GPHgD6YRveIWBPqVOtNMg2XgDlWoXRBkAJKuRyOnmj70aWecIDAW8mEaS
A/MBAqORFioqbmQM0XHnr5F0Td1BiSKNZKGrf6lRfEQOWOkBexGss6Cy71AhHm/wn+GduiQC3zDE
q3dWbRXIC4QW1MKlDj1qC/Sqlpl8g3TRZiicMQAmMVyDo8v4FttAFqJiNn5io96tPLMzb/Iu0Lbt
2DYHXjbDCXl2iI87eXlX4jEPeF4rXrCMePATFPcuwrtRVmAMK5xCqYrYL7Wmi+WfPtsorb99tqDQ
P322SNMgsquwXwTdCvs6W9ZW2BwmcJZqomq+ORDsqza1O+BI6n3RJUm3QGQVFHIUrnMrp1xbERgD
JiNH2nbt9qG2QBpbYNfaOJseYmbLsPfxrZOxziO8owN2GpWKV68OQurOpg4gdu4U/dbqHXHQUBJy
7rjsz3RGBxnnYCjzOV/NHWXpv0W17i+yyuk3VhxYe9cpwjt3UJC2AVS/qDw5AeJZPJPHYFsm8pvW
I9A/3RJ67MGhx6PEmtP6n2L80yk5jXCiFIATR2zT9SG2/WCjGxDcZY4LDIqfrktVVlxbdbMwGlQG
tigLeuAMJdJ2Mn4hN18HzSkrCkTgWuw1oqhpLo1yawNg+dTwP7n1uPO3AqWIkLFy5GOVZVtAuZHX
w523MVk4bjPV7NJiGUM35DkRpX5ITA7ZcW3UX3TWfx9iz70i0dzfgE0biHXlbxkeX9bSQeZKTZtJ
sSX/IXY+ps0RN96NGZDtoNYGw+7GRc3YEtnFaE9bW2oWehzvp42v6gViI/rURCwz2seljkx0CXSp
S4WrQcTahWG0bO0JTz8xqnbFS6LlG8Azrh9XhDrNMWgQp0lHszkBZAJ6iQxE1ScIdPrmJigAKs+d
vttQPx00J3qNeWFue2FKYFhwiETQnvO6zAHlTxkYZFzeL8gY5fWHj8WlXBZ1jeyv8qYO6QQ9+C+h
tJAUSN5Ca12eZeejmBD6Ussmh0Rjl6CaH6l7nGLl1WzA+NYsXIQm+wUZK9VDZy4qZfZ56dzM9sIw
Qf0x9UprZRQoNOyxMmB4jR9rutFwC4XnJrFxz9Fp6N4XVhpD4QxxczogR5V2COn+1W7ALyTA60+W
TyOpPSaRAc3yJc01j4GQEELx6mBmjrW2+5SnF9CDNRsdXOCXwvCtsy4fDVXuRQcy09kYdtaSx4NY
R1ipONiD+O5pDLIluSRkGzxRQb8ntNfzDFWkP2J3EoKmz5VioUGV7OCpA50FCWsEmBQ4jNjPeWuy
NmNlo3xXeTHHhtJ5PezIh0w2y/8aTVPObfKhZp5nzF7OPdxw8pXBIShZdUgYdSL6OMSIRlbAy6Od
9m4JwqHg+2RLqYfcWeXkmzbTflAE8lOQMokiqPyEIE9vUM1+wt7xczTzt+AmDXZZ8KhF2hOqoK2z
qYEfsLPCAUrxQ3wuh1SAe0lqtwChmcuyCU3EeNJgAcZI8d4HyRpFigK1HxGEa5gffpdx+ZYHvPlS
DcjbazzU77DgccE9Wev4f8yTPV5aLVhwKqD5nWTN8XLF/cAEvou4G07TqWZJ7WBUWFOJpASSSPXQ
gXeozBpAi9djN9hEJkB7oMN4QeHlLcQ6q3t3LLwTwILVkuyaBPliXoXlTeJb49VjPdYvakAIrgBk
jHJ2tIEvfnBzyOl2ungM8rFa9GDkO9Fh6LTspKvDbKOm7GS9ZKm5yUcUhHeiPtc8yB89VMHe1a6/
1M0qRF3LquIifWR9kz8i8oryxkLekWOQpxdUSbk31Kri6r0X5TBNAr060KqmIe5DNWeuNrR4EHV7
aqYjG1eoBbK31GzcAulBBLg31Bwiv8ZurHJXlroouEKjPbIb1pJ6kYnXDmUOegvqdXkbnZsGK1Tq
1XuzukHI4JY6sXSNFgUb9F2madYItuWkAiCjOjRYHCCUlCX+Gb8t/0xnWld8AV92tzONnI0Ls/Rb
BOAHMMEbGTaGGZSZ1RkdAqgCHPwIh7n5J795GI0gFxo2N//7U82X/G2q3z7BfI3f/KjDqTu5b417
P4TIsgaVkHxBp/MBxB9slVtFv4BQQnqcO5wIlPRlnv01hNpzt6tmnJt09vsF0gYZScMBy+G/nyYs
f34wugp9ksk4X5WMvCrtfMFt43aUEfZu6kPMQ6g5udApDSmK+BnKm+Ves6L82kAakiEVdBKKsZMO
xcBQBaL5xXIwrQ9bR2dxstEganQe1B2A2mhZbyqZACvxcyyNyGNUy/WOeZ7tow7s9pjiSURXnTsG
0Ot0vEsuwg2xMpdhy9dJEXnL6Yo/J0aUCsBtcHh3dO1UCuySSyNeTVPR4FC+pE4X3kxTpdIo1mGk
lZOLp3kXCyREWzBMyAOXujxMZ07afpz9wUYuvWs7KW5sjKOD+Hk227iaZp6VOmZbCZbQZWzjjge9
m3dXtA64qUIwqVPTZ4l3J01IaHeJeRMqjxLyaruwYe2SOkvb9e5yxFuystPP06BOQikQIB5EvlAi
KmQtblzLuoAmpXwvRnbRuF6829K5hA5OBCyuH9cnJ0rBzeTp/t6p+kcqSKcy9EDVoiMSMNlnE3mQ
PSvHG6DMF/qADUHK4isI9OzbOIqdCx5Ia2rRQRvB5pxazXs7BAkyfQ0q8gqvrJcu98Fi4GTBsUpt
tZ8v+Uvz8yyJjQ8bnbWpzV/CcEgXep45L1NvsNUN7z6RMrlljCW34L3mp7oZj2SCOERy26AQ/8bH
swyqeX2wJLe2vQ1BxnQlLzo0Vb1LrLw7U6uP4uS2Evlz7ggwaaiZydTX4KzgmhnsZ1ubW9XSjfVk
Sy7UkcoMoIscIB6y0ZxhCTnRoLGT1XzVwJHWNunBQD3PF1ipuXeMHvVahosPHOeje7R5c0vD6E9C
XUQJpdLi0+xGCRreePoI85+QYEfZgf3rMpuEX117zwlP8yeTjh8tDNAkApOKL4x8a175C03jzqe/
qjR9lJGaoKsiFzp4IzhAaqM2pr+KJnVaD6J7WSaX82X1Rrg7rUTd+vyXtlWrHXS3+zJ/cQiQgvdf
pvv50/WCeTd58EJzTf+HXl+oqOtwMzXHwj6AYaNTYJpu75gQSdDyrH+N6+bBTLPkIYZk48HRdVTo
Kjv07Cwtby4j1uEo/nTrTQMqo72bFfajBNEdOencNJYN16tzZDFtpbE8W0gI8N23vfHUNYM4d6rF
C2/coFYEzMmlZ9xXvK+uLkivGjcx7snUGqD2CrIgOpKtb4Nil0W5vpwGMDO4742NL6UBJk6U6GFd
3cZ7mhycuMkBURFjQU0a4OHHonGjvyVTOyKUmPZttaXJgTbJTrElvlMnfVwtMo5I4QY309Ubq0O1
WcTXNJnrJN1Ft4sL+dPBi+PXPHGME7V6LA+3vmO2oBPBHzRqfXCLSpUVdZIph0Tmwq78/kDNZCys
nRMhWEcu9BE6IOP08Z4MmgONF68c9R19ANB66IdA9thKYk/VRc96ZLW3o+3IazF2737neV8g7T6s
oQg47IIezVBqK5BuoUYz9rxTUWVQ4AOC+gt4Cm1Q4mbNsWgjlK6Zt5O5hQKfLEvwhSBGs/zYcYNC
bTfV6c21+QlSH8dWFItPhXpWXENM3LDuNHzsIvCfKX8d6OJN1jJ/KJBk28kaEj+I0noPyoFS21gD
vtn1Vw1BzreYoQAy6ewfiZXeNOlgvsi4GaAHaopbbkXt1i3N/uCXPEGcItHBGmj3D8kAZVwBgc5v
ajg0Su0fEYY7GYLB+In6G99K8dNIdUASFI48cjUwWxgJwGdp2D9BowJczrDPbp1Cn6eegzQiAmqT
Gwf2ntyAjviYbVBu82xR/M0nogNIHg+g+Qa8Q1tkw3vmhKgu9cxnyA6XKEo0sl3dN8lT2donpzDC
N+B50mWB8uiLdEz9nBsDUmvWEL39HNmlEKOgkTkPULZtWfpKi2MkiAKRPtGZCHgynXV/sP3JL9AN
Hc/NIv2UZ9O4NRzBDLb7lNWbcmxsuNfYyPeUXpt6HWTJ1kwrATP5maMjZ5olLesd2fs4XYgRid1L
0RbFloN+4NnMionPiqeusU4st9qjCgnivGk+8VlhLQ173IBA2/S0J+XvIk4GlBrKFNiQg0fZLDpz
rWrnlyH3wINdhsm/aHfLWC78SPpHL4HsCEplkvySjQwJF6NbUQfyhPklgoagtYrHfoUaKv84u/kD
CzdDkDrL3gaas0OhxlFmbfsQdqZYg6Ws30zNEURsNq/wkUynfZCdMYLANT1RJx06B4RhAHXdUotm
6xPjYzbb6D5mCywt2LRSNIh4uWayIM4syA+dOteoLtSq9bTexV5WLalJBwR5QcwZ1Be79FCwqTxq
EIgtbSUlQrY/zDF5qAG/zvGnq1gltF+LFtyT4WAX91piHImbwYc66S4B1mrdq5sCGn2RikV3NyVE
u+/tbjzqEH9d4+HoHMM6CJeNO9qnOsmtJx106RNtnRT5ASyUxSpA1dwXcvPT0j4ZerB1zbwFqJ6/
0R1T1xCuKBGzuG10vTk2Qeuu9CCJ3mR2zkvL+9omoF0dmzE66Fkq7tVA6q+SHBo6JsqFrCjh+yTF
PLw2+XuAgE8YNt0bsqXdsrW98Jq4hgEx1xEso1Y+QkQ5+fBlUGSRkGMUKwPJ0xYMveD+sPVVT2cW
tqqdkC7CBTibetWZFb6ypoeKuwuYkDqAFFMG2xoFvVvW2EjKSjyJGiwjwO/vjFsPz5nb0kFqXfGl
Tf8ZYTOsao6gK/1fpmEb30JZTmlwXZmns68puHYhpth9NcdeX8ok7qClF3S7hrfaTkem86YDJHyJ
vNz4Uvb9iTi0PQH2zijvvuplCjlI4C+0Ls4eBKD3gG7jLKgKyIbikfygxfLDNvfSmdD1et2JCsxA
Nh6UgGhkB/rIPk/TEy+r1+kTqz+FFyD7Io8slDsoFsSPXlac8lzzHmIQPh3wRFF3YTd8VfZUx9vC
DEP7wB1QpfxqH5HIWORGXe7w+OvPWPD355HxDvrQdr5NzCJalHoPEQLqccJoXDQlC7d5N0DXTIMO
guupoJZqzjYnSYcdatuq21YdahDrI3sBGzWpY7bltVNvSt9sl1TlRvVu2APfOjb391TfNts1Jx63
OmqHFynRtM7KVp5V3SK3Vq+FxNMj0AzzRiRMW0fqLODDxxnZ/tSLwlLQ56BWchvj13NwkTrY1KNT
PFaVeLcQZXyPynqDQFz31cj8ZIX6qeEiXReRPSOvNyJ1+NIUo7bw3cw4ucSIQIFiajNE5LDOCQ5k
ooOjosh0hjQFtFyLEUK0KF7dxI4EWlkB7qiIi2wgAID+jcXPCOTkF089foU0X8yx0XexzfBILrQ+
2du6hrdEmUADva0DG2I6Rvzu465wTc5eCy+MVwZj2cVLdPcYjnm97qWQwHoDLw41z3e7zn4Meds8
uGHUbH0/z/ZBxqCUpiYjj9GC4npUs1eE9uOV74xi5ejusAOFINWo08ETolz7DjPX1OwA3rvjHw62
xbY8y1AuPjT3o/AB7U+ibI+cBgCGUHi4hTLIh610zpof70XI13/SrPAtvGpV56hS8Y4I9RVKFjvt
HtE1fAtdFBQrwv4nSF3tkOs18QqDyhOIFKvbEMGYyUZN6kB1e7OzlpoDAoTWbs1HwMDbg20Wipva
RfiwgjTE3OQgUMT3ap1jK0CFtMu9ZaIYxiHV+sTrKrh3WJOe2iHxl8Tozf+yy9xKT7ml5JkQgV+D
yzeFKGGxwG1rvIFvQ6Lm30yvjuQDuF7wH5GyqL3X3QqEQ+pRO4Qfvm0IRmPLlOFdaIC8WvpIZGFv
OH61dSjz9HJ4hlzMh50KMcCROdnJfxSxvw60ERiDpkl2dheFGyQ5kNdzRzwXkSsHuw1AIUma7owk
a76QR9hE9jaGON8Ci61sOVHPN5reb//YJuJ55MuAkmGutzM5qOFCXkP9jL5SWX1uUi8i/t2evv8y
6v7W+9vY2blVU5WuJrdjMB66AUlXSKGXxx4RgI2oDOteoCQMMsdifM/9m6Lv/O/WWP6wmOs+ytTA
zjLo/ROqwKtpjMwKbS0GIJXoftMHu9rGWpgj9qTWQFIteDp1SL3RWur664yZnnHVBcgk9lkJcR8b
yOuOZzUEigf5gcSe/aDJgLV5mz3aeq3jd9pV4KbJrE3KUFwcJWVxBgherFH2VD5VjvGNoI0a/4bH
VvI+j9GjMVxpPnuRHP+ZhFpDhXG5mZte3ZcbyCOHm9QJghMbAL1i/TNVv+d5C2m60B8uru12J1Ni
IxOVvvFaJ5OD1d/rvbFAtqBEhQhuiRwrTISF7eJEMjSZajLVpF6rBbaTerFXNB+p909jEx4ic5EJ
EKhq4oJlAtaVEKA1y949llLHUlPZu4qDMGBoXkrp5tYPmTjuHfRoV2C4DbLbMFAABhmdwNTN7G8C
GOIVaDXsG62A6t+gOcljkObVGkpS4xmQr/TAi4RvxyK3rlZcsGXLePjSmuIuS3P7B4D9qG/05HtY
/jXcCSXKN9rEBJE/3hXgR/AQivGyE2taH9UD/RPd/mQ3bcG3TlFN6kPeYGZXYLuPQkAYaRYkyoqw
2TIZggx3hCDR3GEUNgQ/tCsYbMBEVaBqH8GVRcmi7kjNZsg/mgQ9xNvhc+/wa5N6Yx3wsH85Nh9R
o1OKbAVq2xOrHbH31AIL1YhQZHPLLDxTmw7Kxc9HsY8TJzoZWHwSn0Esu+8+y8Mr73r7Th+TC5Eh
WKKztigbjTfkNWTjd6D0givWtpMXmc3BglefwkutXH/OBf6KyUvUBd9It7bWiFCiQLiv9OfIAjcc
7mv/VoQ1+Ljx8D8DI4MclN+GCLp01nlEqTjEEWvrrsnrZpkbov8Se9Zr6znJd7NsMFzloVhaYquk
J+/cg9BqHzAdgmwB7umgBjdKNyBN0hrR2Te011Tz7WlB2SZGdsrj8JWWabRBcIFyXbhWmxxosebZ
+A0CDF+sic2LeL1k76dnrcKrQjF/kb3pJaAdym537nJ2JTtkOlO8GLxyAcLecQvQTPbsQF5cGG74
lvmAQTvgYrvEadhdXACoUWrQhG8xpAGYDu4N04n87a8jEyMaryKzngVWNmdQMIkzVr3ijB1IvGO9
9uRaUXS04mgTmFl5n6Zxe+WJg4KWDsqgPWIuy8rX9R31ai1rTkHgfp169YG/1wB/HLE4wq6F2xok
LxEhI186gLhuwzqh3VArKj2++uc//vf/+7/f+v8TfM+vKCMNcvEPIbNrHomm/q9/cv2f/ygm8/79
v/5pe67lMmaDw4J5YB/h3EX/t9c7JMHhbfyvsAHfGNSIzHu7zuv7xlxBgCB7j4UfAJsWlAjdevbO
8hSrApD0d00yAIYrpfOO1DnS5+Jbq62mfWzQhckRiJVtQiusjrF2h1Izll74GGZbl3jlIJdqL8Kh
jLaTymASNb+0gSO+hCiEmZcZccLiFbIxGQRCwExEhyDxP9vIuczSlY7f+AHyxKieVQcmsv5sqUMf
N9Umx0MPjEx/9aaV/AIy/WzHWh0rdpbxCvVIbju50FhypgmgpqAv/v1Xb5t//+o5tzl+WYwhB83t
X7960OPlWlc7/L7pomGHJHCAqiljXGe2Vr5UCZImajnRjcBBl65dXcmDA/MEqLaOMrE/e1XC1w5Z
6H6ap9MVzYbVS4gVawfG6vAljSpzFVtJd3YgiXksC/BkDMhNPY0gfcbXy9+VK/inUeOtXHUfSiNB
OpzoNjOq4UaGsXWwbRPPXEAanP/wu/Ss378cW0fUF9+OjdIQzjj79cvp3KR0UTov7qdFOi8YcPm5
/YQMRX4LRdn2FlD9R3ocRrXQNvTIo6byQrmWuB0KaBWbofeKGLBcc5YJsKbhwRSKGmINjDVfTFmd
HbVGxEvxTsR6/sy0ApJBRQfXIbePtXMNtby6otB+g4Q9u88Vm34JblvQHST+kWygDEu2TQH+R+ql
AVXUb5ji5UfUDKq1VWQDt2dlSwSn4v3oCLD2+wKQx94HZ4bVJdWy9oEiDJt7aNez+998beNac3Pv
Qrnjt6U9KcyZknkH1Unyc2MbAJ3UIeiB5a9+Muzoe9V52UOjDogUFhWLQQCGRhbxdtECenjIvEI8
mNKoNpox5mvqpdFdl06jc5D33kzxRrsw9bVpN8kncvm2cdRT2Wg21FGaevgffhG298svgum6a+Af
g2K2AxiyY6nb6dOTCk8WcwCVTHDP8IqCfJzeXzoD9MqEM4zKJ8OrzVdahNla258C5vcXLfSwRNMq
SEHGyZlUZSeVWBKPneRh6bTyiqJYNErtLUIRILR3yhjiMkl5pEHUQc1/aZsmC/TE39a1iyqbwXLT
ndONxlG3XeNIZ3afWOVCRAOqrZAo0ne2G+/n7r/5TAa7ktv/8Oz59bGvvkwQQHFb565ngojO479+
mUlY6Uaa6f6d09cDUrGZtzCAX7iakeah6Dsz1m3qiZdcZ2ta65JHVYVA6XV2B4ZbEM8ijVi4wB63
xa5GnkE9Zyv1dP10AMjo3EpoucGBzND4QNDJCBFOC0axrBID9K6mnt0aXhItKNhCHXqmfXQgOxMh
SgBad82WYhkXBbhsfC+95ahz+fffiuf87Sdm2Y7OHMME5a5uW799K1hR2YFoUn6nQy73bCnBDFCb
JChhUyq3xIka8Dhe9cVtxMd09Yl6OYegAdElkw38eQDGuqCSJ2pl3xlQB9fzZlVXsQYu7qxeUilg
zkDPASnk4MhUxWAcbB1ZOM+zV81RnebokG7sVGio8GOQYkRasKOmVLbOBUIpHKy/2civUKGmyVn5
kW2oXSy1be2lUvTeCycY7Xs8hqErYgYxmLp4uaeeqITGll9Bhot6P3l7dl1DINf2TqE01U9g+Iqf
U7GJzXrcCYZCFWXX857jGYGgIlhTsOMHYb+LYnzmLtra6+9NBSApAERG6hY7JdVSfd0ABaW0QVgO
EmFhIEDv3Bn+HuLexUU2EWjmx8Y/upnzJRWyuSNTjlfXKkUOY0NN6jBSQKh04/Xf/0ZM9rdbx4Pe
hmdAXMBjNnbhqv/Tc2jwdLzuBqu8C0NDRZ3Fc1xX0ZvoUHTo91y/IvMToTwPBcDg1wvfCjBiIL/v
vxRIK22gmwqWDIdHD7+O9KpWxwZmOHmZFgHjCi4W3sUVYlKgq6WmG43rsJDjfRs6YBUJxCZSinhF
ruVn0MSi1FQ1scNodq6jWG5UM6tAPlq6rN9RE0CjjympCSnkdYRSs7Vr4VdOiKDIN+t1NPLmE/Qa
aHGsjKpqAg4hUDXuUxtQtwl6zTIQSUAJzJig11Cby298i32CXhdBX/9/ys5ryW0kC9NPhIiEB25J
0BZNWZVKNwipuwXvPZ5+PyRrmhpNR++uLhBIC4hFApnn/GbTDVl3u4S8zgQxB9y3ltgfmmZ3T5bm
Btekh/86QuL50DsNp3AhshMIBftVDaqDH5bqB6oi7ZZnqr+T3eIY/fOSXNfQOuCdenYQst4y2u/3
afVgJgK8DJfTll0REIovT01nzOBGsW6cqj58RXPdAJ9DtK62m8PUkBGAVmCvUb+I/mT5lK+yufLf
kn7WPF8Z02sONnTfFb12kDOZLRnA+0yDyIJntxwhJ+OT1fvjWsM0juA03GRnOch6s26nTWPq3Vq1
5s862SD7jYzShdBvczjRDhOr5uoERFByo8u+IQB/lM6Qbdw+mOPsfgBitNaxPYXwJ7BPtdta3Y8R
AXtV03XuwMm+OVFzbPz8DTJDchU8Dp8mNkZ4XmBwbRb9K3muADu7oHgtsrnBJqDsd7JoVWl3aHqA
47KICbP+2DRiG3d68USEXfUKkdrPWlWkV1HZO3Ua7WdZNUZ+6/maP2/1pU4zqgbnjlt3f0jzi1bm
BxmsxTQIdcPUOsiAUSgzZEtdO9pgo3sBIZzFkoN024eSq09RbRLUK5qD7tfVz15Lvuvx7MB5bfw1
23TjsVL1ZmekjQIeaEauARbntoy64vmf5kmTw5iV1Y6ARb+peizx8qh8Lhc2CjBIXJIXIkquFJg2
NmnOT4o6eTAxDpB9rZmnlBNV5OTH6atTFN48FdNbnEDQcCpLJdfCjp3VrQFBo+BFuogbmmnpQSwa
j0Pd1mTghn5Izk1cVOtGFe4T+qThTnfKCMeZYjolGtF5IIn2i6WRKLCK0PkBp2qTZoHxM+jch74l
IyOHAwdwn4wgjHYAmubtvz8J9d/flqwaDKELXgyWqqo8U/77QUgYqmq1UekxjFcJsQ4+6SVJGUBu
6tENO3WPVBgREVnX4x0Vtv3r3FoVhjeo5Ft2qT7Ffc56YKiyPwq+lYDLjPd7DzD8AYlqP9rbi8SK
1FnpEFll/9O7Gymq0i0GtvIMC0eMcddB02S3dYQO+njdGVNy6cJWe5QNggzI479/DOrv69LlYzAF
64bln2XJHfYv7wN7HMF5O6K7fGLabXdhkvKTFzgfI+JFGEDXZvQy7z/6NNA9Y9Sr3x8GckSZAvKX
v/6wRM+OTFm8/vdbNtTf1jm26qiOw1/O4eFh/M/OE6apitFgFF9uC/rZt2uU0IPoGzHhdAnKo7aT
7CrXF7v/VMt3fK0Cpfrf6gDdxlu10LvoG1Yb995N3NqeGVU5Gk0bGebMbDd600y0XIp0M4UNwsGk
PLw8UcNnJag+zzBCMLyhg+aRB6rhTcvZvV+ORd7/ZTsu9w/3SIjJO51tsMHGQrdcQ1D+76/zMM1j
VM9msp98qF7mWseUpZ+x2rZZaBJAsp+HecBQdyGcDF3yCOit/nLv4SvGTH5IG1dD4OPaqEFliMYR
K6cQgemUdw4s0CJ8MUVWHYelVRblISARPFljcAoNgVfV3+PzwUzgCavqDzE8/Pt3QFuiC//93+XH
69iohBiabcPJ+u//LlSLbCKTFexvHC69XN8iMsT23bMW5CQu0VCpl0MyBw064NT3Uw6nDYHqVWKh
4hh0PcJ8wiZsHWj6bkLLOWS/AHX3l/K9XXLCnPr/8m3mj6Qv0YBf/jOm0PifuK6uEeExHOf3KJbA
1bewo7DZpV1iHDvswtcghUCwDWbwNcpcJPAAnjt2DVPSGKOVrAcBZG/RYiQBHeXhV1cUKWZHpnVR
yTm8ZeRFZbe8MPOHICTsIouFiSx1Ew8CUceI1fLYlkcyZj8AW8U/s/LCopE3Uh7oZKR852ORGl4T
GeyeDT9tt5moqlOb9vaRJPKwa2tjfoSbHXg8yrX3ZZ6+9aOf8/w5j6ag9GiRTCzLixqEvEBQkOwv
AO3PTpAUR41ft7qEhzoUqILuPCtvNbobF9lLVsvi1FXzHvbzd1kvq2SjPEx95Xsqy/717Qqyslmm
bNSxX3V5Huxk3S8Xc+x2101x8/BLXdbn2akVlWcOFX6Tcoi8lAn5a6eldfZrneyjmHWxeKD1BCz+
966xomZP6Ah3x0qrOgQCFcQU5hgujir8TCfNPdh+mnmKS41wfaL6yOR1Sv8gy4VTBOs2UCNWt9Mm
9RsLV7U5mdYIKPNGsdrsxe5C+zwb/tUyQkpLVZf66qpphYlXiJmRvwmMB8XIft57DKb4iQi2zaPd
SFgvMpJEnH1obWyW5RzuMhHC6YgWdOZZ9jDSKtkTGycAvTTKOj0xNoSuwsfblTJ32mbTNHu3OSJW
vPEcX+16FzUJSnHLOK1x8o3qqvbmNkPhV086/pb3SW11jjyInuVOzmrMpX+J0uDomMIs1tABcaQo
/Wmfitt12sA3Tli3vMvucp6RtP6qRUjzKIt+6BgLawdc53IL8lAF6GmklnaSowInUPZ1yd9E3pWs
0zXoCOS6L7J/ZESIc/hq6MnPZhr9b3rRRCcHbTieMf1WCw3jGaFH41mfkcLCT8LdtJYZ5utRSVY4
tmRPsgsYAx0KG26kkaYVGy022p3boybcpN/TIU2342xEB0PRyi/p7LMAsdPvICAbz2oL7QHX0fFZ
6fsfauUn38FFsZTIW/XiBG5yZXVqrWRDbo0/+8pWniK/SE5z06aevACR8QdngTMW/XRBqg8Z+5E/
hbxI6r8Wpaujvjqmu7Qc3F1jKOVXrLfXk6j9rZY2UEtd0jhK+zDEFbmHjmDgmqdLfFATW8Cx5iMj
8ihW5RiJau3zEPPVIH+SraoV9Z7Fzn8ni6HigmfCePU2Vc13uCJGc3HcTrxgiBFtfY1AnixWeS2u
UBr3t77tCD8bq4Bi6zf6H3I2u7SVHSa75ppduPqiKaPxnOkPsu1Wk8OEyEC83W7VUdr8yJ4Fq5Xl
zvWU/RUiItCGGl6axGM/73mJicYk63byPrpCGCfdyD/vebCcK3Di/HbPy9dhi7ZBsZFXTU0Q7LNt
k0lfLrAc5H0Tbx5u9/Vv9ywHjY3yP/ccJDWC/eTdrm0+bgclMXdd7R5KcnNw0LoSYIfSs7SQp1Pa
1cBWyYmUkW3uXdniKAVsxTzF1u3Ws4XUEZtOgGvbggtZ5hhAVG/9yHlP9BAjaVknkBcNT/L0Vlv2
mlgBtfNzJfHCiBeAnrzETQWfo0bljSVI+gLvMn2pMhwpB/dJdgA0oG8EVKqNLJYi0Z4ZLDvKITiA
Od4QDvlW1jUOyeIuWmOFOh2KPl1/DmPeJmzB5XQVuttan76IwGyvk2rt7j2yaur4b3bFXs7Vza17
5hPJ+3VVlg+ynxxaByN2bGJsDrIuH8Vwmoz4Y67m7uDoVeoR2Y13RjuaR5Hk2TkYa1bqo+fn5cFJ
CuytRJ6t0rCc/grnbZrbzc8pnf9gB619cQqSC3Ht52DCEb6bG4ONpdYGT6OPjkzea9k3TXXIFTMI
wCw7nVb7Hps6QvztnD3LK49TYR7jeLQOSAPuSsdCXkib7Yc2Dv/SB60iTaogbmk55jnirbE1ykCF
TYdl9pRU7lr4YB6UZlMZCHOkoCy+O4G4IKG9pD+J2jgjH3IMUCCMtOJPpQv+qHB2/WqNIlkbw+S/
NOhTetgwCGgf8+e1YfGXx9+uG3WB8wQfAtpcGA5fQAlDcFZBFPzX9bDohs9XNOXWnUoUzFE/39Zo
gHh+ioVO3qssuKde/Q4xb+X3WvPhNlDtQ1Tj9oJYxhfXsI5Vtsxau+ramTE60sdeveZRQi5HjiQW
6YfV9OK7anm0MZPeyAFZvpu12PkGtSTFIGdoDsD0ndfZtR5l+2zFxHTVariEJeF52I34nS9XytwA
oS/DfuVn1x5GESbbSqv9b369vQ3UnX6jdXNxVAURLkz+vt5uBNTsSsn54BI2BGeN/M26WCYEuHQs
oi7/MjvhtNeggm+ztus+knJayQ6KDj8P777sAfGl6tl1MJ+Sl2pMyNsNq4bHAAzEyUIB05MNitls
XZ6a752jGzsHqdJdmIzKe2Hwl1+uicRd5c2hk5LCBfGDR3J1+7gKjNVX4F2CZ0vBocZfTITliDoG
8UMg6aOdrWA3zmW9x4Vk+jIX+KwsH3SSoauAAGZ2tmbFBYIXa6uZV9Ibyaq3asLBIwJPsC+CBNuw
W+Kb7LeJdgLxLIvU5SIEIxvUwH5RRsw5l7dprcTmc7kcnJS1XaXHyka+PiO3p8H5I7TG5vZCLbNo
3hXo/qzlINmrB707sZw8y5I1di6uGwOv4aLQdixz1SMMqpUNKuYtNRTlKQnKB9Xvg/fRLvhwIHve
YpF1rQJzEtm4ka1WFqSeQuruIIOPIEl/pqUjLrK0zKiBonjLlxmRp0NYnfilWXHd/5DF0xC/SUgh
J7Cnzqkze1anfTVq+8HurtrSANcNEtkvzcpY7nnoW4e5jPGwA5flnHxT+8/pFFq47Mzjn4H6bTAC
xL67PiMI5urJOrTDdu3wjtxVujCSNXaMO6139EsD3+R5rkV41jNx/eycKyT8xi7zbmWNeCEMzarF
6WaZrMnxIRXxUxq56TOpcQL+oftXZ6W0aZ2TbbS24WsmL9QYxR9d2aobkOhiA95ZR4nLit/TQLE2
meIWGNtQrAYk2f0wKU+yOOraHgwaq6jCN1/yudwUU568B2FNJmMx9WIhnbzjluDsauF/tsbpmHgo
Nk0H2doL+7tRhPVVDlWCzawLGAtpVT4SfHmT18lyozrKm8qW+aGM//NNydaM6KO8KQWFTxYLSbXz
p1mcJMrzhvdcijkJ8JXPTuYmFiC73GQEfkGGBopPgH3pZEsxgftEt05yzmjpZGbZ7FVtsGFLvwaW
FL+AA5nfdNDuSQs7WJbEULBEQ41dlhxVP+izSG6ltJxOelAMj7LNb90rel3OVZa0QLxUSEveSqAq
37vRVi+yLQ+yH2poRjfVcIHDPLkRYzjfLiHqdMVvwz9JbXAEVutV7k4AQpab87sCzQI1dR5ka857
fqVmBnka2Yr/O7+pFKRtF4g3y3bTdSbOrVUnB1Jjxets2fEuUYTqyWKQivbs1P5XW1gR32J8SoMJ
tTHZKFouVeiNe8wbpXgdk77Y5jEhetk6+Hp2aiaeaLexLTopTvoqu2Y5UuUE6lm4LxcNu6Hf4PiQ
kn1nIhcFhiPo/7QemkuqYy2QJpnqkV9vLmaFzy+gHE7jEIzFhGPD9lZZhS5NVaM+xllvHAg9TFjC
LXMIgCCZnn2th/AwzmDUEUfMX1R3yC5VFF6EoioFYNGZDZuqYye0tJpR0z74E4gzP6uKF1mH0dU3
M9MAYi1VkTtgGr9shCY5waTCWtCKhqcv40cV6JQfYu4oi3KEVm7DpBfPskYNWetNZppsZVs4JcMj
YZBbd9ljGDG87koiSbLoEPZEuL9/nu3xG1I57UlWtwqwRr6g/VEWg6YyYBpBF5BFeRhq7VVv0/Qs
r+TO0Csi3l5QlrhReRCmh/eGxxclfRyMUWx00fUbnjTVNm8L25MD+0JVnoe/bv/bpnJnb4JsDiyP
WeZY165JGu+0cMpfZHczJzGriVn7vH0nMNgDme9ugt/UGr4ofPxgjbMTyt62rj8m9oLMVpzjvUqe
JaO9Bck3nmXpVoXhBmnDcdxBqP0cjs6/DnR86tcoHRzCcrQ3qQHPYQIF+9jHTnY7+I2zGC74R7cr
kJnJGuTuxjH/7Ke73bDtbIz93LCMvCEJ1DP57PYMEjDzkjEN//APMsx8bxdG/6/tcjyv5ozNX1ps
yXLZXkWK6KFr4eZLd/R7UYro3ItQh5CfWTpDU6Qzy++3e6sc2wDL9GpXjAeHDNa10dWfMiVsOSES
bXVt7WRKmFXbecKI4LllFSp7+bH9Ng3oFQfZ4G5vHkqa+tZ3UfvkGm71lOrpF4mEKePA2dpl6W47
Xp2kZFeTBa0SknGxu+tspUqdnUK2LUkShSUooP90kRpbyRhWHlI442YaimRa2W7+iO5hfJAAqVud
hElZY9t4N3M3PL8BiJQjCuiWcPjQEFIOZwPIbg5xBt0//U22YjGGwTG+DmkyBNsxIE5XKgNqmqpW
iHOYuBuV7Nijvhwm1C8eg6z8MWl1cpQlWe902udQWScPwlJGb2LTdjV1tI4jxKkfJrvpX82kazZt
FTbbYSkaimofrDiI1rK1MGL3WtXGUTbKqrLvPVcX6pMs4ZeDPO+UFQ94sP86m1C3UVBbTzhlt89K
cu60fHhSF/vzISOF7vqtWMk2WWcFCjZW0UBAaOkv69zk3Naddurj7HIfaE2jWMnibwP13CQtziD4
YANhivnzSnJAnOX+vtAcJ73krBMQXVAJYQX2XlFy7SH3B+t/zljhb1XbB/3VEj0ikkaUYmEhAA8Y
qt48yVI3KuYDxhjfZUkegPxP6xin852eDQh1907w3BNPXQbLafyoVZZfd+T1TYLq9jJjG5rmaRiU
8NkKAUmlOR6Q8xdN/pdiZK09I7QcJFD5+OQhruuHVNeVsyxNAzzacVC/yFJtD/2pLpx5l5I5O0VB
iKPkckj+PjMjt9u1SfUhe6Rq9dlDFqc0XZtGGWNLaLRI0EICmrGsXbmoZV+GKnWvYmnIlobCAMyK
ICw0/WJwr5CNP0fAdv05lxp0HTM99AtEQVdn48lA/XLWmudsgSnYPNr3TUkYRXaQdcMiBqSAhb0N
agrFeLLdbW6fLXNcW4kWAZbOjYs8DO6IDRseutseQyU29DSEzgJ0npYWA/7iqBNSk/1kK+DC1x5X
tr1U1spdC0sUy3mQwlquisb+SjbI8tKq+MEfYD7h34d4CeXuoL3czwJlCr1yqVMCWo3E/bX13m8s
zBNmNz/CYag+CM6SDuHPfyHvqj1XZCNlfY0HPWGzptyLMao+QrZJ2VhaX/qOBQ8SnGy5l/r78ByX
mocaaPZjq6FYM+Pj9M5GAgH05axe6uSZrJOtst/Q1+HvrY47fI4tar9eu0Oo7ZRZhyTXhogkocR/
BICykVX3enlWWG1w7hyj2blmMr8aqX9WMOn4czkBMjnIE0zhbzV2jZPvzYrc5y/RxV14VGr1MfXZ
Q0TyLydPG3fGrMeZBgIk/E2t5SAb9FkLj+5/Rjj8Ty83KpCNcQsYD332tGJsd4NTqa/8KZXdkAa5
J4tpA9LYJGyzksVmTNimsVII6kjr1rqibYchjsEOMdQF4biq+OU9KK2uvsqJ67gisLoUQ4uJ3ZxY
u0+EF53gyXlEYGxThtp4cRdyUDJiESrMwOthPZHK9ltDf0cxDEnDJCvXqpsa74qVE61V8gqeW6W/
12XzMZl6+hgQ/3z9h0GKOgkvLzTrnGOrrShxwlrJCwJQl/xivEieDLPHG8vaW7plbjNFy3cTGG/i
47x8ZVFvDHZWy8tXFlv8VNdzFlZP05QaRy11lTUyUNNXgWjSuu/M7ETIpX8Hk5YbeCbIXmFpKNDN
3PGr6yDai+BTdtJ7RfaSg/+pl67ABclVKyQakvTvhnKWM5Rt93lZWfztsvRq0qHYVsqgeuQPs8v9
EOvowZXifK/JVN7jKzBZ67o2y5NswF0kv0B+704CYd+vecZvmffMGy5h1j6bKnObkPn82teNly6Y
pdjGxCAoW+cUowR7HXssz29gJkb6dZy8pVX7OVL1s9tI2SH9e2SlZfptpEQ7YTH5NBXtPsKr4nuT
70YEq37WOFGuqrK33kxUOjZFP0TnulKSh1oZta1rWsULkRZyW3Zv/NHN3UqOSorpowvn6L0lGO+B
KgsvoUFqVTWJ30GCTZ7jxg/XQZZWP6LBQeWBzFni80ZVyubrHLkVmi1NeEUusj84dfHBoj/zqtEg
FoXxEnpPk/ONBSeY2i76uRidJLDePvJMtdd+YUaPautre8dJrH2hqySJwN9j0zuMH4ZVYGPDu1VV
/I+OF0Knmu7Fr9TitYdCsC7xCNmrblG8ClJV0D3deV0aYfk6TIO4trgl8rsrXmUPc3T2wTylj7LK
qt1mHTtOeJD956A3d1Wmpp5sJYjfXpBHe5KXklVOOHpY7XRPstSGugvfCB8TOXcU1crWwlMZaVhu
xgr0AhBs+U32HYusvmSRCeM7UnTMdKLsldDVpU/z4psegZE2kPQ51o4DtnaG1NGoxbfJn1Dz7Ay+
FHh5fC3FD9ldUcEmjQ4Le1lEl8Eu2uGj0Ltqj7Nes5XV+Jh6rRFncCky7VBoYbWRk/aKeSz4Mb5a
eQslTzcOYMiS56Qw8O0xAHc3do8/VdH7vAor3tVEk5/LFpRROPWQvPIhWVtB3e1R8VJIkC7l/8fB
t6mWq/3jBGqAC2jcFqivLIoNLcx+9CzeYhUxsk4tzZWsz9Vx9spg0G/d6nz8pVvrpL92s1gsHQTr
5PMUSUtwkoh/RknrrhpbxS+hnY13gfNujh70FyHc8GpZVbial4co64N+58LN2MiiVZnk4QkUnGTR
19/6wGq/hHptXMYsSEhjMllvmZCJOyQO435lkfP/Aza7J7Sc4ATApodYdd1vho6bHNaJ4hmxln47
Jq3y4LtV9wC529nqUak8xROCbyEc729m3100OX5OkIEaovrPMseiYrTbAYVWvIdL380vdjl1B2Ss
p33sN+01mxRUhbEi+UKC6K8s7sOfgdibms59VKr25qTOiBsNvz1lIZnFcaXuYAZ0xzaccWvtc3MT
of35KpYHBbv38YdiNWhZExPDL7LfJ7rw95NSB17baPpbHrXOvqwIQsjiBKRsnyhJfCticqrvNbdJ
bsUh4FeaYX3miSI23lIxki3X85z3K8XWjEeKVnHrbJOu3lcYKd5arTpo9zYRodvYsLBZ56UhVoPL
2NIie9JMKvaPy11B78mwjVP6W2tmQiTtHIEK5dLqumW0D1RlurWmrq/sgl4Vt9Y5jf0dKXbIGMvM
tU0iBEtw/dZqqjg9mxqC43KqMBL6TrToqMoi7zZ1N3cNsgXL2Hwc5p1m+pimLNdVe23cYd8GVWtq
Do1Ttnt/yt/wHhrHFSzL5iwP/Hk/z2L9ajfzePq9h+wWQnldkchLd7LYlJgM56GJadJiH5kZmnN2
5xacUelfefnqNuIoVrStAsRPZaXsJw9BEf+wI5ClsiQbLQX9yS4btvEy/t41TolFpTG5sHudPGs1
8arlWJre525wZn1wQvPYRD5vPNnNj+HcVmjleHJiNePhs4pgj2ewrB/uF/ML7EcqpXhM2JD/cn0o
HA0iR3m8kX3vF7O15GA6TXm613eBkh3Rrv4ir3yfO8o1Z01gTL3NYb/4tgpVdLFbkQclwmkldHHJ
nhZW2X+q0zQ025Usa1hl/H1qkkpDvwXJAV3JPAHA4nQ7lV3bMlVWYYsfn2z5l+naNNppfkBqYbnk
tMxjBR27Ilk2JsVBYsTVNmrssDZDB9cdVPdQBXzLZdEyE5t9U1ichekGX2o83GS9Ojr6oaoFy1jA
V1/VBiqY1QB3BuVsvGVEA2R9krnjYQ5HyIFycmx5yJGAKyQGwoJWJRUgD2Ubu6d6Ochi25rVVvgQ
xWXdUFUkqcnxlyuhCYPIVGyfY7u1z0naeJ2rzw+8hA1iY0uD5dv9hsAX75UkZ50tO8oWNcK2cekd
LmPv9fLM9dXPYbJ4G1sH5tEo0Fz9UaXNbpo05QSkIXWM7CwPkxEhWLUc5Jmsi0gYeeCg6/VvDUiN
Q0BcxsrOsdLvJlEWx9/qZQ85lDS5v61ZLt+u+E8Xk2PV2v1BAHGJzBH6TQd/2orFHnFaDuC6Pg+l
NFBMoZUcrEBsalm89xn0QKyFqww7rbHjlamaEYbSdXCwyyzdDWGQfon85ElSSubGj/latL/2cAGj
/3sPX6lab5pb5GFdFETdriV41Qb5SRP2xtDx2r1X2WmMOMK9fB9Ra0m314vqDD0mO8n6W2d7ErbX
ZzjamV3XPqI1D7PFwLFjJHbiku6r7T22VMWqmsz28VZZ5s0OQN8i5EpdsRyaOo027LGFJ6e5Nag2
/jEJatqzWGycFm+nUZnEOk39bn2vi53Qtm/lQno33ZtUFTnVlRwpK39pl+WmQQvjt+n+seO43IFs
kQc5o6U6n3X3Ir86Xuyyj5NXOMJsEwhonkvGZVyVwVSeR9wYyewUlXio4KYIPaQoWzq/0TovaGu4
lfyVt7LSqq3FFGTSYy+p0T7Vh+a5igTPEi2yD46bEC4Z6uRJc77KNlkD4jTe20Qe1/c6y8THI8ph
06mJWT+HYAWei2fZXR5S3WXZLhz7dg1ZZ4QiRjQkbPZa4Qx7NRNgYLIsPROMS88NsY99iApE5Rfq
wHfX4ShbZB+wnC147B4d56W3bIA7qW6LXkcyLEu1Y2EmffPqZxj+mhVWeK4TvGRmNH6oGZj12sxa
8tAVpnRpAEAib6bjVEGqZ+EYPCKkiUGjAgMzYeu8GjJj+hOi/RoSyhCs0m4Aa6S7YJYMBAXSqHtV
fJJ4vV4j3WEjvS3SJD4oy7oL7lKx0cdpfC0bwOSRhbK+6iSH20wYnRJc8RF87Pj5pVl+8ecMEdW2
fNBNjTyuPaUl2aH/lOWZPDRRU+yNRkfsKQjO1t8HQmtw30cea1nkaDvhNB+y8V7/W995rMIF2/aP
c9yHhonTH/Hk28i57/Xy7F43l050ipDNXu7gtyvd6+TNJDPSyw4uhH93dXIj2lVWjtBWYDZnhGEx
qrcDfTs6WbOp4xn8fvbk2hA5laJ1XstceyyxX7oKEqmvTafOq9lu04d+yNzX2e8aj7iLzWdAq9EM
1lZn+b/RlqK7eOnOChAcOVPc1yq+MeF32WgiFfTs83NhzX2qE7PEhi3gp473Okd/kbMlAwWWQZbl
KTLpwxFE68L7GN23zMfnOx2HiyxB5XzJcjFcb6XQILDljI+3kmXvs7kQT7LkJkRILHQDct1+B38O
bXho56s8aABhN7mvCyAK1OWV8dlQg6jEcsVxNq0wOwuG/9KCqMoq4Am1v89QoRNwjYNwl6cRZvR/
zww53t3kOuhLFxNO6E6ZsUF7zHpsAd08GoUd7yfDhlnWl0BLloNOVOScYT2v+exGWJVS1+nBTq/n
keUpJdk3jgxtVVsRdHXsfR47TJNiZTyJaBq8jMjWD1R4KtX6UaO054kk0066UtqXqSetJhsq2Ob4
doqPfjDhcM7tXxCynN3UtMUxw6wBEcD7aQw8+0hat5nXcaAVx1a18O4aFf+ApQMxZwiVllmXr2EP
DJw3fH0guFe+ZixwdjVW2J5szSAXnush+0IwOm3X3TCvnC5qnsslqYrKzLwybVwc+8DFFACGFLYi
XS6OjerPt0OSD78WfyizlSH0qwQPRIXgpSxn/lyEvxRlw2916dKvdHIsaOUQdW43PFvMfQ0caAxD
Mh5TFm7sUNSwYqP4STVrmDBVU/1oeuvVHYX+mnSjsU9sw9+mZe+/K9AIRqA0P6oZydG8n9pLLDL9
PJLtXFf1mF/HKBTNLghgouWgvNDDGPyD2iR4RTaa/6gtB3ZN1WVYiGwx4f4NGFgW6c2AawyNshuv
6L8IX8dHOYc8hFYECDzYQksFlxYaM97mSBka+vRNL0uUNkmk4wrVxbuoBxHu92Z4idFxuBRViOZr
41tEIijeG8KlmBkt0CcdE6Z7g2KZ1VkBuGlXOcq5eWN/1QMfreWwth8siMXvQ/fDWqp9PKAO3RIc
JEtQrUAwB3sVrisKWIOCO6qlnCAPG5shyEj8LA2yTraaKttcxNrpAxy2WqNBuFKy2b66LQhxxzai
H2JKn5uqUl5LoF37Zja0bVrlytfcVNayw4TDttdViXGSI/0cqI60XsFm5DlTBfndTyuI1kx52yX6
NbZM7UpEctgGmYKDyN918qyOw2q9hDO2kzv1cAjZGfXT6PDFZKw8mHWqXdziVRb0ggfEKgP0dxgL
+0+7nrpkw7o73Rgw+Lz7qGoZH+hlv2om397JBnkrPtgHLHwCROYXV2wbKr7SNeGXCc/3a1+qwYqE
PgHnep52dtXYG9nN8UkRWIbLe3dp/f8eZfZR9dZhvqToWv+IOFH/CBsBqQ8dn2QySad7fRflJIrn
2WE7SDfZkKRCnAixHuQgWc//F9GHdlhCXLZ+JdtNhH1wrHdhiq9SVCd2d+gO2H8pQYN8v+qUX+xG
sbzeBV+nB2F7aHCM2oPM0q9m2XyO5hP9Cnr4px50fzFdcL7p/EkFQHuRpglNXJwiH0PPuzSgbGj7
8ZqnifC0VAUM3DjnSUVVTSpSxb22C0TknGVJ1i9Vspc7h/7ulvjV8gLAn2GFL+Wk+U9K9gxIGMrL
cpixZPLiaoy2sghcdLFRrqZdFc8IWzrdqVHb6WrOGUKWZN3XUKrmg2yM7HHa4sKcb2QrfrfjQ5bj
wyNb6wxFrwkcl2yUVTAtgNoa01WWTJ8Yg9+cfLY3ueYtftPpYqfRAyj1UgDpa1m8+1XfjG5keVz6
NJXSrqWntbCdEW60Or04DrKd2v9h67yWW2XSNXxFVJHDKSgiWw6yvLz+E2pFusk5Xf1+wDPjqal9
QqkbJMuS6PB+b1AIMmXJu9wUVD1sJqb7vLa2LlXX37GJzR6361t+skdi4pl11itcaEQvgzAB8Hkx
DzEFJhswxXRidHR5JR6LJeDE6FNlL7Nqs3o05SN1KXXHGxpfsLXTWdj6jJsvUzNUkCv1NJjzmbw9
ZSAloP+IO8t7TkObwebFQdudzTPV1ix3jibo+sF1PPtgltlHlVQKJH1bCQTlyRPl2DNGwPLFixjc
NTSK/7gA3WaHQ7OmmwYeF+Z03R4pFnSjusLAUbf5WhNlzIlvr1bTYy8Af2KWBooFOWNKHtWItOM2
MnduqYPipiuT/ORML7O3rog8rH1j/j4WGHMZGnqzBHddovLGPiPk/p98aGy/Siz2XivViM+xm3/3
hviHSGLvGEnNO6WRArbFdphZUvIrWu6WnLOjvbIZ3HY6J03F/4p/jiuJKTYtf8ZO6rlCiXgQ2B6k
EezzWnvrDe0fT9NdX4URtjP7CLRTcfzGoECkzhB/xrgPhpG7B5SgIHOqI7YLzxD12fNU7M+pE/r6
IhAAUYjYQ3p2EJ5WU7uj0rEfx555Wc2SywRt0Rdl99gDx8cg9r9Tq8Bitja6fVxq9aHqlNwfTQim
ejYE+EpCdJLfNbtffnR1fyS/8Nwu1pNRNerFa+G2MjkNe082ha/J+W/U/2gK3JfZ+/7BCpvPov2O
y+Ax8YpvQw6ZRK96pLjlqw5bzR8bwuV15VtcpIHV1EwrdUf8mDB/ZMUHvl8Hg0+m8AjNm5z2j8oy
YWeZ76gB6hDKMbsTwl58MxmADBRlDPSlyCBYWf/oUl8gfLOm9GQpAi74jph0XxVMsHNO2FRdpVdp
w6xeYup2VkpGwVT2R9iiP5SxKN766G+Nhe4REdpdAR1lnbBcqwkAKZer4dSUMXkszk7V9Ct8TP6T
pcaVCXgBiuT4J0vi5qrNBmFo2Vs/DNrdcMIBBmWgROJNQxeyK3E22E2MASCe5pl48au5TGEpVJK4
0vw6dmQ+aUhk9kvKl0GhdzhK+KShjM9e3e0dnfDEqGyIyDHHl16TDYvPrj5KG9PBYeifoX7szGYe
YSGboVa6iq9KmcO062/OUlKwnMtl10dFE4pkPDc93FyslijNQl9XevU0jmjMSrOA+AqvC9t6qv3S
IUKlokzU9aTFDaQyyMi+ug40Z1JzRF/bx66XeGdKNbBhQAqsF07Lgo7BJALI16JCC9mWu8HYKyzd
o+YMhu2bdTfD4lDDxBPow+ta6vt6rtuwTzFOf9oe1ujeMv+/zi26SkdR2sOxVftzWQF0wY7kWdur
aNvpzxeIyQhKIt3Pp2U8IvYoUDubjU/U+4SPxtKGwpP6werVJ1Wv6hAi+cIdJl3iUtgf79oZkkmv
z3+Yq2xkMov30orVTZ6Vgc/sF4e2jrlCEQdR5ZBBlbm/X8lz+p64bOBmp5Z+of/Ubecmot7Xqemd
Y7SqeycZflUtX4/wlufKtDHwrfBupgJfFqtJ9uA9NVkq8Q8meNUWb4Vc6n3WQ0Ru+j+5g2cJRF0H
29Sq2i+KdJ+GJjrni6vcIgx+o1leNKO/F1ZXHnAu+d4VmbJ3opYvD2NH3H+GR9UWAyV8CtVaW95a
OfwTN2aHk6G0j6lNQaUa+0M0NEXA+00veT4dPckHkld4tui5NTzWJR+Wlom3fKSur9dsXSJxTJP8
sAAon2zRPuR5ibVPWt7HSg3Emg1DTiUxUWSmUdFMD10ZPTQVrhIpN6OqDc9VpH1I3QGqaZuLyn4j
6Jdh2KNctEJFVwSYfWqeM4HJRdPVf4VWlj6Z1Iba/MWlJ/EnMyGavM0ITI1fusLQTjj0NnFv7XBA
Lp32pmbivTZV6XvGxNbXza/SseNDY4z4C8dwUxsvP+sai4TUTT+6xlv8PnXnwGkfqi7zXXu2feEV
BL7nlXsoKfdceyiLTdx218LqQXOxI8FMDR1WJ1Q8Kdv+Dqaf+GKwPowyRpEF5PQkVO80ZnieuG1Y
KvMfz8H/yvK+W2NO/KcxngsqT74UlIuZnKdgtqDzlbrnBsDQ04mdV0Z1DTebLK8vydgxBruTeSA8
Q/f7NenTyLR3BN0T3NXmwZxdb5dUA9kZKeJUMSaX7TAIK7lQHb1keWMjHbZzaLzDzU0RWIAs+bmt
+H3X/E0M690a51+N3lEDk+YDZOxLhQrRmcERTdutd/ggfGsJG907RfaGrbh1nZju/a7JmlMVt/lz
PsPDU2T/IvrFN/s82+cs6nY6wixMsRISvrQRLm1uB71GsnKtCwNDIDc9NbkbPxBLE+H2Y8jL4uXW
OWKlFgqZamEyGig0ZbFcyiQdTwUmyA9Qw42jJsT8OMg8ZjGLrBV6TH0YRoIRqTVp+ypJnee8i+U+
bh7rHlmPKWyKqQRA4p3BkrioyTmUmP8GKwsy6FKVurkJJd4SwnqzDY+4wEXU97Y9DYpN3kCRuPeO
on3QOFaP277EY7iHBmTMRDJhka9+W2p2Tlo9lB9KTU3US7vpXFmmtUPy2vodw+XHZKH0kehaPpAV
d5CT4T7AUyX1rxfGBxMYyYpItT4mu+/J8BUq2ZoW+RngIh8xhig+w/r4AZ7Ohi2thw/NiwY/hyX1
4VlYIVmL23zEJUMEPob1BxKyCVNtLN5ixQgJHNSv+E96ABJOtNuaiVj0a6GgIprkx9KlVYAuyYTT
HXeH2pyYZE0zlDZ74ig2h2uHieu15X+9TG5zgHDGXpkJaFd5OVLLzLEeWWuDKHnPytIob13KRzaa
wWDzLrEYSrHynkY8kjGF6WNjRUFx84EaBe03JkHPnkwtsKGMH1RVaQlOaX+4Q0aJGW8QNP7ljZrO
fBjwE9nBFLID0rAMf9CM7Km2RsefRWrsUyBg37CGo16mHpnkyXhYquuQ1vOpb5PouvC/KIn9AGfx
nslIPAOk9j6eVExZjaI+YYWOo1+xPNvmzIRdNnMAkAC7DuduClPsZNUh6QPEDN3BWENQ+yIJUMSn
T/bYl2dvIWkVa0cyWKrln7IvyRkpl2NNKt9+rrx3yMG7vhkThC/c/9EC43euXcG/YsMNIXC4W2Br
O/Y+SmXsRxlAa9vggyN4eEgSJEMiwuNLG7NnW0mv+jp0xxnAlZ33za7HO1TBh42JWyB8ABDAizWy
gt7LHV/NSwqRTA9dEtmvY+UBqlv5oe2Nyh9LQI3Si91dSgCc31JZ3reysnez2wwhRh32YyK0hB/d
Am+hBS7TTAbUgiX0k1MmD4VRQ9I1Hmas6faDNScXtB31kYW/xTt7wjetPmk4ZgiljS4dtyrmUNUv
01l6gtiEdRqwopEyAUKeHW3fdVF5LGORBWZyb22tfo7nSfdB1P5h9KbCPIo5LCx/mIfKl22sPNlV
218ne1L8gnL9YytGEeDZzD+ueqEkeqMogXnSrnkG7Ybc0EP8KRscKAuLAG1H03Cmx/PSx5TWVbX0
irzxwE9iunYt1UZiFL0wjlwSU3P3ESP34xArmT+46pMJoLM37Hn2tU4JO6+8C2E7D0Wn/GkmvqjJ
0oxHs6qLfTunv1sD/k6DqTjJOc9l3yQP2TBOvpLMjj+RMtAx7+MKwbSi2nlIkHe0nyPSg8SAUrqP
IkLXsO4QjvLHnMzxYkbQt6ZKBrKfrKAV/E76Ss9DRQxIQA2A0Xkqz+48kAzilvUDnmNXtWFLZUAV
MYhE1IncgCzLikzk9qWZPBJdJhZPWjO0R0S2ezkpSNZqsZxyK2uhVlZvXVu+KCqENwy226PTtt81
kemB0Wgmd1jGzeeZT0s/oZJb4rMbk1q0YqL9INM9dtCs4GNt3qnsPipPihCNkkr1avmnbQ24ciwL
dtwUaCjIWQ+WaSJ9qPe+Z1Fh+p0zgHVg0zRleEO39hOl0uk6QTLEs6g9ZG787mBWs588nTRTke2X
KbbZDA98QMMgDnYcqXvhZO8EAk27Gshsj+Wqus8kbMJSiTFa0auHYsIPq42YonLbNHwHS7iDkgxO
0OVJF4hIHsHgsjDFetdWdfvCGv+BsMsOG/Pk2dA05VhxI/nR/JxB4BjzRLy07Gdji0Kz4VI3EehK
urplx6o2Oit9dnaVEU/HvLK1XQLBxhcudrLJUywmi+VNOwQ5DMmd5aQv0hMX23KbfYdFLnXrXD0M
yPFOi6N6KH4xOWEMR0ozpPmhx/h96e0SO6+ELAb81A/RrO5bx2185MrZIfIsRpJIxHtcnr5r+O7s
674db1oOLJSjvql1nagvzyOz1MD4q46SaUf4442vygVjcX8Af2YHoZB0MRs7J4MjEwPKwdZ3GhJN
Ggzt9CiH5jOJdwk+g841UOAGQmrvmmBgSXGoLRzMa5wgYIeX3WudIeEyKAR61PybCQZ9Npmzr7KS
NnuiwRh/fmKzMF5Ekr0oUb0Eg6pFj6I1vtsmdfhlqMKkT8W5mBmuTQU6V0k1o3IuDrtMpKcXsnd3
Gil0QV1rOCKVEdK5CJ5S2oadXkDymjI8HePajzBYPaoKe5ahtprPg7XAgjDLnGgk23qJvHQ5oNEk
DCNFkNovCjv1KU8gAnj1mcjLPpxGMYTbo69DbJt9mCdQp9DUMFM7wO3w249zkblHvtwqNDK1Cm3w
rkO3lNcZs98QS6QlTHI2bR66pGB7NbejGNBn07GmwIgNzQX0wvWB+q9C85owrYv3xs0BUApzbE6L
zNkie6ia3WzGlrifw9Ho8TJ3WrJwbS3PfcvCnUUvzPOgrIF41XGalyJkFinYBE3R3urLd1vCCuiG
uOT1gVpacnZzswwUWUr2Um4UbgeWr6xDZXq1gN0PkaI24dI3+GWN1rFhOAwbNYW7KFmW+nVTviVp
96vtiv7zs9oebR+TXCy8z+docXF+6cUxWtMot33G9shdm2s0H9/3rqmKiTfNwZ6iMbTjO6KmioFu
r2H1z+6CqqznJO9GERda0Kp1eu66hYL7stPG9EVTvIQ0e/4xim8WNpQ4QbCCb9soChik1jdQPw1l
e00VhgssdAOZzlHuSzWKjktWn8a2xlihIBUxkeexQ5eosFiDBjsZ4fYOMPOgLuwsd8p2FXkVhrsE
28NWkxXb38jwZQeJEqsQ5N9vZeGxtRpN8BoCqUKIDnoo0JgHlYOOrf7pLtlPcBeXTzbCQ27QLZfd
MW0ysIhBleK8fVeVPpVhsx625nYwMfPgZ75+lf/f6Ygg+v+6enS89jCPAnCxOGrVGBC2/J3NSR+0
Jq5we1sxMRgp0tNQ5x5FHS6IK/K/SzfBLH32G6+BnymcGsodhwHG32H+LciUoAI4aUr3EGW9PGdK
jp37U09M4KGXw0sRVQ8p40CISzYJaVX+Azu5GKC8RabVkzG76E8t3vDA4Yq7d9JG8SFGU06Ik+U1
qvOCsXvJD9oYvzhUxaL8Ru76vVFd4zisMIFqWXk4xdhENo1+mTWibY4IEZxb33APe4MLXzIv37xN
Bkn8QBEjpBzGs1LaKbeOO1/FjCGb5SgtqyZwRg/zhnrIwkgV+HJ3CssqxFgXPpozXjCK5S9UnX1l
gqTlGrqferF5w/GoqKo09MrlN182+TSQVs/mWJCtqSfdTlIi08fOu45iMY6AyhWqsSBhC7GzmrZ8
UnNEjQPbqEBkVeL3WVw+WQkVZ4ysMO0vjgjtlx1VGI+rMHw2JpxtybjR3SX9gPXfXKIiMQMikYtd
qyz1Q4pxhqGVynvFMHtwpsY9Z+QSvZCdSU3aWrpfUyqOztKRPd+ZN8cR5ZFboDhF4OjvZRHhmJAo
P/rIrALsaQcYoyK7Kir7ntYb9lUmxY+4kneQpIAEbvP7EIsXDFGdP7kAT2Ne0AvFfsoili9FnNR+
oxLbZrb2T5B5FyyAMcpRu/4EWPJKaRCNS18jtAIt2ZVxm551HOd3Tm4uJ1xMl+NC6WAHS9PYLUrX
7lk+7spqTI5qveIdHohUAdLaid6+QvQnrlAMrwV6EiMp5fdIqWyU4BQT9FtaqeUqXpF71bCX13ZU
v3et9lGMXY07OYJJqv3UYchqSdzEwwdoLHZ4LqcvIklzxK3pzCC17+Y8u9R5NV6sFb2bofqORlOf
vKFR7kRf74VnAKmi2NtFfbaf4iS+wxT8KQiaejQbXXkzVEshPkMd926fw2y0SnnImsn93oBfN54L
t76N5gvAZ7zLTOyUBirIJxz5dy5O7j9abzQCJ3W0J3YAxrmpZHts0Z7dpNmheqcS/qfBPtjykt8N
gcSspzXjxSuzas0eMU+eMYgXo46ANhRR/MqqP9gKSGqksvKXxvZusI2jQywdBMP1QsbWki5PQAy/
Z707L7PobmPbuS89xhaygM9M0HRzxAmc4Wirf2e82XCreafU0jL/q/15erty69za22G7/OvZX33/
70tsp+0l2sZ5zMqUcwzyifpjDTX+fFiOxB1v7e3RNt8MUuWirf1fD7/Of12+9W2H/+nbXmfrm7Wu
2BlqNfns7TK834qiYlJdH6oOSxjg1H/3GoPJgmA9nylQdvfksf2r/fnUz6OYKQMqlnKIU1GH26Fa
p9nRLDEf29pmO/+7jXs1q8gheShnPX61NJXbwc2NABJR/Lr1VbnN6J6Y43Hr2w4q2nRVjtHDZ1du
p88xw9jXkzqSG88mbv6ffduJol0a6jur1/H64p99idL6mjao568+dpwBZvbGU2lm2l66VXy0KqzG
S6W2rmplqtco9yRT39T9aFztPYeIfNNVZQqXSOR7mwCil3Je2D7Fs4/FW/ldwrg4JgRAniiMoFpG
nUjI3k7TvWE3NBlYSlQ82uXQPphJdnSZYy8kebJEWtLsjHLsmLLlvxRYth4xd7kXTeZckR+qe4Vt
F8NKbD+O3ZSwwlcf06kLMUPJL6T3CiJ1IHLDolr2hqfZhJ7k+MeVyw/hYDvJB+3dAPQfi65Rv+O3
VuzEaBd7ddGeKTf3bDF7bBrLdApa3A2PZlNS6VExZNJ0hHIsvXfpMKj32hkhjHbpqqYAScrIhyKC
KjY+kuq30fYtO2UIjX1svS+jWe1ytHOvmcSkoJrKn2D582XramK9v3pZft5a2wGhcHxokX7vtuu3
vq7X7541NA9ba5DlQoVpeuy62YOn1oldmafjayGiAhmsHPdKPI6vW58sWexCjrpuLY9Uzous8z/Y
0PzrgmXCqhpUEg7K+hrbIdf/ytESL9vLeNUizyrRhf7XBUNP3IOpNNl566u5bx86Jbp6LTX8udzh
lxg/a0uuEuKZzgfHjVd4gmF764st+ZIXVFC3LqscYN1m5a9tXN+65LjMgVpp+nFrJnNbvs6g4p+v
UBCBrUNU2jivG8kVOuhzUiXOKWkZX7Fs+Tfp9vOSdmF9rkXfvvr/9zog/gI6pKEfttf7unDQ5G2i
GsfOJh8DHJzKRywDzbMxrf45tZz8rW87DKVaPnbrIU4U6Jz6vKyeT0hz/nPi62ItXZxTpavPX13b
ozmLysevPjfJ/6hew+qnkZ7vNm3yWOqUjAVhvZ+PvvpspYNE0HjhdoVChenzsiKus5OiQ4bpdFzH
k8okDEXNu3sMELSPWDMctqYmypw0hB7dtWO1dxFFK8lnxQrXi+Uo8lMiBKTqtTmKviIxGJ4JVk3s
vYR9N7wMfltpgjCvTZOi+klvYe53Y2/fp6IZT0JhxbadzaY2PXVNNe9iE6380NlOGDUsSuwUdE5V
NIFJWma/OUPBFswT71vLyrX0ttYJtpZ0I/vNMC1ckrr8Zesq+5jVRF4tD1sTxpQZkOH4vcbnYadP
tfdmyUHBEkwqe8vz3DeNpdFJLVjUbc0Sqxf811jkbBcbDBfPKBgu28kIRsfbN52f9RCMs8F9VVXP
6vqiacdyt/O84mG7kFhi1nRzTzISwYX+1jcy8+xFiwuVx/7ek9WAiIYpb9omtm1ucnUnAu5cyzjd
gFwkMGx9OTlZexDOkMH9jOWxwC3kLR5fqqrJD55CMHQ2rr6Xo30DJLAo/mr9voSVdVfSAXQqU7/1
ccrsPhf53dKmmXU+oxyhMRlrccO5LBK5Mz6i2X1QJootXvSOHTQRHBPmz15vHrdWXY3Nm2OcGR3l
3ibL0oEVFDq67iHfSrGiLiJxbyeQrKymJIWMRj9pRewEgprAivI5wQDTZS8zsz8AY63YmMtyPr/N
vVEEpp7HJ0/fYT7qPttrHsx20LOTYSpPRtF863WFKB63np9409hwlBN4dcbeRTGQRSYUj4PYrpAa
6ngI4ppV/uiK4TmKavWNJMONceM3phfdcnCttGatrio1n8+swS5aD9sjsa4x7NJ8jIs4++zSpkiG
ijG8Jm32q7Jd49QSY3EVFv5wM0vcS17nH6y921+uKa7DlGt/iNk4pF5rsVl6aufFZ0FeUMPuOugS
Vup7mCt/i1f+tSgaPyYb424m7VlC5P2l5RjDKc8ZMSavul1ecOYtDqUGTlsoSbF3x6Si6C2/seir
j4OLkEF0nsCfPu2ezaFsAAJs+asRP9R4sY9eq63s/MLdzSoYYZGIkuBsF9BWhRlrL/rLkozF29gn
q7owE+HWzGr8RiFNPKC8t5+jfqYO1Y81Wg1jepaNuerLkvYAKzg5tTUeIZZSnIh7IsQhs5sToF+z
N1dZOTtz45WlP39+oQZJgWIHCWqfKBT6KWplfqJ3EvDG9k39hdTB13hhBDIYag9xpJekfRewvhSt
uutOh2dtXrxY7Nbuw+JqL12rH7ZzWJ96l54MbX+yf/cMzndTON4tr7DnJyLjPljGTIo2IczruQkj
OLBmUk3Xlorf4ms9gNyvrYFi8WtBEu/Wwg+4em299CCiyrp3ZU3YbpEft3O9Z6kvTtScPluVWb90
43I21VTF1kI/pXW2XPP10KnjZUk6HbiGVtW3w2FwFRsvI92+TrrmsOedcx9EB8+ArdNYzyQWc8w8
55dcb+yrOmqcjeZu2ZtSDhjWru3t1HaggEnM03DdGp8vldetRVG1BEbNR3EahxxYshUEprlWIxAM
4Ry2Ncv1D1AEsHn2SnumagGdiObU6Vy9uOpy7sX89tnczmhNNYTSSq95NnyYZVKecxCv6zDU/zrg
gOnsyZWrg/85Mare9KjzVr6u7QxHM/x20mofAjnWIuuryA4waNITDAPMKH4yUnc6iAExpZap8RN3
EiIBe1jmhzXDaOvbrnOJBnramm5tPqO4A2VYn//Vv9Qt9kWNreDLGDcs5SJtJ+ZIoDjlUCRdAcEY
ieWYVRSR1z5pMnpiBBRD57C7t9wq7lVUi+vW8rw5WqmVJJKvJ8cuUY7KaCdspIv+TbUL/dEm9wPG
SAfphStqaKlsjm9bQzTUmPCrXx62ptZB5UCMlx23ZjUXyTkaPZjD6zOx8cyfllF+/uGty7bmQDZZ
/Lq1rHwEYh3xRNmakuz3vW2uQPT6dGFbVYgWw/a3ZqY71nODBHdrbe+vi/VTZufN8/be85XnNVmJ
Qp7m+r5XYtGsa9V+a1aEy/PTLEi72d6bnWODlGAEtba2V5PR8JxVQLwUlimtWVqhBkrdNqFNsQAg
ea4Zq82yPak2laGY8M+7M5Wzn8Sx8wMC8aXhEZl03E+ttfwFt3ifQUK/Vz1yEYry4kbON1M9S0Of
jM7qCoMjO1WlHYWdsYhLFCnyRB2yOJWYeD7pefKeYc/2u5udV3Mmr91xq99FXtpELqdTqFWEGrsJ
7BuwH/n7TCG+BcFnY6DFbnLNpiKBiRPHF0qkx2Ra3uylMHzsOKFvVJn92C19ufh5rfHz5k4dsvxp
Oyi2nT2BhmKRHf1wcHgMhhQFujvW1NPieoBwBfUcDZ2Kx2aPisXrpgtk+eXctPVPYjOVs6Xl85vV
1/zspmeNPPh3ctd+FYsbUKDHubuKDsIWf+o+T59kIvGtzRzlgExffa+sRGPR2h00V7fvwj5SEsu+
GcsyHgxFJntXyS6x4v1iua6GZiP/mLL82U/CpLxTOycNxihVNpfgLIzGpibJcGBC/OAJI/1npEiU
zZYLFammWOlwY6f15O10QXmphgjwWpZHEPmEkh+h512REP6COzFVAu1bvcTeyfKofEJ8z/a1wB7T
dCArjXDh23aIHqx/XFTf17HQXg21DRGi1z5VqPigliBiFnaXAC8TeK/K2rxxjKdp+kcn8cR4KTvb
Pc15j/3hBEG5CcAZlZOmUFdD01Qf0M7r2INERvgLqod6zUDAdvgr2bvCLtYc2eXM9IjFph1/r3O3
uS06kzZd+pND4R5ytyNATDko5iQeJi/5NReELk4j3rlELf5dkMFUne6RBhi3gTWI7oXirXa0akuE
sVWAysvK3cWFarzD/Pw5Wkn118QFk1rQH9n3NeJvAVhfVphDjF3vq5jUnUnuG1/VUpPPNSyVrbUd
aqvTDgjnAcfWK7ZDVOkwXSbvEiFWecVGRYP2l5zgRuwTshieBs1UbzOl1b2nU+vemhZGitc8wQt+
PTnALryNBmLsyR4eti4D9cHRkXa9a91Uu3mD0cHyhEC0trYuzbAwfOuyNNyesM4+Z4OZmbWLPJVa
tLp9Vv1tjqC0mrJ62VpkUsX7zI2I0FlPTuxsqFd34dbydK2/SSWDIeBgSb/16WSEnAevsFHR8ITt
wKLkwK1BvOj6hNhV5n1apypsBK5gVZ089zrVh/Wksh6mEeBPQTRw3q4A6h7DqMQF6uslYzcLMV9N
P99zLscykN58mxPgjtnS9FsbEY1WNCLMcsFMV3bJX7uz8ZVm7fTqCPs1G39XZOK+gWkGs2FNRJMU
xls1Vb9EitHEdg6IVg0wp/ROMEbNN1sjz1AZvHG/XVsYehzWxNQE29lRpdJD/Lp1jMxn5vsKMkwz
56EnWEEgRZOv2wFzlHJfp1G5T//Tp88y9+Paw7zb1uXrHE+wvCIP72/zmAlp3NyyN27pojDow2k5
b81E8fqztkAP2S7RRtu4MYHNTi4/ry9aysgTLq0ne316HTcH6O4Rhuho22qld163Q5q0jHbtOJ2d
OHFeO7zRr1OiIDPXIaCVZow6mkSa43YxiKB4wUuOPU3UFQGs33bPBzTtITb/6/Wa/m+ZK9EeZT/E
KGJTXtHS6UTctf1nc+vrzGbXaMxnW4sQ0/K41BDsPpt6xLOW/BhB3HjauiZjoZzXJyqxHnV82/rm
JQq1ghtjazWdMpw6qym5gj+6HQZ7fqoghzx+dqGCJNFq9HzDKeSz43Kbd3hn2bNu+tR2qRQbY/y6
HTxVHNXSWK5ba4rc9iob91jqmUyDpV1R4KZ2/O1sKZnlM0sHOmvT5PDVZ3jpH09VmfSGqn3RJKqy
Pw7ZolOrvm4Hfkc4eAxUq7/6InO8N1KdHnD0UV+HOEoeGs3++LogZZ+C80bbHr/6XOLKuunzRdth
xLACG6HAmuz5QZfJczd5+ZU5ML9SQg8HRBDh1iIo01b97aGXiVetM7vzf/VtT7Pa8mfTRfFOq+oc
kk/hvGwHtwEldBAEoFCnr1IVSLrUYppxl6JRvTVJVN2itAJe8xJ53PpyWYBVJlDMRVFWwVxHqs9v
PzpvF5sGGa0lLsWGCf2nUonDyhhm93Evm1uzVK8dQOEjfq/NrUwxuTWFEgUqclCyHsaL05sDHwAn
BfSpHYVUmFKa3dzUuUme2sQ9bye3LnLGNMD71jtr81hdZ3O62I0Y+D5H496aYxV6U9PDCprj/LGJ
q31R7RV1rHZt6zQ7zYoXiEdRezAVw3kcUiQayRCla/zYnhy3b60Rlejhh4eoGh6tIcaxXVCTQpfw
M+qTgyUwPEgtdjolKwCv0urTJO3fi1vAYGvO6hCjnFAEnG510Hcda5CgZfVReOQL6bm/wBIOJqkg
JI2YzbdqH/wY1PUmHHRVGUMYE3etceQxZkIA4FahpENSHgb9oi54zXWaYlBcQJ3kKsds0t/ZdzHY
wF7YVYZ6zfvsTBi18lD3FfLYYXTP+YAAzjDuSTsmbP9c9smwPfNBuLclt7RwpqIN3tEBJhqlnxdz
h2bKVyeSdHEnpnz7f4ydx5KkSKKunwgztNiG1pmRqrJqg5VEa83Tnw+np8nJ231tNm6ugAhwHBe/
GHADcPI2WtUj30gmw1e5vSt+5TxOInwDJAZzKHR4j5520atQ3kkYo6yy4G0cxxd2hDZBreS7zKzt
c5vgBsNCANElGDoU4E2tOCNa9gWERY8LXd3ucsvHx1VV3Vub/uI0/gm5FW2F7nO3tnSNndtMUi4J
Y9XE6OW7FnPmrkjGs4HgrOcDEkkkLBcjFU7eEB0qpStPZeOWW+wju01lWd4ltstxI9fqF6/HPwDE
VLP1Riga8pjfDeAf90LVX6UwKA4Jao0XZBLBlfBN2caVVV/yLGOVRO3gb43u2iuG9gKQ4NCUCDLW
ZbROy3zvJL1zTLWh2MSMG5ha6f5Kw01rXbbNwSgmRKDXKFu9M6MdAOEfSDV9n8xEDzq75GvuVrsG
DtesUWdjBY92Y1YScL2ors8KIToJwLXQkmDG3mh87TUTto38o4jUAV6dXp47gAZHaVrw0Kq7GFEr
07CaIQrNqGEfJPYRZkkjJCOCrpZf1eR7a0q3OIbnizjKOg7voJf/jLZWnNh/k/kSRiWaa/JpyArl
SYfhodPs2e41yy4Cf2MVay31g0uTFt7J6xlhJArv7+DjyxM3OXJ73dR684QlK6tFk8IKXjHqZYAZ
sYZqFmW5983hh63L9qW3o3rNUmDtsxQ6gx3wVmNvybSOXuvjCOFBplFSTMuyclop+QIRIF13YfCr
SnJcsgP9wLe8jUCsIG9V7rihf8oYi5ieZXh2HzDlqAvjkYURdRWCLtu4YfXs2BUcM7vC/U3WsqNf
0g+Gkr4eu7Za5w1rAmX6iKapfGmDQLnUU2DpGFZakDDjdOWrnrvVG5B6vqIyQ5Gshr7XqLZeFNlr
QFm7IPN+Sew8oMQQoCjEUsbP1ujytxpZcz7ahybFxs6y4TSpHnsgcg891WF4fPUqgDzjnRlJvWbf
s8j1G7bmyQo3gNc4lH0ubxkThHozQC5+6B0W2Eu1GdgV9p4QVuHzWRcglFy5AYevh5ce5OUK2yxG
FUwKm0iGw6PXLF6PsbcznUl9tmh/ebabIFCmAW+01RgQg54CPHT3/ohVowphftUoUJnq3x2kwQDY
77ZygPOVpsWqs7XS01peIzSdbeWsAaHcSBiwKLKEfCR6MZ7nsrGQ289DMTz1vlldWGpM1mMzIIqW
1A+wl59Yaa5WBnryR2dQQYGqrnG0TPskua1zkiLXPhkTTqcIm++V7VzygG5WryS6sbgoDiMKS1io
fusAou6LpvmG94EGJ9j0tlIeDdcOr6KLxeJxNhGIvVh9ji37DP5hYJTdu9zB7lvPrJ3VDQ/4Uhhu
Va1xV1UGiSIJCxYqak9n1y03DoVdZCsjMus90PUMUJxjALrhY7CDzHyyUjal1AzNLaRjn3OjsVnl
yZRNFIb7fKj1fVsWznvsvMBlauTa/Tma5QbOO99SZ4LISD8DrV2nRuKd1N7DH7GQqw0zdefQAjzb
G+BAwZ2wJSW5TN4aCPeWkbHoIesbxoxXpze6x7hDo8gihZhMtK117yVNJPO8BEWXWXPSZOR/NEso
Yth83QyXsaPTGeAY7QSgZ+E4O9dznbXvoL6m0PWtmTKvVNnjVXR17TyWIdumjD5+xam6Tb1oOMkj
8k0IRd2V0PttTA5RUHUu6BaLxsjsjA/xFEziOXraKxdZL+t719bDrQ6nnpuUk3v1vQwY6hZlvM89
S/bXscVjBBN2lGrmH00bM/IwgrcoVtE51LNHQ+vNXZ8GzL+nwLWvo9PAQ6uVcFs199iqopPP9OAU
u1aw0TIIALCxg7Nh6nfV02BvOD0tCrvHDsQV63vhtpPK+4hBJQt7TM6aSeBMSQ4CA2ZOO9JQhYEl
6sbkdQUC8+9AatgvatE2zRzsMjQfSS03B6nRJ07NMgt+DRay59NGgDSqW9XF1hXDLTgSmIE6cKy9
FjTW4HUDM06XY1kauSAofaShZudKHx5lf+yhdrjmpkeVZj1MSWQKhnWr87D02AZoZvkxvJIG6clR
AV3k6NkZRMahG2CkAFe6NXpzl2r8n1I9jDYqJprjWmDm/InAb4A/21rdkMIpGO1bHysKQ8EmeXDY
mjuFVfE2Ajd6xWsDtGH23e+C+FVOcYlx6l925tK4xSqBNS0VlKPKTCemQVmOrVxFMPAJA2DlSBtX
1EYDHHu1XIQSYE8XpMBQpvpJnAbXypeg9NJjEuZ02X1jbTDsBh7ClgIguGxcZyimBVZm8l6Ya50u
79opUHpLgAL4r3W7qOJ6SI6415AF1kM0+m8+UnCIj+4GrOU2ltVDcJ/wRgC0N5HC00X/N5bWcVv+
YV5Tn+su2Zd9yWcSVGBkYWktR5CEanicZXm0/K9ZmmtfkJBHkbN/UiPPOMSd9DSyCDDRW+V9oU/G
A+E3udEOodP77NZvnHB0jn5g3EK20taxiqxSLacI/2kgxs2zravDRYnDl15mluoXHjKKPpThyaSp
cNG1iSquBxTobVaA8JKy2ZlseIPlys1ZOCIe/jSdpTwD27WRxpYGJgI6/bQy4erTuK02WWw6j7AA
rAd5eBlB8D1qgBHM1Kt2RRh9yRkYIF8ZAK3M2UwVyTFWE8Z8eQJAU5L2UWP7jJ+0GPiLsUm9RlsX
edYeYEdkL41eVocetshaJNXIqsAblwZ+oVJ1ZbjM/6kbc6Pm3q/BlIZ9FsbjGeGPx3YE7K3bZvTg
IeXy4FVKyc4wUphWa8VbozSLfQ4NXPNgZ0gREnMJP29iatgdUsGWzyZj5q2ssU+2zKIfNNY56MU3
SfLQ+IDFvqfmC6Zl9TGZMDP5hKvzQVgcdeshmHCjpTbIR4AR/oQkFcGgBm+SpLnb8O8skS+qJ9Nr
V55yj/vq1NDpVkkWEwqgZ6WCnFbKwtu4uwFHyIPhv4QVSAH3ua+8eOdB5zVrDW5R1z8jVI66IZ53
s66GwAgJ3FCiM2GwQwsl70lwQxQ0bgxJsv8x2JV3ApdljFsGq/wSERVvtFHAJTuIaDSyggQLi7/X
lRloX7tWURDKpf0wQQoZyyanrAVu7VV4PbirSFKmdQRyPbBYW3ZVvlpSuolkD4fcX3rbgWKeblw1
nVHEFnyiqUTyuBVQRZHZj8mQHETNwKq5M8gien8dX08nEbUUXx5WppXEG/ErI7Sm2YBF+Gxy9dt7
lbwXCiOWs4bk3h3BcP5spufX64F1SFGjFnvAIojE/RfRkCkyW1oY34lkkhR7P5dU/Gem35SC+/Tw
zjiIS4qfgfOyHxQd4iRtsXXy/Jc4Lu49OObTY5yfsMgUeKnUZdfFmEijS16fq80eqRU8mQB9zNhf
0Rqg3bJD3Q9xv5XV8rvAA4ugA0bdlPDrWE9FciQpOhMzosKK6ePtais2vWecly9731qYi1un8nmi
JhKiuzqqnsWzNyP7oWPdZzeWGt260QXo7TF0Z3srO8UW07/aR7NteWhgh1Ug1JW3EY9LPA0Ry/H4
jFYiKlqB4asu+8rNysna9ISvowP6TESnACICbUPaF3i907d00QgQAZgzVsMYgX6IiqMtHClAItta
epqjY9yChjKDg7heX1WsUVebsI6+jL16EnduvktQS1eZEQ8bca/FXYnqjPl/rSC+MmEAxDMRR4iY
yJubg0iLQItxDKkaH4gmoo9d8yQe/Nw0xa1ZWoMoKVn5XBVg2DfiVogfqbYl96f2MnXNCjqjXKP4
UU+2IchdzvdXT612BHil7RJGA7S6Z6VIa5i2/i4dITrX6vCkTl2H+GwnoWntR28ECYwd30qGzokS
boWekBGl2f9z4Q+/QUSxvYLsrvrqXHN+eqjJ4FDaaupGdAHi+94gN34wAWT1TzFc3vnmznCKD2/N
B1DF5zuosY2XBbAmx2qn+akybkPb/yY1ibxd7jCd4Em1bCjdS+cit48JJpY78Vtat3iIzVHeodHY
jusq8S91p0rAPKZ+aHqtxZEi9q95TpOPCAf40Ua0hDaMdwxhmLpMDUHtkXbS4VgvzWeqYBYjFXR1
3SHBdhAtuG+M7jCkBtOSYptaHcZH9gSu/Nfrmll8dH2wwk6qAVeYAClL2xvDq61OAEYtM8tJ3obu
beqWRUsSySUvY/Vn6pEMdbS2rlV0YFbiR8uT6CNFfREsb+uHJjpHRflYON3BqfS1aAnzIdgK7KW3
umKDQPSFTNirPQrdx+UNX9qyyBNJb2qFctvuKkB6e98KdqJMF41d1FiO/9wERVo8NRGbjxHpOfqp
XCQ/5c3NNi9M86+uB1s5Nvhj/ejBlVvFwGOyGJBba4Jwnj4cqgPR1FOZqA7qDh8K9ukZF4gn3pkq
xqDWQzrWd4uxAfPDi8qKxShneGxH9xRQSlc2Z2PCqo59fk87u9np+shQolLljexlrN20CMys2ODd
Cd7BkE52kfrYlRsvyB8szIuXBy+uKpLz67SkRebSTD4dknVxfWixHxSNUQTl1F2LmBpBX9JDOE/i
7ouTZOAZBzArNLvWhVa/Fm8JrHZyRfRDbmdr76mBiJKYtwy4Bm8h1X01BZfC54Y1oRQfWQeHGhJO
+IY+Ul+DFrg7MiZbcY9FIB57OA1PEMpljjzEP9JBPTmhluzksT9Heo5AmdMcRCej0GvXcHZz1HM3
fubNXwCt/gUpPzmKE4onL2L09PXEhjGD7tfYOY+YxdkzZtmNzGcXz7NdKlrE0hnIimwdOW75fWrd
K5t2gHi/3MU8sehJo+kzk9iJsXEN6EKCVAIv4B1cssZI3EF+VFRhbw3KiYYuSq8Y21nHTAy2wOsW
+8G2jgPAHPZz99Aj0SgOzHWCY9g8uppnUYHiZey5qcrcCcOlvpVapO3E+cXvcs2gP9bqw6il9U7W
tbt4qsujFbG0aX6G2hCs+ixD6R8K+V8TtKXjkMS3X6TngR3T0xxHGqYPYPy3SmKmsPPrtLsiyK4f
gKYVJ8Ha6YKmONEW/uR+kszPVzyJpY9ZHgwf6N8x9Ex9cMqNAUEaWQxLw+Ek4yWw6cE3KARuc26Z
eDKiWXsya48G8GA3wzfk785cVFh69OVJzg166u+Xm7CUipio8v8/FWO1HvbSdenqxY8RyXksvqRF
bM4cA2w/GNAizCAGulJjHmQ8FkUVcdl5yCWiOGzyqs1R9rX/gtXPH0rxOz+MMuZj89ReAwu4sCGI
PQYfejF+ZXOEpWvxmowZcjBrb9C/obXCerLfRoes8n15K6rPUXf6ggaAQRovnsdxoqWKEd0SLHnD
mLDloKAUqQATmwZh4u8swYySFOkPY9n51+djDxPn2mfourXEK+DpO5NdqnGNXm/GJtQPW/wQvTyp
tiofxbBMDOpETATzqadhoUiyEYTmtQcBZKksqixJEVuC5TEuecs1Ph0bpK8NQh30YfSZouNsAAKk
B5EWbx53PGIaP5XPP37MlWwVSJ38YRgpHuHc8sbvHkT7o2iuAUq6gKanZ+A3DZIboqX8c1QcPXdV
gHKqg53Hm89UEA+myDKF+8QJEQQPUboULHNAUSCCpZ5Idu7PTinT4/zrp5Y8kz2Wd2Yez8yNWeQ6
atqwf/L3eydicy0R/ZwWB81n/VDr8wU+HyUpbGzU5osyIjUr+pVl9CCO/ae8pYooncfZIroE4nks
SRETx/3rWT9MZ0RtUfHTpf4p79NZP13Jmzp8jObKxofRN73ieDizV1GM81xVvPAiYCkFciY0Iibv
0zLbEix5Y4InKPQ76hS1RnSuJLpbcfKl6ocSEXV1D4QQW/BzixYvi3hPlpdlean+NW85TLx3ot4/
5f2vp3LHdCL3ZyFov35j49DGsHYaC4sP1xLMM9kl/WGt4p+qf8qb5xPTaecriPN8qjNfoYuciyJ1
f+TG8deiaxBzUBFbvtGiD1mSIrYMyJbKn/I+JUU9t0UwoP2plEgiRJkJkY+Xk713hreiCc9RkSvS
I0vZTKuTItmpTva8dO+AqaCNL2lpnGjkIi16fsZCHitKRmLY89KR6xn1uBbdA6v/SLJWKAP/RVeb
Ow1TZg1B9C5ZPkLCRPxt80/d7dIULDHpX+oszWDJ+9RcRFKU9l4Vs2Rhw/Tq5FHfNJYaj2sx/40A
GLBcFPUvXt0Fu/mNFzdlCeZudUmL2/WvSVGwvLoi6bGQ8lf3LdKfziDyxiQCO6FEvEZLZz8PrOdy
8XyWIyu8Spi8JUeDhRFtWiH5MHNcqoljRSAGBktSxD7VE53okvfhj4uST4d0TiFtR+0KKvCxhEqB
a4CowUq5poDkmD5cOY549bPoutwkSpKDuDN51KbJYZStVZVYxkG87MsTnd/9D4uZH4YKS1URE483
yFpW9OZK8yJXaiF6ooUBMikqWtnd6ORsx6Dmogw38YrO65SiBfSjGlbv4kX+a1WrlL0t1tlsnVRs
DqZpcoyQCIYlDmlNBGXFbuVqSbuGJ6F/5hurfNIdtkYDAzI65GXlw1AVb6+r7llwtg02AAIZ7Rpx
V8VzKROoTGqRveQhPBPBJ1enBzzWiO7U83rmp9svbuqHRzRPXee7LuYsIjq/5gGbk6OjD1txl8Vl
l0D8gCUpbuynvHlWJ0o+kzmXmqJ4+Uuq76trE2u9FTaGWMV5qfvWZGG/1xAC3KowZklCPUOANDvi
M0mpobJ3plnI9EyljgPMU40ivJtK7zlQkr0ynUOOyuSae2W9ErXGJukP0pjrG7lNAOl1XbaqAl51
ETiJra9NB4CnAqboEkf2Tg58I90iGYThMjP7LauSoIYH61ipXvUAJ4u9ZkRjIZ4nFu5FoXyJ3f5l
QrQ/ecjAPsG/KTeoxvWocpAUeQmCR0nE9kTZowIRmkX8FDoWyoJ6cx1CtBAsYAs7lb39vWO442Nc
VD/hOx5aXcnf+lTHVSt2v6U5Q/ISH/iT68kgxZPqpXVG47vDaj07u67HhoNSo47TdSuvKssv5Qim
lyl5/qrKsblGUQd4VYBsl5xNtgA6S8ljahToN8nypkAiGGWoHBw3RozFrZ9KWErCTKDDUcCPlH2V
mfltHKLiJmIiSLLMQvcsTREWZhHeyEJvkxfID7lD91Vn82xfy5OUXyIXGnYkKHFspgXgle0ycwuz
ENVrGcKn5mIkKqNguKmTDEyQU3fMh6vMPoHUYHvNYbG9RvVraIfgsZsCiC7BoytH35DVlI4iK08w
6UZ3EVWuDOEzzWC3xvIeK9SwH2V2Qh9jSVHWQ997zCAoCE0HaFVsci9TLEXxkF0NXdfclKhxHsYp
KBNgeyZtC3Y1NZYCX03itZJbuKJ17M7oA2Zzfa+iC+P+HqJgvM0p0Bwo/1q0ueX4IjCcB1RmgnXh
1yt0T7WtpRj6ZhiqFI03wPSZpugn0wLqDKxV2aimGtUrrOCRwcABPHf8/FJAtbtUU7AkaZ/7KGMN
tUPayISblqundNRjba3omnISQTZ4/8nM2kJaDw4sd8ePWWxG1OCldQGM2mbffo269F1jKx1cOHR/
3i0dPjPIRNAKWYFKTDv+Zrvzi59G6tehikArIIjz4vUJsGt0sB5Ghb1kY4iMc2Gn7Ultw/oQx2F2
4xEoUP5r+anqJRpXEutXWWtfSlSDrnYQPXRmUUF9lcqnsGXjyELscSuSooCt0Ffk19Nt2a9ajDtW
w1Q9VGJM+UKwXNNx7GCTZUnQbukzNh8ONtJvVjzqZ3GqstKVm+X4B8hhOHUmyKLt+OAUm+UX1F70
x/fHaD5vqY31Q9XU21RG1mbtYrHceskzRoUji/ZZxVzZ1M8QLaonuOftjaXjo0hhtFs/YVoHGSrp
EWuaaog8S8s/HxTZL7KNHheugQC1of2wYjFFJRh0F/TT2kvZsaycx6idiAILJYsjMpgRaDZuhapL
9R6xTWUtkuL2JLE8faosMGHT/TH7HqBLMQ30wr3Z/5n/Thyl7t7MSjhn0/1DdRpEXjI4+NPTZvpO
RzlFREVQeCMM9yUtWltfIyH5IVMUi5IGcsemewA4AwLP61bgurBUyAs6JbV8L0vPP7Rm56Hx7hff
8nwnysPOL3eximpTMUoWC9aSjVs464HHygu8SzMFXYTuia25+w8FbRtjJ/PmuWa4hcIQnvM+wcNw
CkRM5OnMsrFsMFFUC5Wgwm/wXyqKQ+bay9FNjzng/3JIbHfgK2Rl//k0dZMhcnvvb7nMauD6068T
tcVFhixXq0tcTzwKth11o4YBiyLlNZiCFIGJq0gOrotiYeB2kNflkMX1qTiXUS5fLZVEDAe9Mx++
hn1kDg5tVlX8vHDwxBgk6WS9GUDxUZYSpZ8OFUlx4RrV0YOFEPh8qLjahyMSVd82OQCNzwXTrxry
ELLjfczM9xh7UpBLox2f66GIz3YfADhRUN5sEvYZZXYrtlHmK89y7ncXWy1/pL4iP3dmJj+rfnlr
6GBv7E3DdEF0kK9fq6H/ZZW1ejaBlrzZCadiMye/xqgZvAWF9AU+svcgCvXcu7pZaD6KMpDC2xhC
3VM61ezLt6hT9BfFDbJXJTqKKnxzkme5qqBf3vwyHi6tp8TXfgoQ91O7lR6VRM1qXNFng8abkqIO
RFM2clz7txx1uJfarF3CXIrfEqdER1vR6rVIam3VHTRcUze5bqCIvzKNpn3CxgrpIqNXtwGEyreq
xRZBhq+3n/iVb0DB8o2ZuPqhxzLzMTf7FyA0zVcj/z7alf3FkOz6lOQB0kmm2nytRoAUsmWkj4jo
oKXrt388y6y/AtlSN2OIi7hZuS8K4DM0bOsOvCex0K+3I9aw8IX/kwUt8q/CT3mqYYGKTcZL3jnl
Fr+2HIU5K3tJJMM8VXEzoLndZi8qjOknrN9XolACxvYCAuMLTF75KrJMt2J/we7yvUj2qEkcFWeI
1iJZhrb+OLJLJ1LijE0nX2W03lQY0WdvGMElZIavnUu0YqBFly4qbGZ6ZdE9bDZg8ZD1RFp2W7id
dRIlbe06W13pDNodbiejS8+DYEzw1spFu4bjE5xE0gpkE5hC0J5F0sSICB9I1b2I5CgN322++TeR
Gtrkkf46fdRC8D1u7x38oJPucVLL18CFRuy72FV1afEI0GeL7ER7z536NQpr+QxYoburas2rEqIq
X0T2RVQQ+egi7nKpTG4iSwQ6KkeBCYGhbFQMVzPcYxPTu4vqIXS0x1S/V1W2sxu7wLCw3CJjnp/N
wcrOQQNZbhILzs+STFA1hY3MrDxsQqdFdNwMqgdfsbACH4wXFMLir7JROFt0M/ODSMLRAVKvZm+5
3iNJqbVgCaZqSju4KzT9QNWkPe7Kcg1QvIi/gqJO9tDxrZ3K3sdX09DOqS0Zz7qfWNc8MgBYTNXq
Qf49gJY88mlTrgzrFNyIiNlTMCqxu2YFrwK/+5+8pYqIGVL9u2hVZf9Px6s1AJjGDB/KfqxuvVQA
l85spO9Adel8iX6nsvuq9535Vlk9+kCpml0SXzNRNi5iEHHd+KUt7Luo2mvxpQw0572sUnljl6Fx
jXMHA5ayRC0FXdhX6Eg/JcSvtmG2toENXeScl8ruw++NAkDM0OzqwdEb7ySZVrQPYl9+RlWlXInT
W+O7nDvVz4Z9I2BEeogO46AdWLPNUd3NjbtjojnO624hbKmkqygpM5Rx0ai65PSpFzP3N62rhqcS
cfK/CuY6ojhfcuGRAH5Gxn8jj54cbkS5D+7xIs4WWjaZZgGdsLD045wUxaqjRP2OVzuYa3qKejf0
yNjLZgd3ezmFYelnE3j5yfINaRsrmYotVWcdDPC+R7xuqoui6dbOjJLhccDHZdPWcvXK2ygD/bGt
b4yd72jzSH8q58XuIoakfWbs7s9mnek/4SQiFqnTz9P6eGmTyIKk4o3bsijKW6jW5UHXiu4U2LWB
u6+bY0vQWOhjAVal44OZqebIYrmt+zX0+tco0KXfEkjL+UJJqiAVlxm/hrj77kuS9a6YVYLasTI+
+yba4AxRvAco1PY+mUTFZcmNz20cGnuWA+IHGyoQGOfKYP2Mjsx0R/8rHfA3yIfSL9XDBxl0EiNs
BuGRZ+u/E5SR1aZ98bDmqOqntgGzjE5x9eLUzAmbtlAewG00wHNwWIJ3ZW1YXHPdg6pqeFD11iRp
IMe4xSlNchYxyyrZAkQC4dpEyLrgX/OkWJ3zksbOuzKE0lVvHYd7gHxv6cflSSQbDeW51Aqboxq2
CFMpjMuOTQ7ULats59WDkL4qOl++tkXuvgbl+FU1PPUmUuOEALdU40FUdRTrHCiG+yhSfuvt6ziP
n/RMdV/dkb3EzKiec82yXt197ybW15BP5b7u5Xpv1Z33LVP3ZVea33IQWVjmFOWh87rsHZu7dWsE
9hPzyAsmD9mtdCXE8z3IG03rK6s5byoIMnaccdadmCz9HrGjgZcI4TUt0H4Lu0MDMTXf8prXpUKl
ldqmMBtj12EpeGumgIYxbCq8kTciKQrYsM1u1YjbFpbVZ8BOXNlrCtANGI6uWLvLbtoUmEjxnm1J
u6ZWMT6xCvDe5MHwbQgmoEcNnwMdKCT3YvU9HLvhW18Gxrqf8oMp/7/r20guLfVd2+U8wNPWlWcj
+Paf8y/5/3b+/64vrqsWHcxtR9/qqRGuOybs97wbyrtq6erenPKQyyjvoiBl8jvniSoIRVb3fMr7
dCxfTuSsJGcfqnwTRWBMbEunqOQdLSP5K0/GPtpJ9d1STRT2oeOsyhK+gZc/SEltQJiE89UrZedt
Ld71TYuOzSbplexBBL3O88raN3WlVMVW9SP54hUQ8eikRAKFdvlST4FImpoE6X5OJ8WmZbqG1uN/
SkX+khRHiDy07c5pAKBtyZrPtKRjOr2xtx9ybtf3FvsPFMmcrxF8JhpVnh4dFy6p2ltPg9k63zUE
6FgtdLoHw7YxHI3QW8liOWD3FTYxxONjlUs7TXXGLygydPuGswrB0zdoWUdxDT8BztcWtXHFCdu5
uY3CRtd0bswrHlTu2iu4EQPXAU3bqVXdn9TSR7N7MtwRjjqzuY7hZ5BzmXyJAhG0aHVvbUBWMNFb
66jHeo64Tu3eEyuS7ghENxv14GAjFo0jmi4a2jGIkFv6iiEIvJiwL/dSkbR7Jn/I4mt/Cr3+hsRI
9yUIcYKPmrp9CKpWOchhnRzdPtZvvqfiiSHl41vsx38AHSZ/ONjHDv4k6TrqWFj/3vGT2Wt9492K
rKru2RRoMsNDP0MucaqgqRMVqQKyYdT5TYnhxSOZLG87J2tuor6ohsHTFtPIAQM0xGmiyZMdyDxe
sm109xDrwFetih8RHcIgwsAYTWvkfocPWnkzvCbaF1BrrlECqULr9fFi2SCLYcebZyvpgmOGlPHZ
0QPjyLJHdnKGsTslRd8fJTnIz4mWYezjtsElqlwknjrLvkT5gNdrySJJ0ETuLqxrGQcGudzZTtZD
dEV0GQGo9pH9iXwbh1Zzd1F7QjcY7CA9Dmigom2fxwarH8yd+5fAQB650Vdt47Mo5WXya8Ue9Nrv
Ze2tt220vNE9/YL3TLsqgqG/uvhQIUGdxpti8AOUsNCP49sE4cONxx9RZW9d/Mje2b2u0LUJJq79
GDyDJf0TmPL4Q4q0Hyz8Qi83PBbKPVvdJTUfZ7fT9+10BjvEvwMcWI7FQ8+EyhwQ6QRi8iMDl6g2
+ncHrAFTwKQ7o43aP5YYqU9q/COia+XVMYYGKWTeAGZG+SGpFIRkEO/rbyFqLQzK+0OqS8GLKznW
zVJg0wojeF9vodwZbndo4254103mTorivdgZb4oypBmyAXL/HgAA3Hp51x7EUWoYHUutU06ppXQb
1hKzE4ygkKnqhAw2HAw53Ho1Z+kDgoiiioh9yDSnEpH5uWSp3idCn5ALLOcReUVhw0NjA2+d4Bh4
M/IaK8daat4aDCxPvSsnyFdwSxL0tlm37GB6TEkU7ZztUGf4XE5JVR8gLelGdhRJNy6VFezEcIXJ
AyQ502JSMAVq6uP3lOtDfu6dqMDBgpgIljoiJvJwGqd2pQJR6lLQWP/DcSOCUTkE9f86t0h+uLSF
j8CRkdDqQ95yiLh+H+TjKYnfq8H3X+hz3VUWWsZRdeFWtKn2LDuWu9c6X1qPKY/ZcrLw0Syyg0iJ
g3TNea6bxLkahnRAumi8OU0FpbBO6y9tbxUrrbO877UnvUAocn7pirJLbboDdMDXnpKqARUQ5W2S
8A+LGQ+og4Q/iqAM+exU9ftkd7+OjCa/ss59lhFxv0IUKK6pUvg75EzHVaTLxXUpEKUMsP6qp2PJ
k9XWWm7egMjg3DydQRwiKi7J1uytldWV7Fn+fZFPp5b6CL6Q6r7FYFQRzJwuspxAJONOPrD5FZ42
didZl6b3MCDCOhTHF6n1oZCo1qOOkuNjbE69r5KBMNB9e86D6YulUmwfLJYKrpaMcUkoI/U/J6c8
nLq7azAFIg8IprLFF41dkKl0KRD1RF5RyslO73AFEMna1NJtgCzMpgkHlveL8kcAccHJ5PKr4g3Q
39p8eLNyJu3lULnP6Zi2G6Bi7V1tQtQwrT55sDVEVUJE3K6D0XaHDFQtCo4BmH1sq45G7KAJMvXi
nSUHtzSWi13CXPdRRmuXFQNWr2OjlFhYz5JXfp2/Zs3b/hKZKKAYo65/w1P03a1i82duuCeZhUwP
JRx4TVEZMZR+zfLaRL6PRQY2NJo//eBc3DTNfmpV+F3SWaWmtwRAD2rIMFrcsHSkFgwkPZMx6V7d
sqvQNGcCIUp7y8/PfgIVUJSmWHhe3HasVqI0jP0Ez0s05UTpUJvxrZT0b9F0JnY80oe4LJ5FWajb
rDkhtMSYPHjIa1m6hTgJEfeMMXgQMRHIifd1VOXiuGSJGG6o/ibEx2c+aimVrcTah2xErUSeVfnI
TdoVvFPEQddLveU6cpdcKz0zT+6oUncMcaWCifTcR07OFpHL5okSK2fHbpSzDI8Kznqg7OMRqRhR
IILeRjVoLU11Skkait1yjOJKP/MxR9nu79N8qGJYIRwycfLlbC02HevWGvLNfF5R7MYhl/hQczQl
aY0dlr7RTAci2HR6qSuhCMJg/XCgKJgvKX6gn8juztH1tzlPE79gufjgRDRB1/o/ts5juXFgyaJf
hAiYgtsSoBMpSmp5bRBqqQXvCwXz9XPAfjP9FrNh0MkQhMnKvPfcQT/2iQz/38/0793/+b3GdxnD
bfj7P6xb4Xrvv/7Z9Z/7+z9dX/n7R4emvMsAu2IV39vS00/1+rbrGyLR0ea53r2+cr2Zr5v/eld4
A+iG8bfPROhWG8Yd1QZxalN/2+dpG3QEWMQpVrO4rz7tup9h6KFpVPrRSaJl7/rDH2S5c1gAVtTT
L2XmREcKhzwKHz6YPw7HpJDfXRn5O2qmkwfCNG3NNDSceUXZ+l+ORkR2Nmy0jhM5oFkBDt/z6TH2
pFt5Xf7COvOACe9Z9MrfKA47uB7zUxe1iIuHZyOe+GXY/CBi5xel92c3w3/ZonqiobMt6G7VwvxM
6vGsMfWcayIRZxAMzTrwqzWGDjl+3wM+Ypapfn5KNeOhk7l2r2cseRvyjO7b6CSoRYiXW58aJ4VN
qshv/z5nEOKyWeqxPP77qZhOXlh2IJfITdXury/gQfuUC46rViqsnMtj3z72hRjvRwoh6Xaw0CuW
5OOCZAR4WcY/Ej9rDSErJOQQe9AOLmQHOW0mrKbCR29oFxdlTCSArTdzET10Iz7+sj658Wij+uem
plsc4DGbdmYNa+z6XAWBYb+QskbD9H+fGxYKCZCm5r4lRa/27OiuXG/AUfiN295LB1xTIeHiTNQw
98t6kxZWc/Bmd95cH3IGse4zaBQYhvq/T/17vnfEa2pL6+b6lKe1JlyyaSEutK+31+euN5YZmYyJ
YDZe3/JfL0DMs+b+7x++Pm2bNfPdua6O1z98fS5Kxo3jSyuUc8fEev0nry+muV6dbAcA4fqUTVv9
4rpaOMZJ9lA32xpD8L00jPSBmfnPlLbRcTSsW0DkxXkirOr+euMtsP7BWtm7f88Vs6oIcYPMn+ta
pmFpjCwyr4eb3M7te5r99t+fHVJnu9QR6UeJ7EnR8li0RQUZQ4vdePu/j0lIanddXYgAnS+vJ41t
ntbiOeu9u8WnOlBLy6yoHcS97+fanZ2e4vWBlWb/uZns7n2ga3kzi2JdFuL3If0PYca/9005lKNi
4dR7/UWuXjtkV6T3BN4Nl6aew7971NKkMVpjuYGK3N/VXRk/CJpkD2ZWPzZRPJ2ub7veUJKZG2KB
msP14fW9BpT10G5Rjl9/6vocjooCS0J+yxpuCnw99u+LyvLv4XIvN5Y1fMRRByVkfd50S0WSVLaJ
Mg/n//VtEDCPTO6T2+s7qPzu9dSwTunC/lfPqTxose/cYxZ170kQa7dG4pFlMC3u/fUFQwL31BuG
M9eH1xcApohLW1AwkryhQY5NJKNkywpUyvk3V/b533sTeqeEmfXuvjDbbOfNKCbAWSYPDW6IkHiW
fGu5kNECV7bRzvItyOHwWx5APacPQvZ4Q62c/sFEP9SzCkKF1iyT6w21y0JaFmme5jJRbTQxcXga
YSHRSuqLAA//5976EL7eayXJ8iNbw0d/t0arRIRD31zvEddcMr++katLaFgljNd715vxKpRcb1jU
Ipy8Pgm6dtj7JhPvKQP4Us9PyV/h1arz1im7uzfdXGizSFaxq/Hh3w01MlaH6+Py6npQonwVq/Fo
WJ003fovkE2E88i5+o/sFrAbNEiaAnB3b643ZiunhYCjbuVv/N9ds/C/0tyEgdFXYB+vLyu14BC9
3s3AzoD8zzPGHIDzGdpB2fu7xbyZCJIczkjmOYwQr1vx78vAXk5rV2YP+4S4Axxm2BfEVpstDYvd
8GcexHcELaKo2/1E/FdoG48xuY439aDeXDbrKSUObCcN8ZHMwt9Oq6o259fU/okzTrm9ft5/W/t6
7/oNMMNKtiJmW2mkpJ30wQy7PBYHSVDbjWPVzdFhkZC3WbfR9GE/Cue54FPb9oRDH1OHzjfMLmB0
1OQeQPpFs8Osw8S8mtKqVXHtrl/W9V4JtGHbggXhuquMmx6yRdw6DLqsBhJfXkzn/9owWJTZbo7f
g1B0jUDTyoh+Pw23NrG/RJloW8s+12M33fSJM/69sUQ63UTmuuXK+aM0zPYGy29741ct0PHr3crz
lbG93r1Gr17vXW9yN2pRO/nQMFbtfL3GsTRWi0GHouP/3bEa362OaQkIYPWIrh/zenP9wP8eDqUF
WcYgNzNaPUzLqlG8bo766jm93pULDa+qdOfw3zdz3U//Pbze842ReCsMvJy8aziB3Fir7O/fjT2I
ZD8I+5Sv2vvrfnC9SdeHIyOO3ZL25+tTTWQT7hB7VCPXWAN1TTRwNMX3q+r6V2H0HemjVoUHbHWN
/b3rDuZ4zIF8YZJnm658iFYQY3C9uT7MUijERqr9dJSU44lgSLlZeleRiqJl08n16tAipkvW07yJ
S6J1E/KpQ91rWcWYerSn9/PtF9OT0axgXeoRcmNrAuew0s+MzrdmqfCN5rdl3SYbGGUMSpcmOTto
YW7jaAiYt/ebcS4vpcElovJbO/ShrJ70VgacMhpG6HQWm3Y4ghtYl7aL/oD73jwsIwlCjkcmrfsq
O1ntBEMYVOyDIoulj3epJIhSVBtNlcxHkAmGXHA5aWR3wjScYDZmbRtpklgYZe5g/4OnW54tURyr
pqF/RyRR2ov3dmzJLJyLHfildGtj9KvlcE7iTt9wccSZnNR12GPISIYz4Ff0JBkjXU1n9BpnNFXw
UgVA2dLd2K4Z0dJChUuLguF0sDTmSL6x14cNiIreo9eopp/eZcN4yicqhZ9flH+O5zwLUgK2oirT
4ZoSUZoatKuVDvjWyqDjE5rZqp8swpGto6QKpsX29hGsG62RB2kmbAQ4dKlw2NIiwSvejwJdzPji
e2vrkiBI6rH+2+XSvZ5bDAN2jOscq3xvaTNGYA29/zBqeyqKJWD++EHxnGy9Gf9+ozk5bCJkOt5C
7Snw5njg0ZBv8sHjyp8PufcwgUA6MPHUz4hpSc/wSGDQK77oBpcunvkhBhjsxZ5O1tYgYE7hekq0
HxmRLdNNt+seZGaOvC2S5Y/Ni0HVc6FsWWRrbnSpzeGrLaEjmRyigTEqwprmkXlj4pKYo2cipCF6
rvOeBFwHnxgO7rCgnWAJTOFLrheBI1ekCKzlzWTK14jrRQjldUMuM/mgJSMcj7/ltH4KE2JRAaqc
GaKXfTu02q6M++hhhri+tN7vpiBVL9bjz1lpO+mxEBwNFa4FoHKs5IRWbmf7ybcGh3VTT2QTG9Py
5rc0LGhAGtofl4hEuEZWerQMOnl+pj9AXPACay7CKFFPs+HtCMJFPpIgxdKEzrSVFZKWf+WtMeyW
dhrCOSmanea9JFpVbeysjLZdUdGfUdXOdrT6vCT8wlHSGUwN4y6eMgmacj4O+icr/yTwZ1dth+6x
z4lq7cjrop+/dfzm3ZAKPAuAJM8i9FiqFxS5FrCjLAlI8Sw3VINGsMBf3fgEpm7kPJWbzE0OttD0
jQLZ5WTiBZBYKxBJgvkqqI9aPawy0lc8iKG6MRwMK7Z5bX6NffUZxW0H1Kn+zpa3xcyBrxXJF+Lc
MuzNZyIUnxV6SaYu0FLHkw8ydZ1tyGnwQnpt0zy4tMwQATuR+UP7BoSJ856N9qWeGNoX/lmYvK00
xltLp/rnnJ5tFanDsunP0TIQIFvNe+J5HdJlq+Qw/yY5m371U14NH8ZAoLwu53uRUfkPy4rrrWkE
Eo3OoE9whq6ATA5ohgEbxuwTQVcPAMGyT8VG2nQNocCapR2biSIrEUYbyD3bXg8Ll4Y/kQInq9l1
pR09kG0ot4x2smBq3WdnKkOrGjgRaGBoi+KNjPsiNHwG3n0n003fl6/oRTE5StbQU56Sl4R60+kI
El5zYlFGT9teK16A+T+ATvM2/atyINC1aY7vfjx6qflda/l3mZpffWsRFthB5tdZQ9Hh3lfjMO+8
kmFBaqBl9wp0RMkcvxl0QacS2N8414961l7atVFVzesg9o/Vu0QvjPzDCVLZXokN3LtuO2nOandu
7lSSbdLaoVuyCnXbeDrWBheFEo2QA7wP1gtnTScOMuPYlemdixBj0xT1pczrn9Jyj23rfPYpC69J
3CdeUYZCLw4IVegHRZK8ljHCV++NN5I0sxhUddiiQN8OVgaRZ1R56Gik0ZuanDeaXU1hZGlfHmSj
JFII0VNrKwiVMqXr7OepeyLmjTF0KfZ0Afb2QiczqZ6rSd8JUr13XuKgH0azktrsZlr95ut1dqOC
OPFWhtgvZSXQxouXeZFFCH/mKemWr3pyXs16flBOYJZOu3Pi6XYBzZk7kOd68icNx7mtwVh7dQ9n
sDaZqIn+mEcRMm1nP6Za6KVk3b/PafPhx8WT0wznyUHTqI8viSwOPRqcfGKfyGS/A8kGmkadE8CB
CNoAo3WFHeYNK3CtC62O4xOqvF0c2r4eaeLOMOPgQwMNILsitj9mOX2QTV1u3EJ77j1ANjI13/sy
/xrB6Vnt9I6/7A+yXXSx1n5R6XEQ5dOMjTwo9PpXMwAvT+EwqRxFNdvjURAitq8ZA6D5s+gd9cue
ASQwtf4YD8MDmUZkCHr0x0fp/ulFD5qCKywZ20S9VwLkLwDljSZGIi/1CmxTcTZl9ZCD5tkYy2hv
he/vJ8c/vpc9gD5oQ8d6siW8/Ryx/Iw8IiFHkzT2E6EY9QXfMBI+F2y6yRHZRHR26ApL+0sv5TnX
x7eBf4ql32uKCAPSZ/Hid9qJM98j4rJmMwwumz6+GCTT17a5l9l4mOpo1x/6sdr1bBZOEqz8mR1O
G2Z7KfX/CArYbS4pXaqDJE9N7wkWm/xzXsP6HKyceUq1G1OO3tGL/hQFEco5+rRq6l6dQZ5NX94P
XhGQ5/DQyPjDLlk3YiEjumEs3l089fBJaxUwmiHlQRD9ubBvMBEAG19RNnTGSEUzbT1LR2A87AXr
jKPParkuL0SPdtQBqU6visNleHUkTeWl8KYNHJ67Ipv6TetCBNQFgiOrjJ9qp/jTyKnblLIYw9Yf
SIzEdNgl+lHp/i/XooicE8jZVaxOVk+V3QzRxyA57pbB3DnAvN1e3Vp07yCn5CGIO0crmIa2EShR
tFMgd19hECJ0immhWfQOO2WxkV02I5EnCyd0owwH0/Ux/HveRmVjGZaPfQkjSuWavjMtmA19l/4i
AF5GsO25wFFJPvjf+jQMZwMQGasx++BF8kkTM9hNf/gQEtL4rKXoXoaPrvd3sQIp2qdkFPu5Hxa0
CDoGHAXC+LDSNQ4eirBWZEEb0xEYdL2kY50fykV5R0ImX90UeA9X8EE134akNp5HDs8avk6WnoVW
kzA3wlDM2F3a9JfB6SfEnYSqifyeJW3PcVr/EDKabIQxMFaynqPeI6ik+m1ArvOWDpeEQSJYlHrk
c1a3Q9yeHIrFWFYX5TM0JF8E1NUtBqIXau0Xj6FFYMdrVoQ5fc02K4DcU9PF87nUOHOYe8OaMMjV
3CFAKuvhqLavudlydIyB0y36na3KiWK8yDfCowZzCnQbcfqj6GfLk12vhCx7gvc2jc92PW4N054o
rAjNSF3YDs5wr41Tc0y1/N6KKcjJpK1Mu9pbdKbadhkpaBO1x6Rt9U4Z0hB6dpL4N3wr2Kk5mr3E
aDkC2Gm0H5p+n2mdHyPHmkgGlkwrL2UDxgzEvdgUqG0Pix13YQ8R0x+zIFvs227w0aYOf2zthqjl
c0owa0UTGuAj2ru82WJlvM+UEDu9at+BLNwM1QLxuV4RzR+tILh68g3M+nXy3AiXSggNlEeTYNPq
MXVnnYKZRIJeeXtESzbRkO4YZA7mHmfGFWJ/ZgMISDXOZLY75k5Y85OpO+c24whM2MK5IFSCqeQf
241UWEiIw+U2MZx96kwfy3SDcua5QJG6IRek3ZYG24ko8QtODGQjC+t1B6+SnNcWvP2qQeZbtW0B
9JA3sz9pxs4h8Gjj29qjqMVOAbhdT1L1Bg4qVqgZAfV+pcuR/pFzYtOsE+jAd5VYv01Hm3eRqYAl
YyGFaMjytCjA21ER2j57f63hHaAwITYxwb9CjS/TBEZSbv1Yjqw2zkS734aaxHmTFqINXtDUH1JP
N6HKuWFOyulG89lLXNv8pOHyhwzl5qRyptYmg/uZqKLcNH4B7CtDpDIYKC0j1PPaXn9gm9IjDk2T
wb6X74UNl9aYpoNrKI86IGsCUHM99BT5lhktOGp50lL2troTm75onrOiwo7k3ADGDJea+nmUPqm+
NCk2TpHsRxLHoXYuFwcJeyO+Z8P/asolCxGyNeymw4Nbje9uP35BEj0s8xw4pvFRT6kNLXkE0Yv5
Ipo6Gz7JWAXMQfRGPKrcfRh6D1tGVt4qb2CA0uoMsv33zJYk2pfWUyR/DUIH1Q1DlAQxEnd0Nwqn
pLotbHEWhsOhG0vynJhjdLp717DqUHU1hkmq3xM48mwqUjH9odrFyfwriWyFFtB9YKBCgEsWwWxe
3jz/l+doiETMlcVXyimQMqPApsAEXxeHmVmHMxRbYs43qhuYNyR7raluq+IZbJ7PsDM6sE8GXZNY
2ykzWIkpg7eaabXVTMcKvJs+BthJ0w/tAtng/oDmpHK3Y6u/aUXBqGUw99EEc2+KCMMrwKC17hDE
Sn4lLdJ72zpSX/RVQYExuhubqpLV13in50cqaRvqcEFKVeoHRq0c/gx5CIWvBRHa3Kq1jMDzsu/Z
Td4S5pTzPJSBpmADZr45H935tRZpsY3MfSEYSFf4UPGgxluHHJhaDG95Fa8dalb+Uca35jtdwAWB
WUln0Gklr07bZ5hIZyd/niau3jap3rtmpORQjmRM2DMeTgiJ9l0fhvJ3E5GRkSfNRcbJziJIZOfP
06nJzd+FhmE3ySC/r7yhVn6hSHpmIF7vNDQqm5YjfutrLmtDn0NpHPtLNe98KMDzTLsdPVcbRnkM
na3GFtjiRCiYamU93r8ioheSpt91VJx1VwNqnjUkC0U2o6e0PyQANjaIltxNV5vfowV2qng2HLfa
x7Xx4RrawV0m+ic+ah6r+a5rUKfwur/hzXxSUY+71kwuC8hhyL55HpAGC4VguesSIlzvJ66mHIoY
DqtPJDFIv9UP+ZaXyCdiOeUcZRB0Xir3xTem09wBI4EzR5a81d2pTnxWfFkgUR7S3Df32hq5nDTz
ubB1qO9pNezSlHWaTu3fNOMLxygyEET16+nQ2XbxvOfnmIIPMeDb5Eis0HNumFpIAtb+BSNptBnb
CPXQtz+9tp71Sm/7yS0Hqk2EqfaC4ozoaqwTpyL3WaZyioosCl6OTUS29HrbDnnNu+6YH62BlqpE
M0HD9lfNxttUo/WgFTktQ2G9KeaWRjyqkPSflafix+fEFk/x4hyMggJdxITycXaiAoC0xxrWM2G3
toOF0BiSMA2rez+JH5o/nHgjJj8jzsopUQ+FYKXmdPhpspFYFKG/JR1BDbNZkwc1PgEgLXZouO4z
V50ZK2D004qLKGIZsgg8jyu5dbYejc+48j7doX/pdXbM3H4h++LRdKpQxOQUEgEMBZwg2fmm7zha
sHWhED/0lv42SPu35ir6yijdeovsukynGZNx/XeX1MIxoY7tcMlbOOCcAJDBrfBm4z1aF6+eFp8X
SIUgtc+56Sw07vqvpp12rau9FEQSb9zEGoOxpvDWbdQMEXsLVcxQ1T5WcaFvbFHc1JH8XQksFMmw
AKVE/tQNj24hTlbp9IGpDdRUFfJ7HUD1lGlaKNZ83sE3tljBiaLP6q+kTA6AK266NNnpuf2deB19
qo4pIEmqRCmme3NuLrlDoGjXFsdGEZk66M0WVfhnbvTIRU0Suu10m+UMnjOJ/i2qAAfbW/6F05Dc
uWmFSHg8V5oB38kxkg2mx2i0fkUSC0UU/SyV9mQSJTQ5dfKk5R8wEyt7MQMt1lFjjeZlhj0WWtL4
cgd5NP30sR6ZrOMA/JbRurGT4mM21Gte4asmbQH6Vc1nTsfLnI+3dYY8L4o/KSE+CVZNNm6tdnYz
fwzN6svTuZBrpY8icKlhj5uo7ajN107ltGeKl4TWTGtWT00C4E26CcmHb5NIkffVuSyIU6rtX6U3
Cibo2vsSj2e9BSHtV7cmp3DhentZ115QjkDuKrlNx/QtLToR/LR282Vbxe+oadBamvVDCa1RuiUn
F6cjbcmW4PFOSzVuI/LjUTnh1TaaEz6jR1NTiNNx/uKyOMwjWMKEbNAs02nqDZVib0Rzvggr1Jmp
wuCK8YJUY6AHcpkykhLTfLfE7gkH5acj2o9iWe4UnC/Gas4tR8irk0Nr04bQr2o0mF68N7sscMcB
wbFGWlS2XDAv3UCtXfatbW1t8AZcfwzyKIvAMzm61KKrA5kOUPSRgU/eAGSdD9VY/q/JpXnj0k/Z
WFR07MXVrVW8DCIPCVC97xL5lihG4OsuuMxETCEs0Xexw46Cf+KyFNGejvhb5MoLndu7CFA+qwR8
aEVrbEkhOhWifJSJ+V5OjmChl1DW4qfyfChPQnJhrNLHq1Qg1mnK0DxuDqzGHgnVfmtk9sXq9wkX
qDyCzSdTeYlCfC9vdnPumuid8gA9RkKJEtGoP2sMcjqDsJVhtvOtV5oHVEa09bLZomRoY/IhtXPt
NtqFtebrVNLbXQZ3R152Fda2M7Kmn/xduYCiWUSRH6rutqo1BgT8gq2Xa1+sezczXgiRRt5hWjR8
kyXISkKy4smLb1Q6smiEnMBsXwuazCa2eLb3c18aN1rBBKvFicAkwmWh5iU69gxjP89+e8Qel266
mQymybDKX9rcA413835/ffj3OTD0GcdlX0Shi4UDEH9jcq2ShI27ZU2WwZr+NL15IgXGTYCF405z
0PrzsXaxpGNy+nDoIxsC/alrDdqBz7NbDArVQUR0+oDYs7R5WYqu3ysq9G7kGqY6GpCpfCRf+HOQ
xers4uqzaONRGMrfu9GPS2ZnMBfGJzoyrjU9crdMFzE5x8W7NgBUrS1Ke2c0/kSVx0FDhV1G0W8r
E0NAi8gLwQYI3wLirFd8JofTktfepONasiXaKXHR8EXuV+KbX6pHvj1zEo6G6AiJGUA6HSvpm69+
DvTb3jWzdtuufy5dJzCWg3xqhHzvey/w88AeViRLLFWg5uy86M6vsrlrMqE2WTE+VjHT58Lzjl0j
aGm6d7mJm9z1vrvJBuIft/ezXTxk6+jA10rahlN3Eno8Bn1ncUT4pMDjKrshH6MK27idmOHLkOJ6
5LC2jpUSBOrYrN4OVpwIYBMoO3QHIoHhNjBRc8uF0Bh328xu7rpMvU3lGrQ4ZWofWeXPmC79rYS0
EdPe1m1Wylbsc4GdLeYDlrX1E/0tnd1bP/4xe4uZbEcemseCs0m9itNj9liOL5GVQhfyWKMlsRVv
sFhvJgnLYaqnwPMz1s6uPW6Yqe6zVDdec5+zNexYVre0WKaSfCgjPYmB7oujxIU19pOjl6996RVb
rRMpQov4DcYIFnbP3ONm0gOEHpwGV9GhS+wQnUOaVEOwtj23ysSsbvIdm+u0ddEIhrTzfE+QKT9l
nixmYTvdcz4XnPzlSKsyUgxXQKhgcWfiPsqJNZxG7pJXFV6QO46Bo0k9GQVAQN0C+aLqBlkVDSu7
+c6zFvZLNR6KmT6zUdj+0RRHWcphM8cMpvqF5pPr5p8DTT6uNrW2qRA99EWdHONMrQW0+W5jcdnQ
rYzBnUzdvV6WDFZM+3e9jp6ij5YOS2DkGrWrPPf0LJHJdjcx1sCBYuQhctgrq5pm56DjO1EXhb8u
QKPSbP3KhpI+M/Zw1sSaoaXjly7DyLyMHQYyQr7vEigVlHebqcuHh5bM9LAn3mgF8p/oy9/GdhsU
A32bCaKGMdLWpJZqjplqIX5wRUhaEQXtkOq3ctR3JTXlZnZxTqcLieVCv/MbYe2FPrQ7CJHHpc3c
jZNX28QksGWJuTjEsehPI/323EPgnuXTi1MhMtXlM1Mzvv9qQfpDRzZK++ymqGmrs26FU5s5RK+o
HSwGKBJtlZ6ly/y07WjaN9akYYqFB1n45XaRFhfjsX8D0bOt7LX+rLHGLepo55xJi7R+qZzFOrhm
jZpZ1PON6NeZUIechvgNNHxu3lHXFuSJ493YioTdQhsFBuyeRiAHGsssx34pi64MXKOKApArFVpO
XK9NFhDZVgGAWg/Ju2LiT+Qzh7BVdHYghFjzFNqzLbJX6bBtI0M6hyzNETBx2GPzeekcPnFr8yfx
E9GJiR1Oa4xkHE+92r6NsDgvz6A+p1NcP+i0UNijqk3Et7JN8h7cd9+x3ONvG828I2hEMXWmynKZ
9Wwdr6mDLFYHwcKdeOGSiNVBVHuGxRaMmJ2vbuuE8Ba8sp+6I+Sv0oy2KptfrRHXpXLVcx/h9UQG
1O0rgmg4Rcu7KV14k/YjSAmirRP/bixnCF1vuImZodI49E3AKPFM29xpvuE3s4nm7F7pg0b4tIcD
RnnEblQYE9oGPa1Jh84kbGQgYbNiT7YjcGscSLj+m1sxS043U2UeAZXUC2WFzT4nGuN7iu1P3fxR
0/INeoZwC0Dhdnu/9I4OGSeiDx19At/ip4Xp7PQCBwUjQ+g1PSYT+h7aqC4jM2aHFJ8sUds+0d79
TnjbwegIXEvz+pbJn7stFo90PMFMh7FXoBtUOqxzMPdSsbKu3QP2EQFMjDzksn3MrGi+cSKd2QZL
H1EhyXHjetppsODRIT9KrdB3nXcP44LCUJ9f1GQcll6nKzx1z1IxEXFGGZhx1QfT6BsUisXCfx/f
Jr18LxxGZNaPqdJ7j9U+i2CuikpNSI1YDgwTA+jE16jZDx2+8buYPBKtJsyacKdw7LXvrlbvVkyu
VxHd5gPaSjF8jx4N/SajBY+68knSFCDvzYf7Wzk0P6xnFbE8zKA3bDHofGqrey1x59PkEl1QZtmD
Jhro+fbMLrc09aZGihIaijWfuzLx+6b6o1vjb6l0KhZnPBice/YrdHusi99oN0ivhH7KvJeVsel2
v/hEGXtVktF+sYt9AgIXsWGYa9mh1Al07iLrvu397Kbu2betNozZyJu58ZEHMgQ3Wt/eJnIcL423
tVDPht4kSNsYPue5vuMKm1EFWxvRYJ/r6godSLObs9WwK1l3ENqGQH5pvjNMViwVskdT96MgaWm9
JrWdco/GSRHXw13l4MzVvui1jx9afGD6qoN2EhfVM2ZbpurLdVc2i2Bp1PUI6xTfiqEv+9hf+rt0
vbHpvpUoaW+uTzlFS5QRnYcmd/i0/RpBE02HEvkjmlyTcynB6p7mQ/Hv1Bw2LefhqDGesiHN2A/0
1x68RGiYphvE1sFzHDsUi/8ap4nA5UZPu+7LcdtFLGTKER9Etummuj22U/+k3GbZm5mVblVXXCYk
Y8yOmc5ZXdHuOXgINvaGHI7wxKyWSRwlHOdYXPpgKugOb62uHy6q8X4VFRu0WopN2RjdRfqyIcN7
53HR9xqYLJLxBtSxuy6aafLTZpTJ9HscDCjiLmP5bDBeLAdlYdN/NC0kFxxdlELl1u/cu5KJWNgs
og8oWrcR1kHFiBVmzhq0Mf7JujmMHCWJL7zJu2HaAf5GuRhd/CW+jR3WKizLdrnZJMGo5fRjjPHG
IH+AImf6wykXeJTr3RtW99AOOW0YJ34pZuafgutSDEG60+afifzgLLKMS2pbKpRVGe+0gmSE1vB+
XBuNZilfJqmijQCDHLizHrj9zPnZWr7F5B06i5js7Md12EGXsvhqJ7y1uiup/TRCjKo5Po1W89zl
iCkkO5fZP+HjOPkdCp84SrZR2kHxGMyN64uv1XFCIQ6dpPdNK4hM92yivC6Yv2xV7Bx9JD83GBWf
jTVmPG40pu01G8AV332B2RIfUU3zdTdFHlCbrHjyHebUpktGESyQG6ee75TF9MAW0XtyjwKFs0oQ
jct2MJHuq+52HvJijyzjOKvojrgQrC/0InJjQqrj8jvjeX4tK/tPt0y3Qgx3VKlgi5NTHvEO9k4N
QVC/y8XA3r1WZ8xR7pwsEZSzfUnnxDq0tjwaEzno5fSozYtxO6AFMtEB7+r0UHaUuNK3/pi5NWwq
p3/VarnQ58q5GLDdTJyZLaKnzktOklkaPbdPU0h5NgiLzRJv3mlS+mG/1IEvEvaW9KGAzBDEnOvr
bg9W6Yhmkkt5rpv4+5uPwiFOLJosEqe1P7E9fOYi/y27ZGHvN/djy/ciUsILyVvfOUv/EVs0IbNs
tdNnTNAsMp7M2osDAaKMDgMTW5vNrDq1Q/jEGfYmk9kz3/8v93fXdH4Y/w9757Edt5Kt6VeppXGj
Lry5654apCfTMJl0kiZYlEjBB7x9+v4Q1BElnepTPexBT7AQBpFJMBGI2Ps3xAsI0xL0rz11ofRs
q6zgdaiHS607r0XaPLljfUcWwl/qsYJOvoNxloeiVOmzHTC1Gb1DHlXBNdg2gWRjeeAu2mwq2fKr
ZJ0d39gjlPZF83t3WQpwYnM2SzTQ89mppStsd666wUb84Xo0xq3DEySCfJsxcfu28tFoo2+Imwki
z+WwzVVgbdDfw+pVOPUTPlNEo0V+U5obzefNyZyOurK3y8wO9WPxRU9csOnDunUjIHWqWeDLAO+0
mO1nlBGAna+9OPorCU13HU7ecQCSthIa0ghAr6NSBdPrhdeDNWmLOAqPRa7gWmlkBxu2WiLKbNuM
lroGNmexuuiXrbC3Wj8EqI0VJRYs5UVnYBTWePwT87piUxrA6MTdMYR47ZUNM/x2LOLXMC9n0anm
yhAKfzeunKZNFIflLZuw2QNt7B+1KfT2RDaWQ433uGtF2npwxH1YVGejxQgCmWq+RrTqM7CuLtFy
+N7W0U7YCpWky5fRqGJcZSQHNPVugX8j+jcUZKwGkhgD5k4gp7ZloxTrvrhpJlXbi6zb9EIJVmXC
oqyod7nQWLcSE45ExH9vEGs3nI5RxgTkh6VYq0VzHbgYtwcqtgsgjjRPqddeqkBX7j6mQ7Wuupol
QBOcFY1Ffy/yl4CEXhljRukFSrRSRv3ZbsobU212mZeO60ZjvZs2iU08yIAslKLI4vfnJjC+FOY+
MJg18Ql0SId988A45KYFzb3zXvFIeSb4ZZbuIxmU7YANHJyWvcGmNAxYRgyBfgNh5Sbs1Zuob0F7
aFdFkGYbjfCAndnnQfdmKA/L0aLESHEE61pU+lM9RPcgLFmOokNlNR1EDWGfxGTc+UZ8MZlTNq7T
bpNq2nqFdu3zJocsumxzEmRYU67jmGgkjp1xVC30cjBWwCgpuQGLnQJcTJ0RNYfLHeXhduy0jdM0
rEoINnp4FiwKJT2YQ/Xix91LUpOriKeFVl7Ssm15aKD8+flHPbRfosF6bbscvX59ZahpsUX8nnzZ
iLBCya7dDr8QkiVhX4iK4JlyY+TTfWg5j7Ez7FTduCpDlqpKox+Q34HuYYLRaXkhWrXbLg7fNFNZ
l2rBCwNpiM4zN1bJG1btv1QC2cDki2mY+LAlVwR1b22HSFza5E+T762qcTK3YaM9ePiwlqX3KWxn
RHwUHpQeIAVAO1wgsuFgZfie5joB7sx9UFFxa/38BsGjDuRVd1d2xGKaADJs7thHiGMY2vnFJYPI
sPCm8SBabxVNFi5KdCFjcjDQSSHN6m4st7oYVvZc1XiVKaqD1j6ANLW790zCy4YHrcBy7/pGY8Fm
rZhyyUCjkQAM13xIMOiEboK8mGVUz0JtVwoo1RLX0CHSb2zNwTMU3cCYmHtb+Lv5lUde4GkSibUw
QwE3HaqPX1q3pVGfrGpwl+Qa2XZjWrdQSuOctna9FmB6ehfk49Ds9ZZscEA6pVK+ouSA1SOx1UVf
oSAJLlV3+Nf25MvTVGNf6lwRgmdujLSC99q0bbX2MVMJgaGKNDPStwrE7tqzWZSwUOxhq8xpQPSk
ImQn1GAkOMDq168/l662aSvz0DoOeigFzpAJczaCFk5OQLNtjn1hNkctj9ojAYiJtF6v7ICP9Ita
KYarrDaLS2wqyYVt9XwuK/Ia/iM6Rbw2bR8tSD8MtGVlqfX2ezMdlaFbY2tY3sgq4ADkISzz0/sg
cR/EzOPusLamurgQhykvwMXuChXxDlllYO96Kj1199Zh7pViYLrh24ar94EIpMPS73XlSvYDbD3c
DiX29fOo8gC3ZBdCqCRtzTeTdbVdN0sQdhYyLn/WpZG71BD1uZE90O4aQbvEBLStpL8xh+77gb3d
rWuK/vq3epO1AVI6PQmtP/trpY2KhXkgT6qf3qtTrNVOAQgjOaisT/MR66nQOrMX2RR66Z9jPD3v
Sx/gVF70zbUs2l6ezB5w0zoa4vbeq4J0r5fEEkXQt7w5GvcWD4RlCv2mWQpnOPYqk6+8dKy8ehkA
1ruSxTj14i3EBnP1NnDg9we8CgmazR9bpajOJdpbV/lRrlc8kXUxj/KT+gjLxsl3AwISdO/bMtux
nVaWshjBPD32nv6QlQrfQ1VvjFKr7+Q4GlcSyqjKgxzIEoD6SuH5G9naxNZyBNMLqybNb+XBSstq
k1Q8WkhlheGytXO0LvqsXspmEM35LR8Y7So8mJnF5z5ZNIWgrkhqvY+T1OPAfkBsCVLom6YxohtC
7OEm74f0TAp+Rg4UxS0Sdc4qD6LukiCpuapRVbgbq9Je+rBv7ll7Vcugt9PHhugbz53VP4UTenZO
ajkfxWCJRaq0+WezKl4xlYUuWYknt4uzr0MhoA3GxouYALKnbv6tGVhRZORUyHDky04tmDgm9ewP
rGgW1YFoFZDcDBUa046BH2BNzHKno/eUb0NyIa8kIvZGM5UvaeXcOiD8v0R9/MkVYfWssidg9VZ7
n3Ryt4skTsdNVARYo3haeYuZPLqaqcMUNBsuy7ogKaBUTgqLn64sb2WDFmgOk4RfrGVRNlQRwaE4
SBWWOwz11q8IhrUNxGwli808QO7o7robXBT1fnwGXs858GnyaFZf5uFyqhx1oxgaKsRzHzm+R05w
O5RW9/ZVZYOo/XYranJasoscf1BUcP5dSL4/L8GzwUjfTV2CXSQp0BvcgrJdW1oxlqBFeOQxU9aN
MsR3iBhEy0qzms9Zqpx0q+gDcsS3k+uH38rMegbg7T31tu5igdxAm+2dlKiKV+4VkRt7R+/dDZvX
juc/08mLG93H3u8+WjlSLqG1hj3AP2hKplvhFPanwdbzZRD008XTonzj2RlyO1ndXYPud7e4Nvs3
2JrWK6NM1EcQhTGCSeG5VJOLmHT9ZBQZQguG3ZOaIBfYJmF54odDoijIk1PC1mlroLVwTBIz3bYl
KimpIMGVJf14TCyj2RoCVIEwSf63ppYdtXbUtyjbBEfN0+0tD4pzSBKIADkTLk/ZtQB0si2g9u8M
Kw5vWY2wpNMc+2uQXqMrYb807MMXdROMF9k1siaFqMyfXYeu/q2rAc35ouLxve0ai9m3Te5AT8UH
vM+2vY+2KWrLhDNkHQHPbVcWfbjusQtdFZVK1s/vbzO9xlk59qe1Hk39rTxgL+ssDeQkNrKozf20
DiZuYBTWtmBqw7g7JpaNqk9wpUfl8HZdGBNUdnW/uiYJ/jLh5odQFZF+sP7npvCQvYGnxG7Q3eW4
qICx7CEDw0u4NVAVXgHaGdayrs9d/5bVPRh9FDfJCdFP1jm9sepH5JlkqQ/97IRE2U6W5EDw07xd
jHsecGbGkAfLtHyMm3mG3uvAc1akcm39qv3Rj/zHSkfa7kZWFZ4rkHSrdnmFhfqQps1K1XvQFQRQ
mo0Sm/zvsIMM17AR4WMqU0IsS69vHF4LAAHmSmKTyfKtXJcVAnzEcd96yiLC+YSa5sP7ELIht4Lm
xialjua0iwxMX99o/qjuZOBeKClfgh/m/6EysGx1p2iE+OWFsqM8yAZ4qKSD54unqQA+nnj2VTBv
QMuwMk4d8Z+bICuBtaAa+JmoYU2Sx8rPeoFQhTXBx8lbEo6GI16Fnnu3UQDxxiuJp8v6zPHukPtQ
77x5uVuW0GKUsKW/yPd5gSqUNeI27Y+iXMv6NmRH1LfFE1kcB3GiAXvVmNRlZmE5q4W9sq8dfk0L
edqMOJeKoUPK3FL2sqqKE1pl+e1U1r63dx7EtTRTvv1WL4u/1Vm6q11lZbLuXWKo+F6N+1Afvx9U
tb6NWv7WyQQvnoWO9VGLIR+oRVJ8Jmn3YpmF/aw44rHRtObKtA1z62pxuPYyA9UPNOAfzVwjfQbD
Q+gu82mgoctUpdETjpeYGjNhgspQ1rUx7l1UtvwxNlagwpn/xHAayzJ7HQtEPdta/xhYtQqCNHfZ
sffKdf+007UOWVGV1P1C7Y1g52eCrXUDtcvVs+fC0z7hT65cEMzO90JHZjByJgAJQ7spsyJ96lSS
aKOSahsFCtdn218yQLZun7oqKK61sko3KgSxq7wNskd3HK8IRopnrTdyWE++v8/CLr74ZvBNftyk
u/wHyyG/cfKsO/kBWYZhvmD+HiAoyWnFYAOFHZhb5CS/xEiSHuXBEEN7LM0WeK3lInGgsEsvAUge
DT0yh4XsA5dzPgWmDQfO3H8v/hhCds+K4inL0nz3PnRqAAs2la5ZtyXUgGGYrtBt8U6yJBIIaE6H
7L0sxhUoFuCpV71bnxwSgs1VTQQEdJgaLfNSqZ7GjrxqLMzykzORt46GtH7O0+wJmEf/FYvmY8t6
9LXubChZIsDBPp8WuQtNYKGwkZ/D0V4AvyUbQMi4gTnT7TN44g085VlcLndKFOZ0rVhEWEtvZfG9
IUmVDB9kcJYd4e6b6FHpsBE3EKQ+uHZYepu6AOLbD3Z9FRrttSzJg+xizf1ksZzZRWYfEC9rnNto
UJUr4cLrymCps0vvEFHQIV+torlZ9qkUX12mKTHRyrLow2v1K1t65frtEl1Ll5UeWDdvnfk/nTSc
JazKcm4hDDHIj894u773s4pfFp9RAynYD0XTb5YNOOxLkGTi4s9bjkitwOr8qHPrtlklhMCA7iAJ
B3NFP1eq6x5KPa4OcFme2BNb9yq0KvTG7HNRO0jKxuDJHX6IB9looWq/AgdS7NQCnGDTGcVWOOBd
08YIHiI/d9ZFhziCHg/wqKB3Yp7TQXUbMvt+SkHZeHmgvG7Ir/mvomNJalSNdZ8x1hqAbHIYLCNc
FXEKgQikwB3RzPXAWGfDMqy7qfIJnDo6O0xIduzNEXU3zCZeyFbHINM5No5/ID2PwGgUpaeitquT
A2KNFHoVfSmd7LoSsfVYGYUDpyJADmTKoqdCIYAwd3B+vZJcak1Q3Q2/gBd5u9JmxloWY62fyS0R
cXfK9L5PYSgh4Bndxr6PbpTW5KRIUmfbj7a+j3lHAIfJWjLacX5gfmu2Y6Y6J5P7s3aSxLjNU+zv
IlVx7odZsgg93kVZmu62bv1pXGSzB0PrjNqRVGdK4BLVrblKgOA/FvPhrV9TmTneFsr3K2RLM444
JPemjwUh5HZy3GsQie3FNtrwrrDRrIgQelvLojzQwXTs9sLKfmYBITz03kHW0UEzCQcSAemvfK81
cabtgr0t0urYh322TrK0edSj+Kv8V2vGt8jqw5eY3yrB9BGji/kaF6mivTlfkzrEFKrYrB8nY04f
9P6rKd6uEV6qLXQ3+35NaYNLSVKxh1Ll7bVm9PakPMlv9ToJiTIWwSbh3VDhhk2TkE2/n7IINlZK
G23SocxaTApMeHy46i5q/npUnvFRHwNEGBaW6nIUc8X7oUkjDIBBvd5PEGnX7YDjeh0NxiEXerKO
rFh5giR/0/MrfLGi7mzWvfEEb0GQFq//0tXP2hu5dDXD4Vx40feuv41qTioe63mZEEZ81ithPKh+
VdwH3U+FqHvWOlt/a9G8n1p+v6bwin5bVz4glKnscBav1YF3LIx/EqKquZaniYYgQDQfCi9GYdK9
UdHt2lfJvF+TpwINWgVP1V9rZRll+Op6MghZe6NyLaxgD2XE3Kakiq/JyivXsh7iO8FTWallg4su
8tybpJ8nFrJXa2uttZMdalkrT+WhdC1yZU4bLwqUM773ly2jFnxuvSrcj8zz54BHY5cOBOa0rBRn
X2jiLM9YhT42JFOv3+sHP9B2rkHiXl76a1/Qpt/7Nmj3LtA4aJEddoOjPFgIffI7ysy1U2ZolzQt
3G95+t6nHkl3/N5HNtuqhVhLh7FMBMwwuFcQf98L0ajEp+dTXQHxJc/koQ54dwFPChfvdZ3ujuXx
vZzYU7KJM3TM5MVQHFFq+m0cwpUkaeraZrpyyZH9NAYLJ2cpxkEFX1PA1UKur/OiM0IG4hyooTiX
6ejAEfeNlTfq2c8Nu6ZDwO+9tjAMZ0Wm1VjJC+UBaWVxrnfV3FNW1D34MJslxxaeRobTzNNEuvGI
GUK5kEWoTPm2NlBakkXdhDKqwNU8yGJkRytekPp94en6OcnMe1ndR2i3NiYecvEoxqdaI9XLFsK5
kq2Kpd7gpDndYpRt3tViehvaS81238dtgZ4SF5HxGNfoCrEfnb+WlqImmFuKcerxVXrSfZxJ/vpt
zfnbsgwLN2SShqf3byuHTPi2WY1AcwlLfyuV0DNeF5smD8BFz2Lpb+ros576e7GsQ5hoHhAa2Sob
piFlZpflVBWfUi0VO1kas3LPVAnFJ9XWXsxaF1pgFJ3RdhtWNfHs9VA7I1CmMFv6CBWccpZCWCf5
FumHCvks2fvtQscIwU6X7uzrEZ0tpY7O4M0Cthb9bYL/xQEB+X2rDO6TqvPxozfAOvK8c9klD/Vc
LTx4NlVCOr1pE/dpaIx4SSA+OsjWxo7xxBiTx0ADPd2YWOwMveI+VZDGNqKKh428Std7wpFtHJ88
JfUep/ggP9JVOvWA0isZwPmj/DgmkVsJZSuLYzJ+mvCdRcOqLu7rwF/Lj/QacmPahPN126X6owlr
LIncY5MaZDxUFXIxRlZHnLKdY19a5F5izfbBhZp345iayA39aB4UMAzvl0zTNDKJIrFv8Wo1LFgn
YXcXhG13h9ESocMUcKgfUETyBgOZfnx+76G1/kMfG+lR9sf1pN4aHURLWazmAecs7jyWvKavMmuJ
poi39Qxr27RjdTMI+PYsAIDaVwpPq4pIZmvYwUt424Zd/oKHUwZOMJi9BkzYtlPjQvTv4wfLrr94
hiJeEl8H/mKXHw3dKtcNyoQHopH2sZi0Eg8kz/kcK+VKdi1d8nx6r7qXKcUbblQj3iRW1V+mwusW
8vNsSIppZ5fPfgFUUSkHFmNKYu1rSJXrPLLdJ4ADR9m1ifVPnavCQdRtjS9FREf+Dbnfl0uHfdSf
f0PCHurtb8gz1lTyb6hgDT1EovwCfLfb+GViblI1mXaAA7KVjrDHgyx2VSJWeqjqD2ZTf2+dvMD4
qagmerkjaZRtYDuTJzGU+FHFJ32ljmp1AgzfX5VaUu+QTUZHVInSlYNu3sdx7J6AQJvf3Hpfp8r0
2pRME4iQxxDKuXry/OpUE8/MWwQXekM891kZbtHLypC/S/viQGQOy6j57Ldii8gzNsNms2QfQO+y
7EfYEdhA+01mn1LNWPuDEh1IG7nLlLjrWtaXrg4WCKKzOBhWvs6bHsuIoOUKw4swfvEG922A/spw
TFy1tNlez3HUg2mCBZ1LZRyA4smr8a2xq0JtXVUdigRzg+wiW71Oz/ckEFDRj0lQoQS2SavAOprE
N4/2fJDFMO3t/YS5pCzJetlDy8gfkfRxUKYWMdT3+do+x+MotLJNiOvNUgqww3R9KBD6v4sCAJO1
Bs5CCqE7U/1ge25yRzo9fKsvUmfZanr9GbUN2ObdC2rjvMOAv9wGhenvAqSDtm6YirukJ8nRKGr3
YvTqEgHo9llFtWmFjKN2QjoVB7Q2jTZDqdSPlao9BFXSI6mDUdYovCcrxkMl1pzk0BZljweIMaLa
PwZn9hiQsUVwC628Pxh6Y99a88HUwS1a+e0YR/asKNYegWDu4f+BtazMpLrSJ5YV7/3buo42asOW
TdbJy7oQFP4YtdlWFmWDGlWvyNZb1+/dHJBUTp1nN5A37du09Osbt1OW7x1QlmFpFo9f34epDafc
NhOkPnmRbGjbaFglaehDuWAgWac1YsDsOsquZLHLfXsjogI0hIo3jhdYTy5bun3vAQKQxXocwzVK
NepOFp0kf2hId50hU/l3MNQ3ddNaT8UYQGDzLtoQm0dSF0jwB+o3YFjqNq4KtjSyTh6iSNQHOFfQ
lumrTrmx8aequGo68QksMNRzz9dXmurGl34U1tnUv7TEFiDOYFdxhYwZlNe5Ma/y5KKakbpSyQ6t
Zd1bg198MkZd28sSUorW2RNfZHdZE1maesWi9edx4jRXQUU0yrpyug4iaVN/CuBQvY3B5gK4djl9
gvziLiuPzHRM6l+bJ6AIvde795Lvv5XkXDWgcvHe1v1S+nGdnOR+9JTXkXPq7/SeXPU8Af7o+fZ5
c9ssuPNvrvOGAPRj0F8F/ZgcYTYmRyvxL202djvkWJLje708e6srBxJmPcgGur9Xi4qZfiHL9dR9
TQOA+fgzHP3Myo/yTB7qckRTRU9bDMT+bPA1NRp+KptOtMvVILuOe3wo34Z5H6GrlXGtxbN23zy+
PMixWBR0iw//+K9//c/X4b+D1/ycp2OQi3/AVjzn6GnVf3ywtQ//KN6qr17++OCAbvRsz3R1Q1Uh
kVqaTfvX50skAnpr/0uoTejHQ+F9VWPdsj8P/gBfYd56dauqbNQHC1z3wwgBjXO5WSMu5g03up3A
FAd68cmfl8zhvIzO5gU1NLN7j9DfdSLX2kLvOl4wwGtlF3lws9Jdigq8b7lQot5joYJJQLoJ4sQ8
VZNlvB2ySTuZTK3X5Ia516glmSdQ+cVW0YJ28d5PNpBzw0Azj5BMLiKCopbYlcLtj5bIhqM8M36c
zT1QThEs48CdhmxNjr6uXTVRm98WEVBa3xx/KnlCvbJCb9z8/Z23vN/vvGMatm26nmW4jm647q93
PrJGcHxB5LxU2LgebT3LT32rpifcLeZz2Ns1+Y25plxbI85kwDYGpEPmw/fquPKQDSxr/6iQ3Fxl
pmoheDPUt17kVEgoUDf4tgWcVO1CWH1/lou2+lqmVYv7TPhYAte/iciGP6r6Y5o07YMBaeqSgOWW
tW7bxEfNh2Ioi6lGUmUwFMTz52ssuAfrIK0ryPut9QjWIl1Ojkj3slXkyU/jD8VP4yuGetW3FURL
X8P11PcbxDrq7kj0+e9vtGf85Ubbmsrv3DFdDcqXaf56o1tXuCxYA/FKRKRHL4b7J+9wkHncVAsp
C4h9qOXJe/ze3OfIotZCXL/1C+sWpjA6otehOVUHwjrwYRN+cJk9tphmzpWdO+OH5anvm/Opo3/v
VVj2a1ey7iqDwrtCs8pYd24zPTfNYqyJh08YxGzUTG+v2sx07y1fO8v2jF0OEXO9gMnp26cKeeNl
3bnTs18n9wMx5nvmgN8GTIEfXFTPAGi4HFJ0SydrOHeOEx7avjjKEiKB4/l7fXfG5xkFvq4Q/qIz
UH4E5mKsfPO9C5c2pni7VFfMajWxPtnlMSiPEOkQJOyj4aL65f04aBoGbx2xJLeZ/5ZA+eg467G1
1E8q6v87wEL2W9Eeo5OAw3pnuJgERbmVYZjK1f9u1PnyykALQf40/uuX6a+W0+HXvBirKAib34r/
2r7mp+fstf6f+aofvf71a5GLvg+6em6efymsRRM14237Wo2X17pNmz9n37nn/23jP17lKPdj8frH
h2dkr4iO4qkafW0+fG+aZ2vL8phEfkzv8wd8b53/gj8+LJ/T6Fteiej5r1e9PtfNHx+wPDX/qSFz
5rC5Ng3LMp0P/+hf35p0859MEDgUkPY3dcthQhIIl4V/fDD1f6qaq3uepuqOa+gqj1gNx4YmQ/+n
ZRhQ61wC64bjetqHP2/A99fP2w3/968j/ddJ0SI2ZGu6ZuOlYKiGiW/yr89qg9oJAMF2OMFj99Za
rm6KZjAPM2BjG2Bg9ZCbg0DrKUKWL4JYCH+KjGATFdvIb2Eb59l9pqZfgyw/dIMXbnxDnCI7XJXI
xbN/uMlUT7lmfv8cKW4xu510V/gO7WqveOhBR92whhxuvMa1/9NsP08y7+9Z+YeZqqfPL1wMLtj3
/fqHmQI4mMd+9xTgmLUFsLfEC+rrZFa4jjeBgLDqhCsta+OtILOybNHnwH510E5FaL424QRgcOhu
sEUejqRWxI7dIdhGvbOPFcoxal+1Z2fmEKC9kezQ1sa8AzTv0Xf9ly7po506iEvutBpCA3m1ZD/R
YZhYdHvIg83WVsW3Jg/7fTVLuMwhZEVg2Rx0aL8yZ8b7pAF5OqDVAJM1QaRi0EDDhP3Zx4VsVSMB
+oDti7tgCkZ8cG0Be70So6vcgfIx8EWBPRoEVfQf7qnNb/Uv99R2bCg0nuWorq7+dk8jJ3Rtb4SS
PJFgx2cGVYvOxG+lcYL7LlCXVkEIQ8YRjUiJQOHGn+GBvLgm/sWRV+p7kMagyBL1pkOZY9cgubkW
dqcTe99Wc7omRmroAul4wY3WHzzPLReVb32EatBddylc4q7oxD4Y1HVguiSDeiClIlL7+yRHYSC0
47uBbay9SJMggrxbQAaY3+3mAO6mtEj+8NAhK5a76U0HLkFtuybGHB6tjlHvtXvD4V5603kWfHsc
A2vVQetbNRYom4TU4Ni1104BSzhC6Q1AgHUh8jPtsNDMHvXmRLSnPBhGeoflJDZ0Pw4EPwcwucA2
fppsvj/MP68ltb8+vLwXVIdfuc0zbOi/vWgd8vm9UqQohFhfEhxD925SGdy6WEGZCwRX7OvRvjMt
+zh0Jkx+3jQ2qQR0PPYNpuDXurBObWOqh6gRayNUtl6z8spSffz772n/9rNxNMfRXMeAcaHOh/ln
9dOS11LZFBSAWE+qrtTXoBKPws7wowj7aNWOtvcfPk6fF3I/P/rz53mqzhLEtTXPcX979At+/1NZ
hfmJzKYW3ijaa9kkyAAqOiCmSjNPYwMRE3CLd1fyQC1UE5tJr833ntoAUjLVi3MxRi94bAw1uyKn
z3TmfEFbnxxlpDzmYdotfGThtrmvwgRGWPOYTyRTC90BQKT69vE/3L9f9wyWyt3TVd3SgSJDuuVt
8usNdBwjYjmVAQIxDVyuw3CPM/SsNwCbqGA9sAzsRIVsi6cRDrLKgRd8uq9m4TXA85co0oMVmrKg
07nIGJkN60I7y0Nieq+aIKhtRDyCozYlqx5zyP0wofJaI/6qtxUzu8Zf54ip3/T4S8Vo6V2XLpzP
KIN9P4Fxu1YjOA115aQnZItQQJpi58nLQMGF4TVqweFJi1soF1AoWDWjHyuBUV1Rb4ICtV+ffOtR
QUpQa3DtEpo+XEPhNpZK3X5rajU8KZUKzQbwwaqNIpTQXFhYBRpYu8BO673P5nwB0Fec/v6+W3/9
IbnO/Ho0bE83553br/ddtVtLWBZwz9FdNv6A05xi9beuVX3EcIiJt4vh11ZuT1xwfEk0N341Mkzd
47x/LhMH0HBi2jehEqtXYBwwO9Qd/xKPSARGc19yyizrx5e2TU5mYlwNuh1/jnOX7Ks7hjdJOI5k
SjLgkhZSjp2wzWdT8+dN6gWigLVCUwDrp25ylno5nuMi6w+A81qIoJ5yFQjtrteJZY4gaHfh5KKW
UapiR96i3AhzMPEWtSHhsPofUJ6DwCHSUwC3pvOrT10yFDcYN1SPpnMrkxBubTVHVVv//Q3WPecv
P23DxJ0NchdrHZO3yryX+GlusCu484hhGMf/7/zy/7DzS1KeQt7xW63TprVfBwfF8HH71L0dYsN5
3R47jamv8wZjHSvFjOpo22XPOvaxs6ZvE4yYzdg8jEr/rcuhkLWJcYjN6Rt+tPaqG6P7Jgmf06GZ
VmEyfCkyFfH6FrJK77jJEjuY1lOLB791TnGtJ4u0ttELAHqsRyxXc2s6ilZdR5UWbFuRAWMlX9tq
abchJrbGLATlep99U9FgzRiULBPIU5zICOVsf26xiQJYCT8qStHS6yFs934ULRFnxqgV8gFerSlI
nCpH+mG46wXTaEtCAWyQky/V+JXVGeRNZTLWWXRtCmdZ97r9VLv6yY5eyhhNgsTB0H1GXARus0ns
6qx1+k0beCQGY0TO1EYUy8xG19dplW3GY7ASnosUkZFfQBDxQrK7DY/vZzP97IKPXFkjOeaoc5cY
x5pb1IXJNZrkX2fxsMglFpzZ4HsVlCiSpEClsLTXKEp6iDJpHyfilDhLXCONcQqCOtwrDQLPMzrf
tbx2V9nVumaLeLBQ26A6+ZiAuQhrwpFaOrygo3FHNrJd5bZ+iYPqCCXMJT2RXabA5AbXxRav+XCb
dteK8O99MrwrfHeWudqvRdt9dYZhBRQt2TZairNnXho3BnZVTbH088KAnAYdMwR+Bm5iiYyw2LqB
re1zlZlRg806RuiI7JQS+YPQhp/ktfukRdy2DQmyx261shJ4MZ3Dfy8evkZleskcoRx1l1kSCPOu
cIYN1hLq1eggNqcM/MCESzzEbw5Zm8Ob6ayrAbrVwpzQOgyanRZbvN7D8lBa49aG0ImOREysPRHc
6QZcDfFjfQHIGZePNmZ1A8lKT5wHRCtRBICqDllokUEkWyp63a6didQo8RLUpTr9qnIUfZH1OHmi
zfnN6ZPrdHg0rfjFzttNPlTdGm2EC9zC6uBaznWuJuMyJw+zATm2jvXui0GMIMXeZ6lEl4b3/Cy9
exAlIGTMQ+KiBjr2v7k7ry1HmS3rPhE98OZWEjLIpFH6G0ZmVR08AQT+6f8J9f19zuh+g75hSEqJ
lJAIIvZea64S5Psw4cDMj4TmnpGRv43EwD8MFRQTQhb5yvpH5P9AHljpzaq4x0alY/+ybR9CP+Ga
eudDlYLgJrXh6kTevq/NKPBCqFpp+UKH8aC6CR0PsdjsVRPXTUKM6TSWOAwBcNFkyX/PJmRGHXmZ
T/z0XKkR2TWOxawb7HiB6s4cSG4FGlE1Sn5QJ/tm6YRg2rhT0U3p5KnAABq0iaht56dXogeiqkAJ
yuxt6pSMlV01HYFOBBPKVt/K1KCIiOgwF/wSduUnU4RIq7rUj8PvwqaKZjDZ2AMW2rNabwOV4rFr
R9Otf3HS/IEkQV81GxeKATiLeSaYBBfZ4FtjeuukCWanM5tNaskX9KLtXpu1i+JAZBgdTuWReJuZ
+eUGI8srky3ktN7rYEekhOfioqmyOLV6/clviNDB0nWPRlYQHVBUWMeGGcZ6bX0qLsdvtPrMr4AF
7k2BdbHochXMCwJD0fhODm8If9tdZ4a64bJdHvGCJFtdqRUS3d0/g6xhW1iy3CmJc2Y59GPlxVYs
Rxr0wuybrvKmJAajnx299w669B5sVTW33tacD1aSXsfaHYAeAJuZcLanImahNE3m2aKhTl6QtZtT
UspzF0u1PslHSWp42pinDuUmXwAeRNum84wfItuEreft5x7WTQsvA7jzV9b3w4YDKbGLEk7wHsvs
NGadCxfInPHeQxzxuvZGywSxp34aQ4kKusJtNsyjtovtpxaJq29MLBrbwjs3E0hmz8NSqea0NnMV
5orWoZ6plXP/MPSufibwwfFa656oOaTDjHhZmnSwUtES601xL0MITCHSgS3roiOWg/KgWYiA+ove
AWqAzPiCOvnihHzDcxuf3D52t1PoZTuZzHe9xnk24nbBqaGN+9745gTrD3mXvGYMnCRVSDK79PpA
psR5zpJyWw2mthuz6FDgox494NYTub2bJuVu41Rv6DqfN1j9PlE+bIgWSQAhpSSvGPZHU483ctJ8
gKSHLtS7veNU+1rABukKmO9JnGf7IaNrYybKYUwxjIfKONGqAFikJt5pwI2y6wzjrimgTtFaMgIg
69lNon3paFdj2adBD5/N2Xutd25D/AYUJh6xnt7Tfj4KEV/VPvzTldkfrQPyqfUj9rW5oOc7fpAE
hGMzVjnvzAFcVAXaJh3RFLdgec2hA6TfzWA8y3cbNth25ke+6dEio87ZyNiqT3FxkV6zZ4BJKsP8
NSTecZpC7UO3lN73VHM495Gn3Eop4Hgtz1g3692MfumDasfjObTmHvgnL1ter3FgfrkR/7ufZ+WZ
EIHxWPUIK6MsSl+SVv3Xug+JqUQRffeOaDLem4WqBwNRbg/IssvtvOyjdJ96ZIk/4AASqGZafIPz
JC95Z4Q7A1b4Z180/rovZ4ac43ANf9KVUZxYihWHrgAqlMalupkx3DtK1fzWC+1sU5P8UGBs+65O
gANll+GqqPG489Su+FIIcFqfyqEnpiOLKI/E/cTqbchO8Tw3T43JT/fv3vprSln7l+4oA0B2TGkq
RfiAiLB+r1FqeQ0r78Na/q/aZdc+BJI6dar0RzWKLwN4xysWKfJKTG/6Ak7kD/AAfhOOiquyq7s7
U57zyKqZtgHJYH2vaU9qB+JhfZpqvhtmZf6AeVn4MGXzMEWjFliQSveD2iRvmKXe1mdas0l6b6y/
dxHGSMI6kZArMrrFgD3MkryDXvkimm4naqv5TQZrs1FtI717TaOAZpz0o9PaypNZ63QRls9iEjHQ
qKX8GQW56M3sxg+dI7yAIN5s36tNywrefVkPkJbXj1yu6vfckobPeTCc66wm2dkZ0p2AkfctQHat
T0XUSqNGgDusMrKabWH2x7JLMC4bhAmsT/GY7bqxG34rFjRaV4Nv4hk2mnklx2zsCust9OL7+tSo
i56HdCkb1Krrw24R54Lf3a0xYF0VNjHILVSZvwfSVWD7oIx/1sJZHl0g0UdtaNXnUBB9su5t6AvM
r6636SL2YUlIXp02oftQa5p1E2y6WC3Er8F8V+Zc/0ZlBsGjb9SLyEV7wy6H33N5QgkmCi/3T5q0
WIOVJrz0ihJjdaC7HE5GifSW9eWg/RQ23n+SuMV1MgfSToQW79Y9FFscUfkv1aZJkNNYuYa2I2m8
w/HGIO/84LH9+1aajuoqrImrS/39qlUdBFThck0mEY800+P6LKZ8cCv4X6R4KMZlfYLqpe73pDyv
78cOgfeVU6LestxsL5606NXNs/zu8aT9fUNYFRcRRnibKi2FTul4pLpY7pfDl7U+gzpEAyO4qB8Y
PK1zPOmEoGIV+pKj/PupLW+AQ7vEp+Qsp8+t51TkVfawPvhVrvuQTZRsOUDxY+RaxblYhqZlcf9p
J4KncmjRRdEa90L5mEWGG8w5pIwlau+znLr9+llCA4+GLuxjkhJSmxj1DOOw9Ag7T6aPdMR0vuyn
hYSxqR07e7Kmpg4irrkgFpT0A0QUDhW+o5jWI0qKZnySJPkEEzygPX41/Z3pAT4fnoEivgPFjldo
rivzpBekAtFD2na6Q+ClFm2tcR6/ExfWvaVOybkGyvZs1eovYDDjNycPAS8LQsslF+mqLgFgzvIC
Vc8v1CWt11w3wqNqs7AJY3340uCZLS/UrXRErteBWh2z3DfUWILtKl/XP1bCjSmgVvZtsNz2Nlb0
oda9Yvx9Hga1e0kbaZ8sLH++yJLp2wYfwlhIAkxDyAS5TCeP0N5XnQLf+vZx3gxbylqL4iMcH7Qc
pNe6QwBQX63lZPdOGkaQCDf118dLWOW5bIfPasJvOJdpexxGS3+bHfO4vkVhTBHBj5N2SdvEeLTo
cv3do51BlITsiRE5RZjfT4zV6y5teAFIEOIPd2wJQVAAKtD9zz5ULMjrLvsRQqc7J9qZ0D5YxBNh
UjCmiXNzpUcYoYY4S9YalonEuMztAIdm+exjFZ8o88xvAr3PsdFGZ5+O3vxZgazA8Tg/0ubo8MKS
GjkCfAiSFCxo5yqff9/VYgYKEwFBO7FMkKf0BdY/yHgm6t0pX/vZRvfiZaxxxy77btGXLV9gtyRs
ICi2iGUlnoBsVWrEunj+e3Rwv2zxJknG8tC5WbGM/+610brXgcLo3dGGPBiNHJ3e8iFy5axzof9y
o7rbG0bJT2YU9qvbJCxP+buiKbC7l59YFw3hw/qzm1yWhnp6wDX+a+y5dEcQlgLPBGZqcG0nO8nB
OY7oo+3y6tSk9hfWHmLiDasG3YbrRyuN/mBjpbwCjrLAXEwzI2HPVbV7hhopTqljQBRA4BVopnYY
VDx7jdflqC169yFt5+cJO8RVeNKHhYU+jRUsl5gfeyKrFUcUgJvBRkMpByBAI6g22i9fjlvRntHQ
yBWDK16F652SdBhBGtdGMIJ3a0rWgKs21DFYVUdmp2+9hMbbDG5fyc0vyhjHPHWtt05f3L+LmqOz
W30fO5yj0qpGP+6bLphbgtXDmiT3dRMVOrxbkoSXL43sRhfMKb8nbo4WOXddr5+bEc2gu0Tf/fvx
//m89cnrxlhi9P7eXZLsonI+ry9bd7A+PvcN/2O9+e8HGcY9HC2WuelIUGLtZGI5zXpSxkwsXL0i
KRe4crqyLwGoVMn9PivfSgcveJKwAoqJZz8It31L4o+CDhcT4iLH5tZXgezMKqiXTdapzHUrNOYT
3rFAC+UQDG3CwVWVneXOBBhxiPa5/e206nRSANwjB0VOMZvkuPZd3nERGFPf7R8cs7P/PqGfsjbI
RNsGxbJZb2VnleLU0Rj1e4aszcLNHLTqH6EssWlxUolg3YCaJaLVQ1AfDSQhDa0fo3dC8dZ/JMSp
nEECwD3NN5LUAN+0YEY4xsWJIMKuh4ezTPp6RpCpyJpwYyssGNK6f10/HNXRKoAaU6gVI8cg5qA1
f/CoiLPCSmVfOsmr1hMAKGX7oqbxuJUZL2iHhmOlqSqxvuBBEk2APVoeW/+K1xz7vFHt4g44H6CW
beyglC9Lh2SBS1S1xnZ9Y3iZvZ2oWMXhruMTz/CU+NIOTMdeJJQ8CIvKY1yEvS/0/mam6NI7lpaO
Z/haWcjAdQnRrCZDBiLiwitKtSd1pAuDMIvBFRrS+vv7+Lt3qyErc/2/RaJ523SErgLJ+KSF6RE6
b3acCefyI4YqWixEu810rXe2RckhTXKFaHYHcnKfym3fNk+wHLuDGtNITTvYq7p0LmRaNMBhsF5s
6ELTEKk8SL3N8JaQ4eeIGld05HkBi0WztZIgVtMm0DwCVpt+pAgJgHBruSNgpaWtV1UgUbVUn0iQ
NexAGcNfg5S/UyckRa1rSBaqjRvBbBXJevZDDp94p4/DG8kyBKYuZ6Rcgk/XWw2dM0r8CjlCbWzi
TcV8ASLZeJsTz75C8ocx5zwqcD/OcHKZH6YVPFNeepVD3wPDgGjT1Arr9NQy/dRZqHda0h1CpznK
zoYAEOokUPXZdLA0NP1Gr3U3JZnTUzT3b0jN53OLbvxcLqAQeE0kCEyRfYXMauxTA/Ls1KE9pwnp
7EMRGkHfaUYQjoT+TijXsCaxNObSQLycQi6UIcoHZEl74hjCc0Qyo1ph0VSnl8gcwsdMeKkPT0j4
lprPz0pJlZH/U5G5R802QxQa4HZ3qK9ggs4HTTtWRa6j//GuU1s5AMRChhPHilkO1SI/SCM7p0v6
5ropRuPRkyp+eqFf3GUAi5f0039vMkUrwcwj0lEd5VeUJQRmuO2WCVgYKKJ7A8fgy2wkZn7heKu1
DFSFU97pvyw30/bTqD/GBmGmjrRYgrvpMTZY6Pg1M3/O6z6Bi0xaa69rzQF37qVoJz3490bYC74T
BN5GKcRPGBce7FrIjLHt/n3/A8xELhK5semqHg9jknbBuqHk1AUJ0QmiH/FRgK1q2/QhKXNrn+tj
G6wPlf99q/dSdBiO9TYvKbb5OE4kM2qchkQhy0DH/eerzvgRZfTEqdYgI0xUzsSo2uVdmFIOlnFO
wt/yO4dD0DAaQlfsA2wr2zaaEZG52XS2AB9lqfBA/4dMjhwuo3XudX83610VDQtc5+UvKuVzWwzi
NCyfZN0UBgm1YQkabLTiMJiXDZnGuV+gmUZeGxtEqYib6FU4MIzyxK32fzeu6vxzK/zvW+zMAC9M
Lz9LWyLhbDCG6y1zDP/z7voHtXJ2RWpXx6i2SW9dNsjaua7UxWtk6uk+1ojSXTdFzTgWLjHL/34M
wjed9Tgytwo2vyA0yBCOUyTbsetUG4aD1y4CJBHOxkT0AS/NMMcGsbFQnYp63CqmM57mhaqiVRXM
MUygkKCjYkfXjdKoy9iuqwNlaFqg+p6MrzeznynUmOpT2CLLL8JKnAdi6Yj+YbyIlh4s0D7kDs3S
KOVYrRub2fpGqEnx95B0RUZsSu5RpVx+FevHyYj9PIQs10m2Kg23IwEh+1Y7Kz0D+tjVkzYcu2Wc
WoetjrNzJ6gZ0ggJHymvdViowBRH8TAGlmmOAUKXkG7AgJ9u9tQAyF90yiQcrjXKtnA41fSS8Mu/
9z3cd8TE5id9SBfcKHpJszCgE3pVgAfHz42Qa3Gs82PvdAN7sBOV+zjsXvJIF8G0nCvrcLDe+h+P
RTY/RK9Fjq7zu+ha4fkVaoNrOhepn8dNvM1EVl4qzCaSIrPYKDE2tVmNxoNTqC3dXRZjujDJhMzq
PanX7gO0kz0Ku/mbHgzBYwu9zcsgK4JdH05DrVxqetLXbsTHQtYFjwMCsJ05uxioeJZobhBAcf3l
Ffo1ocVKXGAznt0eVTfeA8sbn4FpebcSjYEwlD5IvZhKdUxvyaQlTji2Jg/Ev0wPQ10ROdQqROK5
iCrJyLFrX+KkIb63j6nF6tZFswASZnb8WAxZ4TJ7L9pdXESUlNNlueJYNxQvwEao8PowbNQdSTzD
k2NZLKM0NTzGQJr0WUFg3JRUiW3jMXTrcqt7tG4Ad20cii8fmme2gAaW0TodocVkPU5tdGIbbSLK
xtbz7OJU0Ux3xtV3fRF5L3mf/m7UsLqu96jFMwUENw6QwCNNxrPM9xF2F5wj7aszFds3TA31hY67
ejRrf33cqXq6CHoMhdLImremaA5CpNazN4jPZor0nZcZ1JTq1j7qEwIYfbZeKtVq3nEkQ8xLtHzX
QRB+F9oM8jgqaQotf3UzdQtpGjh15RHnV0QTiWJarJxUwbUZM0Tz7thhwHTe+6lNje/DmHEpC9jq
yLkp5eyTYhifW7JDUvmwbgxZJYgnRu+U1vimmCwC81caxAOF9RJ1YcfCgImHtPLpsaPdztrjrW5J
dyXkIDliNrjSSOl8RcT6I1lzRI4iwvfjZBRHso85daw2YzpnTk9x3hAuYtnTdponsUP71XKoMW+N
eTqRk0c+HFE5YeDMjEA5Tq8TZjL9SMrSn6LBwNwRi/zm9Rm9DUDjd4/gxp1uIDpzXbPfM28gQJlr
5U8f3b2sxxZlqG+jmwRyzOJtakf1i6OPhCuPPYlJ1p16snqTUrF4E0SmpZqNHtaUM7K/sb3G5BwC
U8rDTZ5mXAoxeTw1+KjPkBfCP0YGTVlKpES+JrvT0NTVW0ODo4tEDvUoRfQ1GjfbK5/pTOkvSWy0
L5hUcyeF7j616akZO/lQ8ilsZyqOrdFCslvOdNxixjkp985Eq2viNXxrXOrK57zMF8BFc13vaQ6i
PUWt6dw4SOVJFdhC44sfjsqYm+/OmGP2F8XP4FFnC/s0uvX5+FmPJBXRFqX2bRFb6riW/mQtm7mf
L2RzeudCNTNWLA7jX82PzAMa/Yj2adshrdhoDVGyCWl8TwZJRKc+ptsWGhmJl4hFyomGth4y9wz7
0vjQKVZuoP9unUqLf1zJVAICC33t7hPdFSQTKa0AzJl4IR7y0bJr9ws2NXTx2K3QXNfd1ik8ew/b
TqX1MU2/3Nz23TmePz0PBXGSE8EbuaR1VsRc70lJbO9tUTOC1nPya4ySnVs59h/ArSNg6n6IDkzP
3EBUrc9AFn8igIz2hRsXAXJ576mbUtZFuF4Xk0ptqQkNRGbv+uKhs8L6n7vrX+lw0iS1mCoKGdZ3
e2RwHifzg8w6olfIC96Xy926GT8A/KK404d/SUudbyCyNlHv5Q8TYoCzixqeYYMKsGWTHkLVstja
TUSvNJmom1DeVe1fXkH7PszT+MUMaQTQJZmOEUEez7MGHr5ZkIimMQ8v5QHGhPkvte1/BM3k97Kc
yE5XxuIhj5glJUuic4EC+lAQ402zodmjTUxfzWT8JKou3XB+uN+6dJ9w09V/BlvQmgHusJnFkeIP
bFUJrtCqiFRB3EaJFJ8MhPxIBpNj2y/hPOA0YEZwUJxZ30XEefnGAulLcu0zT6L5ZMKcv5qzs9MI
vXvDmesUqfna2/ZwLzjnS7gWD4kSgaKdYOvwIzL5NlzhN/g4d53s2mAybetc9e1dgKDQaqP1U2P+
ynURE9qts66RbfIsFQhVTdcrGN+q/p3XfGQNEJi25sRoaBVva4fM2WlNoPEqlmi4Q99nMbobGJxY
KuwPgw5/UZ7GWtVg5clDHsXqHk5/R8E0PhqUko6UmZKtZQ/mkWA2dbm+Cl8hocpfqUsrMomuMAvG
hYlsZmHrA0xw7s1kkgcqSjvIM4OeniWcoMXkeaJ6NB/AeVzTTI0/Y5wuxJsqP7Gm0KNLR9au0aTs
JkbkX3IEQz3Qgx2M6moopsAq02s3mXZvo0JeiSsK65J28qtptOaeR1UFJ5X6pu02ENU+R1FFB9la
2stA+PfZawsNwJkCySWROTNfcAvz7HynlQaNCfaxbdu6P4d6dNJ0m4TANIVUOFOYc0Xdnnq8K0R4
eqzOWjc/0BbhIgbx8oJUhrpCIpwD3S+BPdID6moq1xSRtk+/uHquGoOs9lbo23++wVbPd0akv9gF
uegQfeQ3HIQ9amTlAE8jP7liOSqqca+zxDipWV6dq5A+rqYBbeut8TmeR+Wmtf1hvWfZILy5psir
LFskIIRnb2hu7SwnMX4TR/m7sTRzX/Dt+xFIC5YRzvdfA3TGVAwSF4C3tqWRQfDnqxwRXmhuYn56
/WtJEtDFHlxyAUOpXHGUFOdpkouUSMXuO///TSMODmmedDIehzREWKgYTC2SeQTmT1hcrOHjVSbQ
/sjnNnGZeg9T1nkPnJUT4m9NSHikxZ/RyklRwTNypE2V3vPitPiBgmayIc6ryl0aEb9CCYSepOb5
RvYWnBSWYnIsgfqBpN5nHdEDegwqdl1My6Jrz2Gun4ZBevdcI9Cgx+veFcgeRtuTN4YoR7i3fGBZ
VS2fEP0TmTohE6x68NPhtVCn7krxwr1JgrFYV/QAZuL4UHjTvBlDrTrRNK52M9nNflLy2tYie4vd
vQKpek9YVL3p42LZGkp/DOvqc+k8fidAjndmOmD/kBMztIIGAp8mv5rV0JOLnniBAmjkYFXlLyq8
D7BJ9Cfik919RnlsV8lUBahH8Jw14LJvbRnAXJJvtkotHQ7ytlhOE9IaxWZl0GWT9aNWhb0s4Ycn
JPbF2WRqDz5VI65cyEPbU+DNjPA1WtKEcnSsv8JlRqmMRxsBLJ5ucyvcJ8PAiNf0ff/jcmGxOy/2
qRflyIO05BEIIv37UIEGN3evSpj6hRQJl7qQihI5MlscYMM+LrP0Yknjbjp0WexEmR/0xW49IMI+
Rh7hk+S9bWnhy2/yyuC0NsW/qNHQVdOc4jK4zJZ0O3mu3SrZ5STHHS23H7alwYBNyHJ+NgtBYLER
OSdFBXQlXXjz4dAhFyPEaca2NRpHMzZ3lSPydwx9lFio15dLtDXFXO8Hx+0eg1Rxr6C7Nw5AMbO3
PTxhgH0qTP/nSSQRdK0IPregn6p39LLs/rMQdUTztsix2WsH6bVcw5IlIMgZeMMhqm9lRy6ivGKq
83MVx8mmNvryUU+tbstboP+ksRTiY68uw6idSRXFaFylGXEqCHB9Cljac1Gn6jMncDNuSFhovk2T
hZ/ZXFapeAGB01cSCQxj7jXGlZhAgkrtD1w/kEV1enM26rY5VwlXefzfpwgB/oEZB7mgnp77Ksie
LSi05ty4xD2xVr4pNpqssB1eAZVd66wzTsxNyl1p6pT50tg4M83i6iY/47ZOH8fOqs9qplzzWM9u
LlF8XOHM+ErlqyBpSY0vWZ4fzKKVZy0JT5paKI9hBBJ97DmVc6ph7w0B1GnZvbXRPsmT4ta6Rn5T
6hlPohWDe+ChItOQ04LB1Kt8ulV69hIlqvPSq0ASas1775PGBrn+Tpj8SOnkOQWBvVHsWj/0o5B+
ZZKUJqiTONqxjQUnTDXvegNAa6Qw1Smsg0674ssgbWWTCuvLwnf5nGIv35DBbv+otbY1RBTdMyKF
tkaLjSZKvlJiOvb4qMtjG7Xje4suKS1Hb1sUZn5SFFPeyRndEbAUHV0vkiApLaCoemHUqF3KO0eD
ohT+ozNKmE00/bTdstw1vkg2gIw7huFxmL0xSJLsMvXMc0hCcLbMZZrvFllxT8oIEjtHJ+lwnDF+
cCTSqRvfMZ4AuUBPQYPJGd+ZsyCkDJvnDk8bKODsiTVEuRvKhmghYTdHiwLGUjuIIM6wgX7EfkuN
wNqoxcjeOi/rJqO0O+mwmZJifB8KxFCgA9JDYsR4W2wPC46iBmHc5VeyeEbfBIOMIK/Njnkbq0EG
v2xXFLL6olL12Brhh2IpxInLnqkVQ0HasXx1Oze/lV/6xHCXdkDhTNsVe0k7B0FKriDb6nNIW8C+
Fdo+L+1MowbCy3sPFJ+rlHYjb4NYKMVkrZ4UL4qXibNKtTYFbv7YsqDxMmUKkk4SI1s1FSgeCPlJ
pKIhH0hHahHtAd3QrpNkmSlyh6ioFL4bIluL3yTrtnHInzqgM9e09y6RDRJG78iKmgsazpB4qbsB
iAHeXwRgxiBEcaJlvRGY2CSvjkuPiiKm9+wCg/by6AuHvvfWkdQX5ExH0IiK8G2G6rt/Y5Ff4m7J
ywcEJn4PCfYSHzRVRA9RXGevVrwkkanDtdaXbiDU4IcmMiGsueWH1sTaAzqWM4a7+mR0dvnqlFpQ
jjVhO2od+ck0VhQr0uRnnII2hRiuhy9wKIYXfSZao8l+08Jqr4oVySdWwAX9PY/k4xCXfVEIgdkn
ra/OQONVBYaFNqujBaG2EIYkru5MTES4h21+hPRGtsqysWVGccwYzziDClhuTXpkDqSdR4J7N4Ww
aA8PqvUSt+1DVJrFt6e7BuIvBClNdK8M4tD6LhOfuKBp4DjWH4M2O4TiCnanxSze8g4YnNMAt7l2
pUylXgtaLVfkeG0wNMqlBbAJm7b9dHqEtXUbJ2cRhe8tNeEjHTzKfSzfqTk/Jg02ptooCH/WuydD
gTJRlHTpmYcWaqN+dwoQ9lyhZ9xpkHpIfREny3UoGdWF8aa6RrJPJoXyf2bpbzpe8804Ofl9AKwb
Clf+Tub81amQ6fRdMrN8ldWepjbZEwOdZD0Ed9G798KprnFWkKI7W8EoKJJNzXRMLEa6DUUP4Bpq
ZOx1qjoPY69GrAnkuy2F+bA+FMfS9UvRV0erEtQMuWrmiRr6XFazbVsNVDWRWV5IXP9lUtLagjB5
h3A6BmFXD4+JGY2PsEuivYcFkM5Nh4iIbnJqudohH9X8jRXfDatSvWuSLjvSj3E2IA/bI913g8pH
ZF9SvX5wkEC0BHJeB+xazy31DByNyqvTtftZkveGNS3dGwt3x+6SMwLn6tm2OJmW9ArctRalrZym
yERxsqSoenS1mDi5UOg7QN2vpOpx8s3FY40zxTdNguJyV3u1k6Q+QrNmwqBhEEeWfaQrhhgRiLQv
QvJ1ctP7Z5N4jRdkJWlujFPVN1RL+7xuFEn+d4IvkJKLB+WmVSkjiPreKIr25HQiO6oJiQtkPdjF
pmEdigCCxMF5dE1oGvQOmvYpXTY1ofSKiQLJqe1dS1d1p2ln4iKyT61E2jiRGuvbpMUELbMVSt1G
iopTSdHcdNHGKNLySC9a83O3JpFirPSHpCEdBbdfe+wVyobToIB9m0bHb6ikYuAp3aAcYnevJfW9
sx2XWLnJPXtRnO5kSpwKAQQFsGgpLglJdneZvpjLuBtpiXvoi6F5QRrCQl62+lZp5e/CRmZiTvG8
q4axCoh9S1lhyeKISj3wqkUFU37LsIiuU7+KQafuYUg4MUP11ei79hpC5vSzGmgluILnaVac2yg6
+2VqOd8TjGJ/19V9PM1bOtLUqNHAtc2XV/czLGvWoBaZGPv1LgKRiy1mNOKUCDaqKONAHzXzoSIh
F3npTMqdVX0YsjUeh+H3MGjd4ywjrAwCNVBHCfbKWnKfaaRAMefMWZ169Y4sp6NlxuTXAuzeZ4Oq
wm7uHjnR6OTrsE/CDr2o3YTOQVt+qrEgDwJPRDD0tfTDfmlgJ6F5HtfNeKPqUwdQv0ifi5HzHNHb
Bnamq7diSNpdM5RvhQ7+CKGx8WnX87GYDfsJrBdRDuIkhGH/NqMIXXGXjs+kkl6YHXhHYquR24os
faUd6N2SRU4OjiWwGubWrumZz2XoodSmppcZcVBQjmqIKnPCFC2kUQEyn0Z6/Hr5O6kjljyJvOXp
YG74XfQnjYJK4HT9xjB17xnddEq4Y2we17uIvfqdgzX3cXa1C0B5NGt9Y2wzl3PFUNQrambhUym1
t/2Uq1eh9uo1H3RG9JRLomZE8j52n4WiJ8+6I+VdMEVWIv2ztFX1NbE5FJFS/nNrfUzpXUiPhXFw
WgX5JKaru5F7V8oo/ec8UeKqph5hk9aA02w8G6o0Q4aGBgkzakcLMZq+KIzejaEZ78lCW+7zDAOA
jWC5G4rmwZJgnNJ8Nraz7K1X00WsOQm7/eAj0RhL0iX91X1tIrJ7ONUPsTVTX1TbR1LJW+oOKsv2
NiQbzIpH92dxyeqpg0I7jvJTrqJ5gitXnajGhS+mRDutx3bgxPl4M1TMZnEiF+eAyE+YbJtAV7Uw
yPa5YQ6XNO/LHbSA8Lu1UrTxlf3Rp5azB7L/m8jHyNc6cOuk3Zl+navKMyXkaquSDfKJcPE9ojl5
htjJlI7V+MlukScIT4meGD+R2wNFQoCaELRa0SrISfO6rxvyi7DfzJ4T6ENR72bHI3qvcpLLugHv
LA91bHyvFdwYnaWmRNGu6ro/OkPkqY4eW0avY6aM3TGl/ko/vXeJd6TNbCiKL+i0Ia/WcEEmdYqa
XSsOKLEgSoVkO8q+7elnZUusJcnFbusQiJYq1J9MxTrY9L6OFmXfbdbQxqtjjyUQncmj+zOqtffU
UuDayhzaHu0A6TOkGVthUVDWjLO1lIdrc9D/YmL+r4ISNE019P/w/v0vUsI+F03y+/s/MQn/vOYf
ToKr/pdqaC7FA0uzbB0MwT+UBNf5r/9H2Xktt41tW/SLcAvA3hvhFQSTSCUr2i8o27KQc8bX3wH5
nGpb7bLqPDSLpNoMILDDWnOOaQkWL/gDTQOGhs2f/kNJEMb/6bpwXBpduqUraeHPbH9SEkArKCqU
RLnoGNZNsuP+J0rCO5gAyB6BtVYyQAnu6gbf9VeXYjhO+uJUJYw6tpt+Tdn3WkvK5NRW9XU3sQ22
MOXu41xLGUbJrepNPBgQV/2kupHVEhGPw/qiS8n7rih8ESdXnBUzX00plHitoj12xnDZKlQo6Jnr
vRsNjv/L8f6DWfydV1zppnSAqMOScGwO8Jtp+hejZV1z7Q3LxInPT7VpAdimWm7SQKDdXqAzQ1Bj
er1rv9glYpK/v7exggF+cWT/fHPXUTqebMlPshptf3nzRiRIxnPV7Zua1Kih3NcZhp8GrldmGgSE
B+F1ZVU47mgzEqncf2SU/9P787OhwbY5x8AA/f7+izGl1Sxlt8+d9oYhMPWN0SBmGlJAbocalq5j
HY8+3XJyowm9/wD6ZLw7f96+v+DbS05vU6j36KGJlW2aKQ4+liOWt83wKWwon4qZNTvCQ4cwROKT
kON9b0DabKhTSS8HYo8ZOhctbUlafH//Sf78iQR9Ty4uw1Xvjkg3RUEgqq4DhI11z0imCN+1rM9/
fxdjxYf8/sNTljdgmDiSFbljv3ublm5SO9QEnEyLwXaekvO2mazksQpGAqa78EIPi+BqaYnFNgfj
0LPKvLEblhdshs1zJdAeZpNlnZJYOvu/f7Z35m5+E2UajA+mMExOyfeUIlUPpogMaiBt/QKeXLCP
j75L4XqYR+5jSfK0BbDjgzPh34edxqTpmgo0Eo1i6x1BI4jwfDqi7PcJCq4Na6lsU+lu+YGv+k9H
3WQN5Tq2jhJBrH//5XIDPG0mRpry1fC5objka6BDa71MGPUH59GfjuKvb/XuB7aIa69DlfV7Z46p
n2YDnMjkhYJi5YGGbL0ZeEIczR8QEd6QEe/PK8d2LNohePPx6P/+DecotZxx5II2bR2doNYVBzfX
T11s57ulMtnyutd0FfrLqhrvO/Sl27keSH+lXVRpdspSTYntmGh7bbTMQ5rZOFXBJQwsj32nx6HG
+g/b54T+HT3wFljna4NHca8F5mUwA4cvmvAVjCRNhPSmccqZMA9FiDZtyLODR667NXrti6xVfPj7
Wfs2VL375pSWbN2w2Oqb/zptHfYZZtlx4WYmrmpjim/pcmNxDvlWWjTcdnqDm5AwC3tw79tMEtcn
55uxGGx/ok+0tYo7tO+1R2K64a1MhsopR9IUk9YPY0RUAycLqmMUYc1CWIQqrxx7OVTwogGD+OiU
xVmZEpNg+z3OC41k0FE/BM+zRb6CmfRnzUye/v6Vjfeck/VSFTpz1zpYKf5br6pfzufEzciFVFm3
L2ubZAwki2Od/JhKIjHb8WFhv4JJyyE6XqnpQM9ceJp6nem86F28q9jnnsPyhZ6Adtb1z2ZskZxR
GZ+jYDGggNB4dJWxs3pFbHJn7UKR2fduHxxc/VsCofchJ7yWKHTmSTroFIQZzbohn6mp6vqafnjK
3baDIMzfZJLfsi69dcvqoevPRpp4gIiIv2Q/Z3a6cSxwpk6nZCECQMAq8+Kxplk+QBYdH5zhlE6I
E8u8R2kl73RdPTgqu2sSpQ6upVUbq4C5NxBtXRY0PGlHNVKzd4tdCb80R+ZRGT8SAOWQXeF0E67x
8EEkdKLs4bqx8DzEQ+I58/h9rsxqoxGtuzXCOufY0Y1JL0znxvZnK9cOQ9XfQ67qNqNGiWyMT2kL
1HaqHmqiS8AVIVEsh+xC6jVZrkjRvVk15CYO2iejxLZbut+jRn0v7eZGyXurROib1+oLCBtqAPLZ
zmnaa+50zA3L8gJbWF7n8CLN0D9YIbvARDXxvswr4TFeYX9suussmj84q/49cDlKsWplKGZ5Z9vv
RpCpDVWvRq4jCsG7Kp/2zpBqGyOe7oOpgXYbkRJKbvMH4/8f31Ux6yq6L+tE8PuZ7DacHe6SMu3q
j60Yb/sye+0b6wpf/gMM1ycSgZ4/uHr+vfZBPcFMYLiGC4PsPbSpDZF2aFnP2ksCyCvSnLEtocDU
tdvmq7KhCbr6Se/YklZqufn7m/970ekox1yX566rC2G9u3DDXg3JOJR8Xbt8xp9Cw4ACjVxSDcyY
eUFsqq29aFTtPjjMxooN+X2U5I2p1rPOFUJwqH8/zrkeaHk3cpwl1AiXK2xL9ipq6XCejik8t5w9
w0YNXedlWGFaBk8c2dlXa3ikVWZ89Gn+PevzaWgCOqaCTcS64/dPk9KANCy0hvsJmZOPOxNFVZVu
6dHAB3BIiM/GFsWBrQ9eKMtrZCJ+thbA8mi8h7WAEiXT/b//Mu/Bb4ypjmI9bFBKVcIw5LuVSI1t
eIkHuwU0QR4cuTLbyoKlO8TDYxXOr/haaILUJV07y0SEEmRPuSg/zTZOILDwn9OJntGhld1FhK3I
S9lYUy6uSFToTL/Tw3vU8ZcdLbMrliLDfiKUnVy4S0Qjr5EMSMVMeem/f6W3Zc37H90FhsSOULjs
1d6tRUKpaVoQiXaPkxzDjt+FoKnpaG6LoWdSNlKCCJOY/HMhEaZlE56CllTUTK0XPuFTfqtbX2lK
VJ41FKt2hQJF1fm08N0tdSLfHjOymGid+mkYCKB4zr1uklcTWpQtJ0mESOOe3cnuwOjzhSHhhoJp
dcqyQ8gxItcz/2D1Jd/hc37+iq5hCGELyXD2jgxFccrNZ2ckBZuA3S6KDhGaazvS5sNSG+cB3UWo
InmMRoT8fVEQGx+9Ykb1KSlFWGGkdmB5DhormCzkBSZ8NYQzHqVcwEZJ+ZxPCFKpsJe8trXrsm+a
Mz6Q3OFcZIXRbvtxXf9YwicLAu7YauhWJhZTa0gvnBABE2oHvJdYvJY2V0DZZLPJAiirpt7ejaX1
8vcT4G3V968T4Jej8e46G7tslGE5t/uwN1J4+XOzMRej8cqV4lalTr5lXKgAoKaeZaxhyGZrbsBm
PQxJd/33z/KeHfWfX8ZhkmYUMuz3Q58zD5K8ur7du7k97EfiU0/STJ/6gC5obcxnOiz2pooRqVIA
ZEDIjOt8KtNr262OLsCOhQ9+DsB+oBFzYXEV9JLJM4PDS45tvq5xkgKNJ2nrQDoCL67Lr53RD0cX
1hrJvSQ9cDDuedn7xukp9ttBBr+aGpzhAD/Lnfg1o9exCWwT4YcKdiq3nvNKNZ7jUn0TSzDtU3wW
s9CPkckQ5QgnxyTquLvJ7ZG/6Zi+g6+UuB+sPmFur9yt3dVPPdRuUUfxOa7FRkLeJ4gtu/jg2P57
cKdma0jIpcrSKWn8PpxCY7DTIGE4dWT6NQy6kqATPaKiz5r+7+/0h/nLYvEpQbdiUrf1dTr/ZeHZ
ZqkFN5nSZBUWr0lVb+iWHRg6b5wxyr2IjmCRQ1+Qhbz/+xv/YclLLQw0jelKadn6+40zmse+sgPF
8FyobY+vyeudSR7Trv1uCnvyyPT0bRM8kFWQNq5CHS4u2jzaIZq7SbMS7YnzIlUf75dqsjYzZXoE
NrvAMqIPht0/LGksXZoARKnTU4V7d4y6MK7NICEduYhQ0Iz1qWyTr4Oe3UyaQlIcv7aInz6avf6w
qKHiZ7oOIjmhrPczqouVcIpprEOk6q90gYBG0wjQIrbXss+hEyC1tWh3aq44UGX4ZAbO0SQ0wx9d
VJailDcTxhY/irphB8hP0FmZ72MDx7f20RJonXTejUl8UqZOm99FQiX8/RSK+25QNNVb+t4lIZaV
vcIpiYG0dNRAKkpe/37i/PGMZYsEF5ZyG5W+39/OchFi4Jwk/aO4JJbqUkre1ST0ncFZeBnnL3Ri
qC7aRyfsCnF8/z0NqqScrvwg0pG/v3HSGmFpyIqQ7KV7Gmd5a9jsDgN8q5toaq7ZrmyMkP1nOkUY
9UIaHIlq/WjQ2IcHpHIQ0GdthD7sdCe9WLAlfzBV/qEURZPPZvOoczE76v2oMYJEXoDNcEVp8iuj
yrByV5NdilyKfeMPdNfA7yQJuFDScQvfVTIEybxUW7sxya1Pslcxcwj//nO9IQTfHzZWyPxS7G4d
+f5E7sIhMEWhN/u5hxOk53N01Ap1zFqijKaZxWsLQYfg6VAnrVsPfRaOx8qkiNgnTn4Dy7EwVXwn
pulHn0TjXW+EtxHInKuwOLmawLXrRFcLI825dmv8koEq9mga9KuCeQGszGXnAG2J3ci9XCqmiWJg
CRcDYdpGljs8tfVlUbFDIGOx3x/broPSpp6XPiuPmkjsR7MOX8hg3KYDXrKxiKbLzGBaE80Ceazy
25o1wN8P2B/Ob8e1LIvBGKio/R6fH2lOPKvCqvdDqDZiiRHvSYAvY9FHiAsUnoD+1tKa12T8sIj9
h7WWy6wDWtQ2YC+/L2LHiUG5vyHkwpoy+5DovTzEWhDsIcytUYgYTMamuRhobl9kuIKI8K3VRTSL
/31PxV5KSd1auxH/mhmqAlRT5ch6j3X+upE5gtpUh383FuXGjoyvZKEZVzTbIOxhL/j70f9DId/h
zanmsomxqeW/u8pJGAkT6BI4q2xycPsw2ptO+S2pwvCch6uERnOLTbgsx2QId1VURx9cxX8YZVyd
kp+0DJjZmJt+H2VYKRWdG6kawBLUIcDuItgkDh1XxH+m3+gffmO2Qn/YS7Km1IFIwZIVjOO/vyfJ
TWWPfpD3HHL3W2nagAmrzrqZKNrs4g5NeDFkaLVq915TDkEwffACnA1IK1rcfTgF7k2ifS3oom7x
haMzj2MMaCTF3vRmhwinhjKILmbT2cisMltoD05A9MncAAnR2/QMkMF+bCkxgZYFwBdlT+08zBu7
bRKYGO4Ox1B222b5SBehBM5l6Wx7iyl+KBDgwCTKw0OOIvUplfLbYBHkPZoT6kr2RJehsb4QVNGv
qa3tk2FjmLr+iWqOhjmCZaQ9qsfYTZMj5a/gMohhqpWl1G6UPjS3y2pq70dxS2OjfuheRemshuDB
enLEY78YK+G03DT0Rps+vrfZQdyWo9IuxyYYNlVesOd2osD9lNju7IUhYb89At9lNh7bwqB3PAv3
OWiTYi9Q8XqdKeU1eY6PrGR6gA+kCE2mflJVj6alc7+wCUovK4h8ZwfkiscMWTxOc3KvNyHIWYSN
OzgA82cyy1g9d9NXWaqMscNM/W7RcOjrOPznuS/vktj+bhKT811PjdvCyT53eYwU0JTx5Wz3MR6/
7oX4zpEUsjEDA5SX/Tav4oX9HlbXuCzYgXXZ0vhx2sz4n/KJiMwB80mG+3YpK1b1ffbUaUmPuJdH
b0/B83UQl8vcF7oN53e96coSjwZlkrenDKdSF4ic9lkR08Jfb0pdDj/vvT0XpGs6WxPsY+B2SSrU
mdIjAqn13j83Yx4O22qkJueoKt/N2JLI7ivjy2Cc40sMVtQ6w7kmnRMxI14jrfQIvClPtd18mSyc
lLguO/SsI2qT9R6apmybZabuoapZrrWyWa5hA5hlUF+/PUPnb8a1kiCrWtJD2VgI5AJ1889NXfSb
mLUKab9t5Csc2KuKJD208xqKalbyYUJrckAZvx878tQQl6KTJTDLuXCH+pEYvHIX2Xa4zQwV3EkU
nMZcGE+4LcpTG7GX0Vgm61UF/qsytE9wJ28hgHWXJXzQG6OhduzG3T6AO+SrUAX3YZTWF1HbQsdZ
HxLGLC/nBedgOx2bQcs1CDDpeMMyoUHco3ldgowHPbStJydgkMEtRmicKnjGjgCngo2Bw3iX6FYC
i3BIbikwDdsJO5+/zBbldws5hdDj4RQswDu7VaOZzUm2r8rKJkTNDB4xFWqbQnY5aytn31rT8jjj
jfSScIB9qgXLo5nmF3DE3Ft0g81j/iVbn5RoWI9TD3RMkFVbs315CAN3vrO6Aq6GUT/UcIX8NsVX
WxG3iTi3XxW3rXlttbHAUcU9lq4jew3PdsiSMsaONVIyi+Zs14u9s+v0i8gcBW+ks/DqInRaSunJ
LiA1ZcrDDe21BupABPCpsh/WGqVnpoBbIhWudFZh3Ok5jEqNQAzCg7fuwtd2h8B9GGC4+/rk2HuR
8sZD3Gf+ZIzVpTaby2mCG92aJ6PBrED3PLjFVdJ/CSf5PPTjCch1cW0hDLoqW86T0oQ1pTV5By+h
ROBbRS/A3WfPlKGiBgENuQxVvh1aaHkEo+V3S97fzs5kfc4TsHntUBEVPmnts5oelbLzRxHLrag0
CsdFMuwDsnU+99FFbc7WF/q/025qlu5ATl76rCwa7evzFtrDbVYRXzZMDKvCKdsHS4L+NBtzPvRR
jKJqSR7BW31hIMm+FCLgf0/viF5sbhwjtR4j9IthnD9O/YhS1Ikvo/mxkrVx7zRuee3k00PYN8GD
ipf0KumAG6yPMokMuCDsBJcyWsYRLNFeUXu9ZZLx7NAK7tz1Zu4k6uNokaeMFqhfJWZzEAWxYQvF
pUOFzvPBDSzpx+Dt6LeVMy+May2z9W/TOOWbukzau36KjEtXxp8aAiLvuvXGmKgfTKVjotdOkX4O
irJz4Y4XY4GsG49LcpcQdXMXF5VvjTre6AYXgTPZh9Fyn1GFp+zXLK5FM+UckfbBWG2o7Q9+6BFR
4tgz+TjyBu4Y+3EFWbZV5JuEuVfgvNs7NYmMGH7qLQOedVbET2xVF0f+tNqoQ6eer9/uIQhUkFey
jVq0BMaDoJ83tenNlFfRtZU9unWIqXFQLqWx0IQII4xTZVKxsZEF+ZZmmReWwdzr1u5ycOfcPhF9
4KdVdEXMD+plI61OEqQxvtbE3Y+INvsUyTUt2vbWjPXUF5O0T7XpVKd8VXq3Noqit8mulPw1SkY2
+gFWx7cbZEqPRurqe71twrN0660TGuZRBsHXJe5OVoSBNqlB1AzfrQBaV0adjS9wcof22ON837Gj
BupiQ9+TXUi2GCIrtPcJKIocNMRyaNhGeErGW42wSSGqlzhNP6UpEOU+m3fhEv+Ao7JvqgkC3yi3
RSv5FKz7hqndlrZzWMyF5muQnNuofcKuAX2keUmGs2QeZwOzmTr5GZbKJ12bMxAX/S3LeRg0SFLs
1GTOHxQqYtaQWi7PBCE9mXN3s4xrVxkiuR2usy6dpUCiJME9aadPqMkPclHfTTPaSyJwJ/MCRiHD
mvZaDPHVbDovSzdNXiFKApkCFq02dNMmMzaTji+RVigpt2E5bO1+wYM61xdshpILo1weySa4QTC5
+AaIqbRZjmLObofCkz1bpqwaj8THFRgnjJ0oln0ba9t5MPcpQlCV0XK05x/sOG8rQX91thu5yStJ
BTKfBYeNJavia1UFa2U9PSFQG89W9ZCmNRpQHO2JBN7Tt1L3DAw/vkCuvA1yHeao890BZggvKcdL
mnW3hRt8Qtlbo1adMQUlrEw0PV+LjPZmpBpXl851lvTOdlnGbgNU9Ni1xUUurIHepHYdTwDgFmun
ysXw9WbmCwnjS1HpV5RKcCU6+0I3fRs4gu+2ywu+ZY3mn0lYHucXc9Kw0q8zr2kaZzdr9aWZgoNF
EVJu6krc6I0mPEzuyWYwEoyJz2bvXGFHo/isOFVJ+q5gHyXttsYdiJ6wgLZgNDtaVbig4UZgHDOv
lMY+ooAZusP+6Z5miyFB2j+0bqj80hGvWiH0DVJH4aUwFNJhudVblx2yoUwvAGUsTVADadGFB4yj
2MUn7P74GkJviNEAzjZNC2u5xHfVX0xRBJlUhPt6LM+mET90aDE9UgAuqAS+FpSS8bV5bZ//cJLk
VbRggMYFiEnPysKzh2ZHfDAa7wGb3CC+1AbhaWwKPfVJ4sWlGR268E7HcfIn3W0wiuHNdirYDZhT
NlXSnVxnV6Zt5esjvpYBO/ViWl9RcWCpqVW6ayzseHU/MO0alm8kZCfUc3cWicTRok/PytC0vT2O
101FSnlM59Mz6vHUl8xLALOOuRk3+6DIsL/qy7Gt++8FE2BSzfFtRwTskEAV6ePI9ou6mk7pOOOh
WO+1ZBw2odsfQYFcUs6R+3EJsYtOojzFNttc6oxqxZlkjtSQgkQnt4AdWut2swVvVsABomZMTvxK
gmhOTh82qAzaEGAjKtnN25N9IupT1YUQM0ZnT++mPhlaQ0Wx0mtfd9P6ZLK/qSCrVea+1/vLN35K
LefqZFuA0HJjUlyl8C6mhsJ4Kcm8Wz97lE/FTtjJd1oD8SkBSH6y2LsTG9NiagLFzXAV6j4hr+1J
1YlE3rfKPppp2Q6xc1Wm6cEMG0SkQQ4DAYMzLnZypQfyQvr1IKQJzQW3AAiiBRp5nMqeD+Ws9qRD
ePlkjsfcCanlMGd6GpvAC6exSOGwWg3vXH+YK2Qj4xhATrXN9vR2Q19wZ7emi52PeLk2h3veKYlE
LYdGm4Ed3dSNU5xipT01WjDu2vXR21Nswc9xYSfbpclPcVkXpyWPipMzLV8cxWJJ9AjLKERV297C
fIRLoSu9ZD3KdduWKyeiOPHxiiMGZd/ucnFMHCb+SM9OQHyzU7reM8ZoD6+nO6RF/+xgk9jx6D8I
H1T13U4WxmORQbTRG4Vjcv1jkrkMlW93RwWGUZg2eYFzeJrTNDq93XOj5aBBOliCkSgRiUkFxtve
bmoJvLepn6KqnXY/H2qRm8GFJ2NAAk1AScEuz0ESocXJ6e1mBqV5mson4IX5z6edTjpeYSUN1NAq
g7UFWoC9RoAAsO+1i6ZOvxlsTPGbJs6FINmZcXy4Eil+uAiuaR3vnaJx6KHpsIgc5jXD5vTJOqEd
DH5xr8pj/Cns4LbmKO3Nkml+TIIXJkWNm6lKvYQQg12tVSYXeYpgo7WbXRj9QO0eEItEFmyWNhA0
iiMsd32nAsXmGn7orLnLZkzh00h6D0C+GcBSAJ09oF+jY2CddfdlNrvd5ETTNoUrMI4dfEbXiFAt
r/geJ6fqzX6Eu0ssy/b0xvOx3p51Qw3E+TAv/6X8rP+Xqg0wXQGlCm3GF6pj0u/X50VUEP/w9q91
q3cEgpP16bebt5d/u0dejtyAdFlDtfnrz/f5efv2T8uVwgUprtn8fPLt/6rePu7b3Z+PG9vyIQNl
v3y26e3Dv/355ydRM+5ac7F/fqR/vkQURNZ2muQTXLqYNfdKXUs1hflqYpoO4Wf9A8t6A2j98/Dt
3p+gWkg5sl3fFw9v//7tZgxJHUU7+18Clx22aofe/frtKcwuy7aB9NV2BVtlJyi9nLgu/+3hPzdL
wka6XKDPwNfjLmN6fyHdSflOJi5Kg7V4VLdkgY914DdlTTKbJi/RUFp+tah2l3YJSvfcCPxqwu6r
r73AKZnlBnHc65QY3QZ3pyKpx/rORFR5OoPzGgR1FHmx+HbYC4T1RksoVzFdgpqDVEOTO88pzsAd
NfaS8G1vRGBlpuOPTJ/0/RIRSWOtlk/laz3d3lj/5rB1uY4odbDPxlH2mRVb5DcM5F6dL2Ri5CJB
58rYA/rlRzt1Vw18FAQryD4nTEEBrpiSij02y0Xb6Yv9xbVvlEG4x1R/C6Ywg2YLAsc2DXb/QfeQ
YUjS+gbr7GDF+7yMj1GzWBBX1V3RIS4qlvrA1upmmSHzuMNMIH0QeBgP98LozhksyI3T6/MG0qcv
rGDwUoAWYqQJHJeu3wxFs4Fdg003q7/Fd/hvbmMZmF4lgJK54Y0oJyzV5Wsn1RYXV+gxf/4YBgMj
dMfGwxGdP7TyAhcUu4qELsKEwoKNHcUiaixUxBpWSB2bUtxCRlk651xUn6f+uteLT0Faj/smdByf
YqR7g4Xw21AkWOCd+qUK+3utq2csRmO1iYvpFCbR1zzZaXlDkIizyhJ76ZsNDu28xtxbFu4pbNAm
xKyNjGLUDr35wyoC4xANDxHyrU8hpEavioOzhj7lZMzHeShRIwn9jCOv2qYuoWXEtMa+XufFz/Al
MV0l1UuJdW/bsgXeGSokUgWjyQa6reUN+mDv3bBpvTzVvTUvd2O0NZN9k1LWMtIraNPhoQ2WH2gc
0ytbgtGUjXPKhylGRzaMtwLhWZxXT1pWtSdbwuLrk57VjqzLyyzGpzVI/OJpjA02f9T4CCdF6QOy
wkAbMAAsvshM7ko7CQ6tWX1ld4uxqDHLfWibw3VseXrPkq/QaMtXfRfi7rEbgt4EvfUZOomR22wI
MSpvKIGtvkiF826O79nQzPt4xfMk9GVPwXCLjolsd+DvW6QGJ6uxHgbTaYG4eHDjkbjomIpz7bgg
qN/EsK2OuVVUZ7KumYnyinVwSsk2QN+9UElEFRV9thOQIDiGYl8kTXMGV+e1q1lI5k6zqXDIbp3R
eZ6MigCMb2nZN9d1sE+CJoGmb17BBGfIJ8/9kOrllW6g/hgUkShtBBg0mYd8ZymS1tG+ugTtyC9j
BpGzlRYA0Jj1fk8Dl23FZjHiJ4GRehcXPUE8JRsnvGg6OoUCa0+d7aCct1Q/4son+mKkjFVA7qj6
G2VmzTbiRQAVJse+bz2pY4vq48zZzmAi+oxYnMykLZxCRPJDC35uUDIwZ/rXVQNWaURraBwd9nVU
9LPlFZTTV62MP2tl9dqPk7zoDQJsWMlb+9xCrpUvZLQrN+cy4t8DmDK3JL59j+JgRwQJJsQuhtsd
u7jpxgg3EilnXl0g58TPtibXxGd0To5fIdhm6pTBTjbTfGjKctlDfgbCZI4vcVzOt4yACGEG7J1N
PQFjTJN6N48QfJslt44auzkDxfcpZ+8eWnV5MgYWYEI3H6WWBztCMMWxNHrFEkgj1GAITnWfjH4I
qfGum8RLoC5LAmcT+jgaCJi1EpzcLKXh4gKEibco1mZNzqW9XkWjICqynoxrGLJs4twhp0dp7y0x
I8tkoXxZrzfjyjihNEe42wX0dbnX6oZ4hSq9/HljMjZ2wn0N6ogFFk2Ire6OtP5IcODF7Do6lwUy
FfJANjbtQJsWIMXBumDbmvanFuH8iQ3l5JsO/Ys8XBOSRBFTXGekWleT5l414RF2Y7YxY+jplVY4
BCqTBGTbB2sutF2DX5wE+4bclK/SIOKiElVMmzwy/ceWuLNdhgiL0hZspMiJdiThhMhcGa21OaEw
5I4Hqfdf52KJjnYw8FqQUwJwzcwr5pZnt+A7qm3VmzgXWzfGsdeRkizS0isIrrTisP0+5sN3k0Ce
OGWxU2C1JYCkMFgnzj9KUxxnS+zndLaohYJyaTRcoS32fFawN4YJMoG9jNcj3fTMHrMsc9AzUXty
l8TF00KGcxTQ1AjHnGC9Rmmcbhg9SBo6hFS9diivmvm+DRhls6gDKCrDzxQb1YbFLdods/C0CfDT
YrnNCUqK25j7osPt2BCisnN5TcHweF1z+NasOHcad1W/cn1tiwQorKe7Nnmg5I35yN31hbh2F8dF
WYt73DbjDHfeeDVCZWHF4DrbMV/3WE42X7iZBiarn26i9tTNwJzNzrmGoXQIM+h1jai+x6nLSSeH
9HJK2+e0TuL9TPFlV/bDTlE127JODkkFQxhHOAt5RalxGUl2ISXk/LEcU5gYCS0DBm0/DOWyGxuy
PaMJSj6VejA1fXwNgmHbCnIQlhD9XFJHTLGsHgYIftv5M5aO/NNAA8lPUoiBdlEUeFpJuiglAjZg
9OcJjfhxCNOX0QirjTAs6XFN0ODJxLcsc829HBvGWGpdB6NZgm1nw8mloXakLjMf1UrwbRuA1V0V
HLWcqA3Pmb5p6ClPMEbd8+S6IQgZijPNYtJsm1xQDOj+rigF6OBH6o0BSfWmluxhiWu/NtwVhwWw
Ibm5JZgeTz3t1UOoEqCXUMcgOVmTecC51dyI4BOuV8gwIIqzJDRv0CgUd2jj0x3BsZ1v9J8JVKju
VZL0l1MUf+Zyq+87p2dZr6LCc4NX8j/z57gfoKRU2rTR14co43K/s8z0QgzlBNWdGkNth7txGo1X
0DgnB9ZO407+UCv7OZ/bcBUBUiWx18TIcrp28ORhb+jYE1BKUkGSHEyzHn1Q78u14DB7KpH5MStY
QpKGPe1dLdvNdfRFTcMRoPlwW1lReEXPlEz5Kr+Ps/5ACcpAjpa9dqobNqJvwh3RK69pd50g4j/X
4zcKEu1lmmDTIiTj7EaFe5GQwLRRvTC3STwddTiBXF069g2tH04JzawRBcweSKqgt8Wyk0gLzLbD
SJOEzQsJAQC9sZP7AcsUEuERIZvfY6ffqnkQqPBCYyvjgA1u0H0hgu1ncLkyKBcGeTcdFSBDoEaQ
UjErpfOy06rIusE9u5ezsI40bQ9DN35SUhFhlDQ6M4gx7KqSEK4wZ3YNlH1Euxftha6756xmDTsW
z40ZTayQQLgWhnvIK/Ob3eni6CbichKUEQS5etbYN6Rj9QPwDvJJRBuxiXfkOZ/CH1jrKIja9kik
3GJts2LcZ3ppHUFPFDuyc3sk/hbwvxDUQRDMGfWECdt1ubMJCPHooyTXA6Mu3Hp1G8dKeXqQ215e
JXJnFlRENFpgCE3mrRVLsdHHdoWcZgFpaaxuosyEhwDRUTBSjI21E5SqfAX5+dikavasYH6MakOd
/p+789iRHGmv6BNRojeCoEV67yrLbog21fRkMIL+6XXYPwS5lbbCDAqYaVtJMviZe8+1cCwsChMp
czwUwYbstXw5qES8GDnUR5eRcoW6ZStcXOUsqpJFhN7xGjAeX5i1Ih+PxRshWntOpAHpB7F4Snbx
wwfcryOrVg5RpnbY7TuLybCySCAbE4q+PhUrky57KeyEasHnNaoXtrY27fZswGfZFG2tL+b+8zjR
sCJ3DVkSOMmXyYh1b/vBF6EE3VmSHRunxH4MmEXy1qdOcvWC4gLqkyXo7uho5U5HrG0NdXnqxwPC
aRq/VEEQjR25tZJkiwgTxbk77MNM4v5U3rjpS5Kk+uyWprV3kbW7RHwyvIJzCVOpvRtE5OSevKdj
HW40a/g1UiueSrzZ83Dt5KchIFLkOFsuTLiT9ntYOSF4plD7cvvfoVe670b6S4xFuA6cYTzZfufv
ZYlZHAkzL/UsPsclDhjDLl+LclDnsMmMR9c/CR/DAIEs4RynfnYpGk4SRvnbDMHJvYhbxkN54p67
/OLMrMvIRzXtF5GislXNnei08M+YSw/SOFbuzkG86lqoRn3YtjnxLIx/IVd6MAlOzvwF/HSzkd7k
LSgbg0ug31l7nYpR30USCIacpqeIm/TEimJ8SAL6tEmj12hT1k8OYEg1wVmcvzC220EW/RaVxfJO
zz1EqCQCUrtjBorG5wQr6Mz7oHvYnX6IzfirZ0zM1LpjQxOjSvO0QJ2nFpB7ORAuiBqIj9Uq75WV
EcLltT2j4ZYd+5TjAs/RPvsk2O6pGARTuVDeTJC3ziZAuwjqwxrXHlnfmzYu0pMVK+ju/nQsGRSv
E1O3QLow85zd+rpyWDfXDtSdmZ6WoRvpWVLW6eCf8I6SfBEh3k5E/53Ufc3OaMKbL0rIyzSsVZKo
VRfX2GqLyIC4a0YbAmYXvXHM4BW+lE7Cp7S0MC2dRhh0c3zNRjoCtGDiUL+HcbBstDA6kRN2y2Ir
AcdInCCl8JKYgA+W75widplsBpjOK+Cp49UiNmfJfiTdmDkcx7JN5TIeWQYZzk+0qNreiYW/HYzk
gN5AHv9+0WQfLMXAByOqpLgXY7V2Ed48O574Q9qpFheB3h3GxP8sw+hbw7x5yy0LqWQp9oipyKIK
rZ6SsRTrKSsKmCSgSitpsjmu3WhfNBHRikUdbb2prXeO6BPG/0zuxnFg9hrPO/6E3bOzadIQHF1P
dVgn/sekpnPeVsjerV4eBy8RLEXKD4yxDbdEkKxjzfg52jr175j3h4aeeJsafr1K3eIOhk5eii4Z
rmFYQS00zBVJNADwOYW2YHyBKwPPQz0Uv4+kUXNI5mptaQj4QCJRCqWkygkmElcngkP0p/Y66z2o
enR9bv5ZafhDB3tIP5mrk5LJLdbb7p7G2uX0xvDXx7C9GgvwY1z0z8JIJeEn9IJFsm3dxl34nKN7
LDBMB7ZZ0yU7PPbPMibSKQxMi3xVaHVO47ubJGvafZrVSFcCvb60R73wvv0WiE9ch87KdMan7RZk
/JEnBJgCsYKJCBlKAle0aeg7fHQCLYI3pDYNvBXyeljXTr9dGxVuxXKc7hHql6kAqFQamC8BTFJi
BmmiSmzCNJcYFjwk63RFWZMhykGEx1xrMrn6BEpbsi1XWWL8qMO1MkwqfY21X0MuSy5MIDAB/BMb
+jGR0+1SoDPd5uG0I4BBrAaB6D0Tq94HM+SLLZkw9p9e3+MfWWRM+p2QiB/NMDoo3dqu0vN1ljO4
MgfmP27YnmWhfQ7F8CsymYUUbdQCph+HhZhsY19p43XqvOAstEyejIo4VNRUBQtNlqi1YWxKy0zW
vO/nR7dcZgM52tbwkVYmZYp3qJuC896GbuTWNa96YujtgBQbi3IqGUnP6csBijEOeTc0kVwykqGW
QF8n+mVTsc0tqtRfZGn8UbfwYSdm/DSp6HnESCs3wF+R03ggK2ibhXAxI2djGECDJ41wSK9k+GU6
8H20ICFLsSotWPBhwTYkJy/FaX4zD9e3vlWrBUbpft2zZMuz6gdrMnc7RhZjLWBdJVXQOjIhxiau
ThwWgLPBasNHzXBpHNjXtrgXjlrXxLR5zaPOSPQkyg45RKvZL035wzPt/IAMFiJlMRqrOhbOrp37
eo3BWkf80m7E3kvIKa4Fh1E4ntuUMXpN5Vh477EW+IwXRbmt59y8WoAUK0JSkjgNj1ysAV+DpDfR
yZrtwJJhvyM/xNZ7allE4nIOSMIIZS8BWVknG1XOvuiLW+A11aksAQpKJeXF86g53WY4cQjPQM4s
uOYJc5CE2VqS1s5iUM2TCkpys8Jv9WK1t3wzXYF8WbL8jNZRI4PtpBfIKYi3rStvpRW1vLTe9DTY
lM0TKe8APrZY2W0F28Tng+vFSPvvEjbQhMazziZw+Bjm7dHNMN30P9reNJZpWmlLZTHei9c2mXNr
s6Z8iyrjJzmROVuO8reiad/C0wmXWvVdZio+IbHzNx5Rs70zj7rMKN8RIka8SQ8OCxfhxvbDn6ZZ
XsP079yWQfZosidTMebflrs6gKO8N0pyQYaA/UtR5WoZNUI7KielkMVauJwgq3HOFt/seWmyAMVv
CIXnvd0xLPI18JyJGM5W88UMY5lSiLx7/X5spHfIjMZYGoCzl9Kv2YrGRb3GwH8IJugwXqpvEj3O
DnCAGoT8xtpMunZfl2lLg85RQh15L8M/hieru247I2oIX65LAWUXiH7B+3xYMHMMaKgRqAbYRiIS
hxFJBnsyfj6bXCbHqBnvRNQSC12LU46zAMx5xYZwoh+GpYcMjVSBqKIeSHKGQWNm/wph7q/srOEq
986u8gCsus6QL7IusA6Or/3MMRLreFo3jBx5H8ysrMHi27MH38U/UjerglzbVcTK8RqMUJE9JF1M
aKOVXYcgili2ZPB9ooK0gn40yJXU3HybMvbbdPanPmr+sR4aIh6SPtl79qViyGJpnDiado8MUoJ7
IunmHGIe5Fy+W8SZHjD2VVsx6e6STJT1YLss9K1aoCIRnPs25PK/X/Le+S2YrTH7gz/G8CLZsy8i
E0DYp1haP6kp9V+5tO9OqMeXeCSj2IiTs9f1Ke/XzlgzEuo2JewuCjabC6zCnF7TndFmyXsaVJep
b4dFzhAsFfN6rImeDXJWCqY8PZhlsa8zUMqRHsl9OTh3q/SI9Kk5tCZAeAe+tVUWk62So/P41VCu
tdJ/D3NiGuLeyrZDZmfLItAG6gDrNfXKXdGqH2alsqdgJLRlXYbCo7PqS9HKJ0XVuB8IxSZRNH8r
qZHGuLH2XSDBEQ7NOvQy2jQRK06k3l52kBaXo4/Bvg7HRdyY8QHoIZu7IaQ3rB0M5iqjFZhwYRhR
eqgBGpyQzG1mIfu6HCL/ruKqW2qD0DfjGHx5CNeWOpnBC3vAe4B1q10CPN5BXrSI4IyInaAXa1LG
bxlYBAYNvbEhynGlT5V+DkAkCfaEW/JEhgXAI1LBaHTPbpDBjQ5odfCXc43DxyUPc3eTBi1EO2Bw
CyVMJjRxGYIeHHb6YAeHnFp63+W4zF2h0DuZ+SXuciCa0Ya/B325lj7GyivR24zxJcAyGKf4J8zI
yLcFe0pWUIPaT8KmVQZUXSlr6eh2urIMOPdN2fQbH4vXijiRBXaQjpGm+5HzrBBIA9PRVPG+REF1
LYR2KUbZ7Vs3U5cgikAfiDg/9zyXsTUQNAolclkPISAEtHBxRlQ9xDuVO8kpCwmaHbvG3ErScpZD
qYMcmw9+v6Ob9DSSs6rGNPe8Oy7JSKmo1+JWRenVMhn6Ely9yrW0O3IxPW6hhoNcCH0nshbUKVMe
WUv3hUgrdxVL86UqqVHCHvFRl7EZ6hLjJ2FN5S3x1LqravvTZ9ACvEzxV8LfsS7/Uhy7XdN9N6Kx
n7UF+8tPm2cJ0BQxEKkaQM3zNyePvyvX7b4r4JuuMwakCKGHdTRa4WQaT53mWntlDtnZN+0tBFfx
yWuwRIMI2jhzq/jQWkRfBe3oXeIMTUkYwcUfuhYYXw04llV6mJhPlQSPuJi4iXS685FYpiUG6RHJ
YmFdyBgI6Ugb59oJYjZjQAQVo7xrPX+Bm5jjlpXDDZC6yXxAt18nVOOLuH/DJxfMPS5YjT6/jcIa
dmoQfwoBx9knZQFIrY6gyB6HWx8Y0UXqQBjjCswcnS+jG+/oMOdc+ZgZGN/H6dLUy3itRa23orV2
9rWSCSYAvG2ToO6XaGlTilp0cMTI2g1Nndlr+Hij7MtwjCvuZG0LNwWQqkTkxnH/5UFbpSKvmn1S
9REB5jJbT2bm4qCK1c7G6/SSFdMfwf2d+F35tIPW2tX00YuMZ3nSO/3aDxw/qZehWZ16/I9JVp0L
OQtbbFJ1qETDYyEFW5YpOWFozC6mcYoIfObmswoEJMG9yaPqSkYAaUEddx2OIXX0XdCinV2qi6ny
vV5XL5Yz02Fx5ux9KSloGsiVHhXX3wyFYQweDPubQwc51sYiAGwuCl/QCL/Zvd8v9KzOjrUb5ndT
8cBXZB6tPCthQsY07xykFcM/E4PuEJvkMHPUYYTudkVA8nqbNua9Gv6agglub3P3BDFRXVqwpwZn
xkq1lbnO57eIljO6daME5R3app4FlpNPFXPBtnlEWqXfg/ig3C1mq/xXxnhq6Q46EeLdrWry/JRj
LqDxzIwPhIkYuA2JwJw1wzv9YtefQ2H7n1baEG/j8lI0GP9QHXpsl6Joycyy/VEOZJCzy7QPhaG+
6Aj0oyl5JwSJtdaxg3v9WB0b9ORcFQ6nbM7M6QfrWfnUerYRMyGZv/gsqEButPeU9/cNG8TdsJKF
CyPkYKcKFVFqJKR/Ejve1PiNlEMuWxj13LV8iciPYz7R97u8bbddlxn7OnDSR4gwztXrtce5uCys
bjq6DDB2RCr1jGQIzdCwBYrAit5kwtg1KlR44qqXOBhrBtB2Vn7lIYUIsI7kTkyWuVVsR9/YbSPT
uzPZc+3sahYI7ormIAijeivauXuGLiC7nYZt6GxH+mvIQvNPZdW8Aj3n5rZM+jql87uGvnVhK3TP
eoohvwnH9QglalW1xaWauoT6iRa9yoR+1pn1L6KsfWkQKPO5lsl7XDPeqX38Yv1IhPeMi3UiY+lQ
hHZFJwjhzOWqQJXJHirgEE6d8CYL94cfuZAP3Y7cmOgqYwS3bVYO29BVNG0hfwwZ13dn9P0je3oS
5NM+ZU6Sh7syB/zTkXZz73GX9PgOPlzJ4DPLkruB25BFiekueCZxeYR73H8bV5nubwJvMjdcA7X2
Ln+/pI7hXezI1s/QmFbRSmMf9JHbtTy6OTe8kZU6mFCAj10R+0erR95H8rm3zbWuOBPPhnbbcdrX
mJubYW/2hpgq3TI+pKWaAMQLFRmLoA/Ez5EV0ZgY+ilOQR8IP3AOpjXBZa+ITLYUq3qrsH75SIVe
FSMcqgGH1AQPRqUOEvUxji6hj034PTAOeiRhOm1EiVAh+DuvKtGYloLQtL/jK1eq4uSPfzxPG4aV
ZaHsBCoDUtw22m3dzK4DCPGvztQDnzUBRquws15rUtf+8Z+u4H0HLW7cyLxrd3qFLDwvh2I/9iNm
gSL6Glsrec3FIxBB9daZIRnXVo/mIk3vQR9rV8AHWxGHT6Y640lZQYw8L/DuWRnGb8bfXUQ7iEMX
lssA3+czzqdTEzge45RsfGYVkzZMZkeZI8KgzbGOvYclKgpk/TGFrLAwF4gD3sxuKyUzhwA1G2CB
NiCagRbaQYRdzvLyyZHDVhW9j78kLy/OiA8Sin+7GJGarzvAghu2uygqHVVdzKr4w6jB39amjoLB
7K09FTmPBMXGYihY8IcjAZhMNe2l3kBAJ5mAqb7hjGeXgn8pqp4MPEczdoFB9Eo30fKKLDLfRnYP
Teu3D/5if0Ypg9WEPGTdZnG/K5GhLWSThSdk382arSYL1lC6V2DBWx+EcteGxy6i4C1U+4fLyYAw
IlNtTFprUxbZ/Co2rBudrn2jrWyx/DhkqjvELw8VqYTvo1NkzzrS5JP6LVroWh4T+EB91Jf02P3U
TIQoMyhrRu+9tfT2FYktLa5XjHdWO8aFxMVVm3npGQuHwwZy/JJuY5z/ftE6g2UPHkjmF/w/1mQ7
WQfd1k+mI9cqP6DWMx6hAwG9ze5ChdYxJDYQuD1tjetZz8l4aQLNfDd+5aq9+EMQvcWaGV0hirwP
bkAgoeNV+Nvi/tpK1V8LfzrhgA2DA8iblLQF5gabcqREnTC+siYu9Y2qpfpLNCAjYOKtbAE/dwgj
uLV2/iMN0F4OqbDe0UnFiOxemo6OJHWNaFNZnTzHqrx6dqddaRgQAcUdM54plUcj0g5KcOWBpry7
k9Hu7M4Doeh1n3QWxh7jmHVkZBfthsEoNsGAZ0bmU7kO0IEyOMlsd6BVjb21GYX1qsI7h9tMvsVM
xZcsu3/kthm/Tu3NbeKCFAanX0+q/e5E8xiF4a8GGzI3pIpDV1kO8LjoNQpq/dgWjb1wRo1o46r0
t71pd/8wXP6/BZHiT8ST+s//9q+/hn+Jvqv/BSLdfiMTSP47iPQfv+Y/QaS+DSoSxJqJZsO24Bn8
B4rU+ScXnh6PP8uKmSTJD/0HihTEnvoHetTS/wngEDBSB0AbeB3z/0QeBTOBvfS/OMRtbKcu/zg6
hlcb/Nn/gPkFJlcWnHu+Y8z1XaWAvuF16VP9B6jjgYQi0GNB9poU9UlHtz7OAnZ/lrLnk0GwwLx8
ykmJhBtH/4rwPZ8l8D6ZQrteS8llCr11KANzYcySedUbd7/VLpgp5wkHN65AXy9HXaww1X9PKO91
VwuOqdUlmzxmfV2lNoouhPpqluwbs3h/mGX8Ej2/NQv781ni389i/2mW/Vvo/wvzo8cN0My2APKP
UAVWzk1oiPSxxlAjWeqsQbXZyNlYwK/sUNGlAGlg7mDB1RZxZv5mEBCt0snC6LGL9QRHR2Zeysr+
MmYLA/Bugx91N2Oq/7Dz+EZYckdIMr4H/A/jbITIZkuEwBvRMa1KMtdj8VauoaOBZ/Ucg4Uac9k0
jl8oX+51SLqHHxANJvFfQBpkcoohQ5+tGc1s0mBtDqc5xbcxGzgc8drOho4pO1azwcPG6VHMlo9p
Nn/ksw2E8a69DKK2X6H7uhMv8W3jGUnxjiSOtc2KiM3rhJPT2PSzySSe7SYWvhP+NXGhZC4D7KlG
Em5MKz6rm45fxZ+NKyglD+5sZYHH0K3lbG/pZ6NLzQq7lQjBPDdG9IyoCxfssECa+Jv1xUXilzG7
cNVoh0pHXIKbxsFVE+CugYL2XkY+94MLWMf5lXlMJ7VGXBFArcJJ3jx8OiF+HYFvJ2lCzvbZyoMt
W9KWu6yn2vs0233Swn/0jU1yhc5Wrtpa9sls2t8CNR7rB9A4KUEB2IdKfESustiT4CwqWCrZs9UI
Lf8iHOVWQ2zZ4EXyvdjmVsgeJi4lLD9bm4auq3HFWPiYKvxMTUmu+DCgpGDPHx37YCTTEPtTMxuh
fBxR3WyNcvFIObOXRR9/Wc732CJ9H2KdILmJMEsKQ5RhfOp5hn3DMzBoCVvsyR3DW9LnZ+iJ7MDa
0NgUJbM45bgBiWHjI43TYpOoMD63erq3s7EFuwh0O6t3HCzFHU5Kg3IYYuXwHAhI32mEVFmKSTez
lXDvBOHH1KDF8UdMLAP63BpdnZ9q9tE3h3PXWWh6NYA8qYpg+6CnIbWKBXqCOwcBFTtFmLoLLmYN
gWOr2pa8lJbbdwzVU/ltvI/jelyVbf9lLMcwKtdZU/tLgv04LtzqrDL9q9SiYM9C6zUdLGOReC5j
JgZY/TSdUi05VRX37sA0HgTL9Bl3iPDiTp7Kxh43KhyWLtlSywbPdpWhXcSTkqHPa3dhiE0q5JTa
tJ66d+Sb74zf2oiTv8kiB+MQ2SttUncYEllZA5ciV2T+psVw88u0x9pL6DU/YRcxUt5prg8bjbCG
3jDIhGqVvzTjniC4rBZLCqPpyQyR2yj+maDRY/lYvwyjn13BCzGtC/KD9BxBodPV/BiGgJSVHPsr
DQR+WG9c7yODknnBY77KWXXSMTsn6US/VJPh/KzMN1RE7o5g43oRtzWytwhfCU8FcEebRaCPtnAz
p++MRYUavqt7BHB+tRpM8Zm3nrOxNbs95qyoZGUup+GXPRXJ0xmyFewn/Lh9V6B4oHu1B0JeAbnN
Smrv1GvAthBK8/3MvkptDn04djVm7mJi5S/lujZcPN5dcE6bzuNXm9jw5hUbgxmyD6jyZea+4YAg
B5mDppvXc8rMNkMTy0cVGfsIPdlaF7mic3EJkXO9o6oRfyJ2qa+uNHYqKl9RoIQbWuCt5Q7VEerW
3o6TL16g+J+m8JH0xQIu1nAHErmKJytgFDXIU28rLCETKlxtKou3pmQDpA/nFE/n1ZhDgP0g/FWk
Gn8+KU14LmImDD+1FClgpxiIuo50lr5hvJoqfStwl21UmRwpfxGMJShoAp0Uq0IXV5/bwITjBpQD
5A3U8Z2TdOMq7kpzrRwwVgTEYoyJUPWHYcOslvDHJP7UQAreRjwg8ajbhBzBP2NcVGwjNXzGUPoB
ykVv3UjSS5B4C8QJI4ZZP146hNmtGlN7OJNKWXbqiL7qB265dhm4qv+wTQLlkCI8usopD0PDX9WI
Q/bBXk/Ojz+bC1UyvVaafvMxIB2xsKKQHepiKwDlV+kUM5nqho9YGGdeaIpey0oOo7iV1ZSvWUEY
eENCdXTpC9QsJ8omdtzMq9Q1rkh/LDNO0gwqHt7sPHV+tGab4EyiObYa+ekgSZ87CR0QLNevHPtT
S/DGFQHjxSS6at04jAuVU/3kXeO+T579OppPchCGIwuTcl2awQvpWix4ffmeTfmvjhCfAzJcb8W9
tJv8aeNikkKGA+68cLZS936rishU23U/0tjEpibSS49D5sBaopmIL7CAQow2QPVI2ctKjNNRtGur
17oHiFqWTHlw9WNyU6xgSLeBwSLA52WcFy2ZYKl9ZmsUULHbJpUI0o95AIlAR3vqPNBU3s1n6nnZ
xq71covABDCTP1p8sNhhMZPSUeJuXkcTqCKPiHTsfUhgyckLVoUrmaemMTLvZj+mSEdIMty6lbYN
uav2cuId2Gl5cnGh/tWd3NeERglkueywPHcO76A6IciNNXVWiU99Dp75mz4z6vUPn6beQLqM9Z9Z
XIZhmYdWoAdbujah1abUjKUOEoONg0AuUxV8MgGBmBM5rNvcSL8yreMgcav5vQSZYPBbdykCL1tb
WSxpc9w1YABOSxCUW76H+D2Sb238RzVfYwBGTQ8UHbVXPyOPgI4UO2JssRiSkBeqavbJxka0ltmk
IJTnzU64UXa1iy3JiShgyohCbrCghlCK6DrTwQ6gSDEO2sEsqjNsqGkpPZLhssr7QSJnuyRlh2s8
507WuMBlfgwjLAO2iT7KjLg1PV0Ya1fk35RDATvimi1H5oN+kHwYU2rw0pzMd2mW3bqxHDK4NK3d
NA2Pig0LRsLXb4SzR2xygKnf/TFtQnG8XafK+MMuBmPrFom9AG9EjVURIxyGHaYtpxvW1JXhLrGp
s82wF5vWFHKVlepX6pPqbQlH7Ew0Pgh0dgnyjbp1epJILr7hjkeUc/59vmUYeDmwgB99zZa8njK5
0lzk6S7elDUavAOMP95TbeIeAlPyYu7yR2u5ZHxS3W5AAp4Hj1LfHMJtL1zgjQaAljGrELD43kaM
ZXmTJXH3vrqzxFK3wpTVtcHLRW/q7JBUPX2rfWaonDEvCPaxRl0v7dgbdkY+6+OCdCJxrCHQzJMW
6h+32bouWnNFlg+3gPiJMCM70oSzbkz4abhz9LUdE1ZLWMA1cL+KuPFWoTDznVdA7Y/V8IGU4zQW
5qcza6ybPi6XaZdhrkGY7euRj7mal3TXTsbSD0t7LQSvAlZtB8MfrlUBVrMbvS+mqktDFNl2mtJr
1OQEj7F6dmRrLYNyP1C6aIS4lywrsrL7AVx4r8UhpvoxPEM0/kbat6vrNyL6fnqSpVXZblsWPFnv
/wz76jtuMK4nn4HfXscESGZHu/EmAwcj6o8ucfYa2yWSNPeJEwBsbq+abu/DkMiZsLkOA7lZsb6K
PJQsDQGEFkVES46BTw8vR7VhTrFtEn9Za2qrTXLTaM22cac3Z1ALrUrNlY6SCiFyAEZ72tmW87BI
O174nvfTaaeVHzUnMrqgPqwwjHTxRpji7hfukzdtgzHju6PwxlGj3kFobmQbN5jhw+NsGEISSTDW
jMMoW+MsVsKp3+afZDJMBAO7G8aK6LX+QejuyS8ICSxt46Uy5FGZqCcT8gEASPKmtYJjPoLpGf0D
d/af1gnWUUSWS8beeh6DIeNYdnq7EXmyqCd740vxQgTRey/vUcD+pS6eBPg4LOlRb2E4j461ZX+7
9k1ZFowJ/sDaUjujo+8I4Hjw407Hrg/78lttA4fhz6WhXmQGTDaPd7w2Ivm3X+QItbMzyk2vxeYa
Ngd6pl4UC88KF5o/p43h1kF6PT8g7DqLWdi0csfk6CUJUUds7WNykEeR7MDprGg99iz9GxSUDBon
O9g6SKUmMzkXtmp+QTBJfGQhZRa8dajSm9L4HJT66KVCV74ZjPoHutNXDXd+9vBCw7wITWxGZ/il
BeN+8r9sz3sP45gZb/Es2+SB5uJL2QMBkwgNiomdudjaQ7wTqvppjfqtM82zKylY0PL7bgxGHfpc
OfhPXBLWHGH0geP47I7WLjXafdG9FM1sARNXCnpCJtEi9Na4FIa3dsr86XT5Lr4Kyct1ClHRFNaI
0wzLt1bu6chyUpDYCqcVjlSMSDwNKRlH8qaZxU2F3CnCpDzUiUNuPKdeqCG4FqQ/ybVXMTqn0zva
kREskQw4vbbQHp2YH0jzVrczB0NfAM9ZE1sGn2RaC4PwrDp6MIHlw2iGF1jHT38qTp5KiKpqN6yV
Nk7rXPqymae5Vx0ohzS9go23tmv8+lJ79cKgDSNrDdSGc2I08N7hKYa6wXLRQaxrW4dCJZ9tpt8J
gffGWeLhNofUsR+u1n6oDFE4Np2uU99wAY+2Vp4DN1mm00CoZ3yyeUsPziwgLr5GzyIDzr84dv2d
DU9pkPiGEAAryyGaXhtdbSXzcuq7he37mPGQYVrGLXCjV81T+8RLV0ERHKqWOw1dO7XbJi3m+DDe
qXlR3OTg7yIW9VGZ+cvQHj+7OP17ZJa41VSuPpWmP1w//qGDHA6LHZygX1gm1rprvRS4dse++qmj
LBy1diU79cTNGGf5NUDWpnshYdu0W0Wx9+3kXpUkPdUxA371BybS3W3DL71eBP7w5TX1W8QBN2Xu
mrynp8zd3+RlIvc3/deusF9R1P8OGu0nIphD6bFEDfVVFQSnFIm126OCIwYphRA73yw4GD6rFIud
T/EW26iEWQIV8QfUpFJhPLPgGsrO3g/E1toVvICOMPqhh3wwOTz2Y6GQ1foRWqw/Zs8j59X6ezkw
n8qcuQKeIabGR0NGVkESuNKCy0AxUQrno7fqFWfaMhLdhUjhtcg/Wy39UXJNSPV9aat4jd36NNoV
GImg3LYExWk6PbrTvnBgEMisGStNDGsCyw+aO9zcDLVfEW+VVe/0ZtymNBZWCq4oCF/SNN6ntrGN
zPFMSjuaLLx97W1gVI+FVkDE91JaIhOmeZ7svK5eA5BihqCpo2Z/eRcGjVffpBphOIbzLOnBnMDp
rzG6iRw0VdbGvyWS3boDEoELjbbdhiAyOAv0UMc673aGjwPCbrNHzelKqCkT7cBcjtrwu8jTNwER
bRsBBEUJiEgY+fAIMn9RZ9pT8tpchIU4j9I81Lq1qQzvbRLc1aNAYproGzJ4cKa5lyYgBbi+Zw77
CCXKTzRlGy+VNG3TbbLtmduE7kh/9AFDJ6veJK58D4bqXlvAFhxinlVhg9rKsRijoiMwlfVnpO2Y
yBEY0HNwMJ3QU0aEg+jBwTfqy6jcO5TmCVphmeTXoin2rqZvjaa/lvMA3imWGJPXRkZrNNQkz77a
ffVK5Nlx9LpTS4DhyMw/VeUHKdnPtDBebIHLph7PYiKVtUetvrBwJ5EPR0tUOWwzAcHNhV4dTlvi
49e2u2s4TNw0XJlsIRnnYEhaWqZ3qovmI7bAtaPIGuyHY/U36ZUfcXHVkvKY2rxx6f504ABjjzod
UU1rfRgwMqHjIYLLKA3cTe3APYjlBwacp1jEQDMizohu8M6MHi/4w3nsK/XWUJ7LRH35bnSmAKbS
6jNUgwD63LsjSbqff69SH08xU4pydIdlk2h3010VHpnrUbv+d+bOY0lyJMuyv9JSe6RAwRQQmZqF
ce7u5iwiNhBnAc45vn6OWmRNVUV313TtZmNpZh5OEgYonr5377mxeTvxsTDtKJz4VJi0Drb1pbOj
DfzuZ2PIQw50m4z2teFNr4kYHnr+7zpuFCI/jka/dvXqK0hIiJkMcKD2/FpXOXrUeZ3OPiVOf+84
kuOmldg5ID7FYbCU43hSn1fVFd97p3/xjPZH1qSkddpbLOTbrsBIU16NksE6Eh+D+3F9zqfP1Ap+
RgTPt3r65ksRIWbBC+qZHdZntsLWHEcrH9GGqhEZE5srgtwJmGAX5VgkbJDkexdo8jEf/AdhtAcw
LBIETzVTYRWPbf04+wydJ7FINWx5EkWOMTa7xMrTnYg2DZ1szOAosm3Y5ZscNDLcqIpTgO7mXG1o
qCipfHf2xaCvvXywV2zQH2PrByP+O3auFExpQcU2PaTzXnr5IzIylqt+/lb3JiawotyiXFjbxOnq
mvOd+XiyGAmfm8zsM2mmw9h9BfDuWMBf0h6mlplqBqdsuh1MXHWjoG9adbDmSPU71j59hc7Fj1iz
q8er760sB5cvJjfR9sV90fTngnP5kNps0JORaXHUuwcLMYKWRfqZrjNVHRG0Q+Xs5Ex3u8BKUcTU
RxA+f6ZtflOs7RoPgGqnAfafWT8dQWVk583GMkPvvoVBRQOEpa6ZMXdWbOEh5gb+wrMxxHdTHrCq
TXt2AAt31beeZOfcksPcNI9jYdRrRNfh2m6CXefgNGrC4IkdwfscWsmmauJ63/W0zAOsFLJmmGq6
6AaNEJA+ftSn2PHufUGi9mCZ985g3TV1gZXL1F4qLwWwFwRPs4bmyM9ffBuusd1C7DfHTluFbWXt
4hKQYAoBZHHLGEtz0sljxe1AJesIWB7J0CA2SLFwM/uEVwgrIIfwx32rtpxvtmZS/rDVww0WLvw6
0NZWdbU1vUO8Hrcro+trNBposAM9XdZknjJVweQMCh+do0tGcNVwhKJpQ5u9vSz8kgx3L6z20C/N
5yL9YMjwVg8Xq4PzZMnnuuyIOoncXS75CPHr6AYCN+Sh7JDxDtnOyZM2lZCa4TD7499iaaVpkAB9
RUASFPFbWGZcwVm3twUshVaW8MJhIi7jjGDmtCLURNPXwPmmE8lIkk+DBGmvQRrkx/4Pe6A8DSL0
clpTQ6+R7DlHTiUzQXlVOD1axx4ohD0GxAM52dEukse0S7/innSg1Gs2nsOfxyCYm5pzH9bjz8x1
ud29os5jB1DMy9R81mLrpQhxFsGueWzUmVzXjEVaV+E+BT7kFFwctrZ2MQYOzY0cb2SNmDvhZKtR
1i6UWz7rwhU7VUxkSsqKccp8IlbjJUSHbt1DHj7KMr8rc3edCE5Zuwet0fjDd0TPn7O1ddxsR1of
8BvNn6j+seenX+CEkPfGxEN6HEE7KHAG5C/lAG1Js6d9Z1iQiap3bnFnHSjSUpCKvrDqoVkEDZYL
gZzf/BCIBizSS8v3zGhW5BFVyEpZmMD/oL9vruyvUde3KFykah2WwCxAjSHCMz+VJYrjo0CAkAIj
igRM8QDr8kyu9FDbWsSTMalGaZ2gyDL2I0MHdMnbYZRP6MW++w00+qhYzGWytxx7j9T52SfnCC02
VGIPhTpnzGVwO7FgYLgzoP74w/jJtkoFXGGkJy84KZABDClcSYLevwuv37vzsBp0cR3i6FMfsiVY
0McgNt+NejrHgCpWMEM+9NHeJe7wYkZsSqRc0x161gfuPl79oRWvZm+Fe587b9M6zdLiSqYlDTOT
ht2Gs5G8V/qyNi5QdhdVEhP8i3/aJxIoNrR3GeiHJi6vxCUuaYIswn68MOR6degWLmZn/ArD+iGi
6ze4V2Yoq0r3N7pWw5GY68dgTJ+MrLsToD/0OHwouvRot355Glp9T4e5Z5cIDoB+dc5Qvl2WmnPA
6cooxKn3NKc/ndbfEWaPlAoMaYSgyBtargTjXPXpW0B9TwKU/TAkw3bs0UXrAz9M7EcHToqTfLf9
9puu23etVpMzmqWPuJ8TJ/6c8q8gpqGRUzdaLe10aR9lJs6a56wNk1x5cw4WkL8vNXE+/I9MO3S4
b3iNx0UzSez5Ubcq9ThdElX22EASRu77hgyWlVGfqWMgERPzqE7OczBg4UWHePR0gYCkLL9wLBwm
Zor1bFysInyIWvnd671nHy05AVt4J4oIRsxAMVI3a/wd965m1Yusbl+CipEiwMvqGWnxXSzJEfbq
cOfMxFN3Y/GV5tVejPk9+v51JFqmshaW6lbgMPdQ/moIpen2Anj1dYnVRj0ABxh+Pbu91NTL3977
7eVv33b7jl8/L2q2yWQyesqUH8R5JF1XQJLhENYVRHJfZPkBLEV+yJkVMGKer3mM2cVK4UYZ6uH2
7O8P/4P3RoYn6cKnLSKHKAGIFxQHAqwdkp75NESelwcX+cyvh9tLwmvavZyfa73rW1BkRnHAp8sP
AHoJhzEkjxPEczojNDXZl6g/1xoRvaxvT8tMElxyezq34s633HHjuxGLspeN2eH2gPPzb88a2KeO
j1Es9Qj9LKu9a3f8vbc/89fTRP2W2+tyalXDDvdjCQ+XEq4+jPAWwG0Mfz7c3ru9vH1BukHP5/5/
v9yoZzIF9sD9YlgCXyt0epa8WeYvMIVbJppReWCCVh5aC+wdFhwUBklYHRinVofbs78/3N7LgF3t
ve7dLft7Xxs+0xRLsVMD9PDd5OQGtOPQr77PjG8u2CUmCgAkVNGAcNTaJaA4FxnNtxRpY+829KqM
4Stp3YFdKg9gkIDsFxDnxDStPA+Gy8wyadqoWbMREFeSCH8fuPldH5XTobYmSAE6i+vUXxIC0tfS
liNp8fL7aJdI+7kJsluGPWe/6uRTH3o2AbgzigtKKkTLTT+t5wIVfgAtJE1+6rI6mKNrHbxumFA+
zVc3HpKDYfntMSyIxZyq9zoOq12f+xA/mKY3Q35pqrK7tFblsaI6R6YMBaYXuS7sfi+r3sdNLfg1
BnJ4LeHDLDLYQCTHx9SkkluVqzWXYsLBmSEPtEA277VBfzAH0Vx6uz6LAtXIjG28NFDsUocvnlEL
p2cdcXOQt+alN0zzAgKAq98cD77m3M1m+VNmSbTmW7oL7q9VllvnOoocZUC/j9rR3Uth+qfE8KmA
8Ixp4w+BQnDplsZXY7TZOS+o3wE1nbuQkoX/xu7o0y2YOKqJR/s3rFmpveZtGGssrWaR32nNnN/N
0U94/zZq4Rm9NN3FuNeTdevwqYB1o8TVW6zRSZZfQimzi649MV0az/Yc1KuwTBmp0G7LSYbd9AIX
PvtzeUZpLs/0SPdBlF+NoJK0sqrp5Ow8V/9p0iKYGbEtnMojJ9GYA1T/xENN3JgoVbN5hX2SktGg
3y9KtpthNl3wby+m3CPuR/0lzJ40pnOUN0JH4etLt9vehNQFUPGlV2Y1dyIvBWFpfON+p+9o0z1R
gKx19SEyUUJpwkAlYybHvwpzzqykcsz17b1fX759BQEkFvau4MAc52iXl2YKNjF7NT33s3PmU4H5
bAHI/xHcDS20+gIw7RBr/vM4gowb35zK/NK7+GnKgnNCJAX76OMwiqeoDbJFa4kXzNDVQvPKH9IA
nCFmurLVfB3mvjtmqbmyNJ14YypF4UApZwCz0+SyqtJDaUanJqfOiys80cAmIxM6psTtEum9vSxk
/2oVxq4n5gYgo1FifcPcG6JrdXzqVMSt1ypIxyVRWtYyd3smKKJ/8rhXaaP7MED2pdkw3VckNdDQ
OrC9hZ2As9dt7ZfBH87ulHwfNIsylY2n7jT3IkM6I+pDumO0TVkyemvfBjcyxA3COrO8y+S5ZYwK
TbP3QL7USfQILmsFAIAqX5J/CKa4hVRQfgwVRZjM9B9dif9GZt56QFK40sTRJXFp4c/mT5u93aIS
ZCnawXj1I1b+aSzo9AXNEl/AXjj3PmJP8iijjWYU43FIZnc5Zv23zjGv1nydFY8jrIP7TjPSU+yh
2Ujh4xhGsih75MFRhDFVu+igKlgI8T3NRHdVvfbql0xejTBntpsUu9qe33yoUWxc6ytBtSShXm37
wor/5LU53WGZP0/4p7TJPFWVQPFsOw+uCPdlC0ZT3EN3m2iSM7Mo3PZHjuIjKZxpM0m2ft34lZeF
t0fUqt1rIyzRsmOkphvGUaDldIJyNwPWWtns89CAxHfzrFu4hjkM6YRw2jjpMRVlY+w7BmFjLrpF
00IBLfJyKci2WJhscsyIGCOzQLtagskNo+FcBEdJFbeKGh2CVpYgsx8x0JhZ9QX24l0iqVx0zCp1
vDDbOvYeseGMu9A2sHjmtjhWwVsfCuO1s2m42M0hAyi/j7rRXOGiehXapaI+KwsUKFZdfaaVYJnu
D0UZ/hRkYC2kjsm4Tu89irPe6NkZB2jFtEjgv4ISU7CB1sJkmdbcgcNmPqhSsjH142QzsjNkhBW+
RqBdk42M87d5i92WTj0C74Vvsy0jJmoRfLqNkx+h3SBVY/OzCByzuBtpJyyMyd1JB+gdu938Wjfl
M4qp996Kv+Luk9w4e9Mbk79y5mDHumvdZxwskCELAxD3ZmTHzzxgfAaXNK1Sb5L0ztp280bSXbep
aC+3joUDtPJIgWvHOxGO3bpyGD5WPrrARMUL2G8hYTMbmx0lH/ddiSr6u2+Lryqc75woM+Aj1O46
HptlzoR+UYeevp4HnWu7pVfoGJTNND3CqQyYaHYaBgbfWoVmSZZoaHX8Pc24IlfIXThB9UAmbbLW
DByrmISMdS2ntacRi9VDmNbS+UmbY6gkOPGA213soo22gS4eQ5ua2YBxsUTb0y8lhAB8YtRvaf41
asmwaOKJ7TArGy1d5xzbSHQKDBiuhTugRPnmwVG3m9pidob2yw7dtTTqHx34za1T1g+0Zb2d6Yq7
iKFUbYfXVLE4TSYV5GsGV2bWOzpD7iWQ+JqbttT3MSETwOK6bOfBtli7NqC3IsWa1YzDwTS7n041
v2Qk9/KznQOZ7qfOn+KXtLsLreYzGPunCu0BhRr0ukH317Wvb7vYv6fLAnUpqOg+Y99itbFIB4QN
5gfivdbGYZEJtVuonK+CDvCConRYjwogCkhUV0TRXrFFEyCjGOL5XwA7auWWu4ha5fVNaU8oNmmk
KKVVvk/4P1vWLdafSZFMteArbyCbsuaZML+wc0bcdzeJIqAmISzU0NXdM7EJK6E4qboiphaKnUpe
6sSoGJ6qLhusaYqx2iraqlTcVcBglDBgOmi5EntwofuSbm3FatUVtbUC34rZRjtYiujaIKpf9TfM
a6aIr1KxXxMFh00UD3YoXokmI9T29o56mBU91gifTEWTzXW4siAx0qNTV9yqghLubAeA9tdLNCfb
2oJOC6fD2rDJZrioij9YtqNi2d6eOTSRdzgQ1pOC30Y3+O3t6VzTcM4UG9dUkNwZWu7t/dsDNB6C
IoDq8qrd6WB2Y8XbbRR5N1TPImC8jqLyTvRTuQTzva6IvaVi90aK4pvfgL6tA9vXkFB+DcX7lYr8
K0EAT4oFHCoqMIv7MVScYD6gU6nwweC7YQgrmnAIVvj2VqJIwyhL8mXVKvzw0EAirkASY6Txdi6Q
YkMhi28PvSIYjyUsYwnUGPcaaWw1WntfEY8HxT5OaYOsUsVDDnroiwCSAz5x9IAwk11FT4YtMpDF
AlEZz0lxRFsCVlvxloESvIsAymIOirkDydwpNnOpKM2W4jUnityM3FFfdYrmnCmus62jxIsU69lU
1Gcyez7YtuabDBXpcWB7At2FwUVcq1xQuNH0txlPKZY0vYXy2IKXTofS2IobchozY3XsbxxqdZQx
mgGjVpTqAlx1q7jVnaKc5DaWP6Go1vIGuL69KYFec0rRBI/gYOM4rteuYmNLINmJomVbt18Y0XGD
o10oonavDkIwMjDowG1XirtdA+C+/e2xYnLfnpFlIFedInY3oLuxV0cPdc+VJuoPQ9G9PWa+qeJ9
F4C/W0UA10GBhxZM8ErRwbW5u2sz/oAIw5PBCH6FU/5U5o27wNQIXhbMeKV4482NPB5Qzk3AyDnQ
G/za6Zmxdrly4ZWjEwo0+OXSpZvkjMFK+IGi2wMHDJjDR7UebawH6+oP1HqTVwHRdH6YINJjxUrX
9GZD7iS2P8VRNxRRXYJWv2n8/y0Xw259Xf8v9R0fqMXqKAjbm0ng76+wBlzesq/mX/6j8+Pm6fd/
8E8/tPnfty//6T34pxfrvIWN89B91dP1q+nSX3/An//yf/rF//i6/ZSnqfz661/ePrMop6Zp6+ij
/cufX9p//vUvwnRssrH+ex/E7m14i6L/4lv+tEEI2/rDxXJgGyY6UDwHf3oghKP/YViOJSzhWra8
Jc7+6YEwjD8MFY+FVUFaTCJcstv+9EQI9w8P+q6rGybcFr4i/h1ThDBVzNjfPRGWR9gooZzc8hyC
2CzL/c0ToTse3Vo7MB71MtZ26QRMTksL0pZycU4iCrY0n/MFyJUjnErr2Z3hPBhePR2SDPRDL+aX
BhjPCujxwJRKJ/hgtsZDC88LgbZ21NFKU2qIett7DdvqlhIYzM1+6Jhv55WN283V8hPZNE9oKDak
zO+khdh6Ytd90P10QOslllibaBMYTPAwJ2k78LTNOhia3SRG54fLroalR8pl6ikmiDuYu6hlOjXl
g9yZuY91CMHr/Twi5NAd8AFFOCYbqqOHigV0OetoJ8DGMkhrYvfcdsF6bpznKg9Xhtc8VsW4sxwf
UJLW2seA8fnYBbs5NskoUb2AHOqQWmqEFacU5Xa91CM/wAkCVMiXPYkElhq49MNHU5cL9Nnw5eKy
o4k4dNtBc95be3pl2a6BSMoHw6pLfBRqMQXqNFRJ9jDh/ERvovgisWdhdI7s61CCRKlk+9q4/k9a
GTAyEo9cedPRoENjE4mQK+JoWCVDgsAVw/oaNUK+w9O7ifuhQ5kRnOGB9nuM44RyONahKMafNyP6
0GnftEi/bwpjvmagzvCSNMFjHiHDksxMw8oqz32NGdMoU2sf5/pPFAvDEbb9R9x6zqWWKb3JEVhc
oLfwFiCOVXTlwBuF+bYsZEXVzHDwH665+19n7H/kXXZfRHnb/PUvjsqO++1EVlmGXBzw/lzh/pbf
nDFaZ9/dOI95xV5e97udbXb2OhzTiY1ojxFAAGbk99JBjn9Qka8I7WIAmVq0ykOjues9tKIaY33E
GcV2IIjxQeKNWTVzb94z5HC84EmQvrSYJzc4yLJ/iBK9B+IdT2vgJRvmvdF26MSFeGySJQEEkvaV
HUaGHMFQyS3KZEWHJVnVxEF86r1BcJWtdeT0lyJrtiEqhLWTdhF8HGZaZfIm+7l5bai6vVm+9Gln
X9Esr/t5+EH1HaxwhAYknzvIp9i+xGK6NpbbQn9ESY2+zUCRgpyeRA+msm3mPf7rA27oKiHwn464
pUu1CLkuTjHrP8XVlq4DFEsv80dZJR1bDoXHZXTEltY8m0G29Hwbt0sY3KWnEQP8MZ60+7Hsf7Q6
CbMJ0JpVNZkgv7v6w+4IBJFpnwNsyuoTnkyka8Y5ElG8ieH/UPPwEFR0/kWAHqopB3GIx8Fe1n6H
wzU270Vc7LuwQW43vkPMSYDj9a+4pF12w9F9FaKH1SOaObObvZD1QDQbuX5GWYgjRyk/aYa5dbtA
wuogbzKoxnvb9V8QwxtbJviIrEpBJZ8PVCTRLBazLL+z6zqlKcCkrJspPtxTgzF8NRV1u66QUi97
t/we6Y2rJq4HT03L9Nn8zJ3uNNSG2EkWtwmp+jbrRbWEu1O8TMFwsnzC0zKdwDJLa9FFgUPEybwJ
41IuzRjHAeEbJLdM2bIbSDWKwBov0iwEks7ej/vQJdWV22aCTG22TB9VbEYklwIa+aZWrDDCk75J
pYgCoQCizj8RC5c1RfRoW71KRcbY1sTBMgD4EhbhtXU1F80ramhtiJX3JdAZnHVbvFRMonJ8KgQo
reJUu/RhwwCfVu2xdMQz8tw7xpLVhuDFcTWNFdSJJho2oHuTHZg9RFShJC1sRuk7g3A0og58dFnt
KsLNAXBT9U7DUQvJym57Lum5L6djxS7LLGn2U5KDwQi6vYXXzffIIepB6m8qqbkHfMkQL0XZoY2y
7EfX7XZl302HaQqw+9jZlgv9s8VZtaiNXlt0BuNf+uAfQCqaXZai76FETNtWP3NeLSGBrQzM1Cda
+WRI6eWxYzEx2C2cB+XhnqA4+SrZCmhicjdOD2aYEaXVAWQgnG87RkgKusmGlubJEkklDzIvF2XV
VUQS9hUN4aTc5RkSPM+GK5D602oe3B/gzpCjwc/diNLZcRFQsefZypvsZqsh+l3khE/uYt30ln0c
JAeTaIPBCMwtDK5mNc2S21MSnG60biKx7hkafuBaG3b/ehlg3v1Py4Ct667hoUdEoWd6pmF4KvTz
H5K9jaD3/YBJ5BVfjL0YQsj1Rl557IZj+C32vJ89q4bDSAAHhf6qlp2HyXgZahL6UUHDUWfCgJx/
thdzzuWV5f0L0Ht6VNzeQQ+Pn3Og249RdkD3UHbdeGpsf5Ha1cHNNWer1XSImci1Bw06axaa7aVy
y2+jhxammsduPyCiRvs5QdFpJ+PkBWm0duQ2vNNbhqwE0tBLgiKCtw6UR9O068wQKBTM/AsyBik0
QecuQkMwsISLf5wNwwF2lkP0hasbIk0s6pQhYejz80dCdG0yniC8YPd7B/dCYKhuZce6sVZdMaY7
+sYHUCxq8snajweD5GrTnk50djsMmhroZi6sk1miDG112h7kutHLcFJIRZrMVnS3s02LHZRuqWYf
q0l/gabwA5zzu4PLbGvQyPV0JwASgHC+h8Hb2fjYG1z1IQLqTU6jcy0t21h6UT4c6mZexmVMi5cL
+Oh4Bjb83uw3kd+CvROtdR5yfAjuROpa5k3UZeyAj1HAx9uOAAbJ741ZAEAi1XyiRjQggYGL3o4O
toGC/W4RDGrAlHwWUjjbarpGmhduLMkmRze15moQ/gu8F2V2jpKzyE4C83VRldmpmyXNWfWwG/vu
1y7ml1P5v6oW1En593uXOmlNimepu45j2LiLVTruP5y0A31tLZhr/4rBDjFJH3hH3yG3YW6NZqdb
xktZZztNm8drb3/EszedLZB/dJJB0szVmw4zRctTmmd6ShWMMGoVGYWBvMIYT9lAH1ubr9rUxPiT
HI2UEPdBs9Ppu5ujOCQXOLwygsTi6enR1gKiH9HxXqPXJs3Vrr2l59b9ysqz8VwVrGWmrOfNDDb+
ZASdxyxu8NGxzO9OBJe0tZOZaCN0S4157keQbdI9jVA/lk6ONEVDd3S1YXhRRPOhObX+4oEimVEx
7QZzRv9oBWT6DeuWK+c+ZvyJTjWVW0mkeBV12uZfLxeW2k/8duAttbcRjqETwWT/tlrkM3QjEQby
mjpzux5jMV6qktXzG+od/z5HzL7VrRCtOmSvoW1JTA2PRRN1p9IW1hIbU3zNigvAPG1NLCGdcgzH
YBXKF93Xbbx7gbasrd674KrF2o29r3CFCjMEjcSQ4CioDPZ+EaSMzUqi7ckO2oEAZk9g97RLJjN5
EkgN0sT9XudhcZj7MFySHJqfHGSbeCybxzbwm9UM3xpqIXM/+mSHf32MhKeS7H8/SNKSQhiGROny
+0EashoeojXYV2pE7phQeO8i8dDMeneow17f8ju/OUacoFyAmqd388h2BYtQ1QuiMXqWOs0jnjxp
OjBr9gitHQr1yrGARZSyrGj/eGLVxoLWkDefdS+Hgu1nkMLy3NnTvO4PWHTPsopfkapbu6I5hVl/
0nFrbJoyRAdjMD1wAyxCTgb/r5HvjOjsHavi/CTR/dSj6e1LmvIzYaenvs9WonQBl+oKtULFCJYx
G/HqxdMltVjkkqjXGbk06FjoshVeYQH0zN1TpuPSQXHUQfpG+go9OQ6i8JsmbHsHKacnueYUddZm
ggBylo4ZrLoptJ50AULYTGbnmDUl+Zz1xEJywH7RE/+esb8y8NKE/YD2dET8o7fLqhHa0sN+uGA6
/80ZuCwH9jrrccjtRe1ijybtCZ9/5mCGzx1xxAgooKEHnqPtNIqme2EN4JK8GnMSxD2SmYkkBSCw
agrnhF6mu0YzVo7Wx+TUVs5lLjD0xZEenphQfevMhmWjgcVdJO8GIrc3N4GR1RINhPTV3WXUhEBD
JTMt87OHWTJmOZwRP12BE0fy09Hgut2BCAe4hxlSEWhcXaJSu0sH4d7VlUYbOUzRkRKDkKfNBWXj
vtKR6RR4+ApZiAMWqsKmR23EUjtAYt/rBIC+mElmL7B/TA+YWg61slREk/7K3F88D6MCPdbNCrrz
xK4TR91kRADacEpuWo0maOzK+7Z8zowsvkPDdyEBAVqY7TFuaFh5gmyrkDnHZiRWtWLgOViRt4Qd
+SUFUDKw63Al6XnRLIO8gkczjLTwxBil2JQNtpnbS5qnW5nFH2aRFXuyjj9yLim2vQYuV9fDEpRw
2JnQn6iWgM8M7aNpTtkmnDBSyDZAFzQG+pmD6/4/At5ZzH6/ij3TYjsqXNu+NWx+25EiNwWPmPRI
HR2KgzHzYtxEnTw0dFQu3JSus3PLT8mtO5loj0bIYM2oGlIshrHaTsSJIBNyqCjUcMq0a3hsVreO
/Hstyx8sI86flIrRaOcH3SB+IcJwSrMhNIgHxugZuY65gCeZbwujfGpj197qDfft2zpr1i0I8bQZ
9qEPfjoIuuHOTfzP3u2vemp6TzDDNgUf86VPfGw04JCBjsLx5Z5JZgGuyqXRu6RL+0Tz0J3pENOI
dNMMKrxZc/ydL8oQ/pmDME/zAbUPclPjCDlqs+te/KpAxpphyiudKucXB/md3ZlHeAQMIDwPknIe
dN9lOe+xkc9Pjqj6dRqQ+l6Nhr3MS6JDyfmYtSJ8Nueq2iWgIVepNsZPmf/oeOpf67N2Hn033XsW
yLcuYtBU+axuugweepHpZ1+JvDLdPMU+QvbBrZM7KsXXxhHkj0xGcnLQgez7kCDxYNLjtdfJj0wN
BYMOzGcTRkz+TOZMZbHLPXM4ClXOBDHS/RQrN7PLsVrYlEzXVsxLfLjmligOzGc2dy7igPZmwoZu
FDPVfKRVmzTtt6BXQWPKzL8YVeFhs3DsZYhFZOuGUAfbVkO3Mib0NQbtJephUuR+qW/rSbDGAapY
dxQdRWHYx9x4ImquQlnaI/T00cX6RWyTVBiuIhPB5ozNC7Ui0Rs+OlkU/g69+LCqGJ2VXbJLQaQv
8JW+hjEqhWrUTab0DTORQJAJmXrsYQGq9bEzgdyMVM74x2Cn4rFw2mRrF2ZwiGh+3yGjQMbdgicZ
quxDWHfccf03rSCAwG+5IgNBVhM+TFN5Q46+lSWXyI0OBVrYZ8S27zRsxLlSr9rKO3rBfEX4YKLR
djBM522yDsC8kD7zksFnvGv0Br5caMolwquUVGCdmYmeuXyEXnJ1FWQ7Kdh+W8lPvx7encp1HuIX
dILBIWxQsI87xg/FQ6R9Rm3oLlvGOMcwpWkfSLxjpOm6K6EX7rM1pxku5ZZIpJi0AKTPNipi50VD
K4dcmnslTGYHQScO8JD7L6mTRGQrHAEQtHLZjnm8D+z8uQwKDJV6rh9K/ak3VSJPYUbf3T7bVfWZ
6U2BiNx2N20BP9qM3eOUMWKWLfqyOSH+FDAsZuw2ehgCJGFa72wCLFksr+X0kvicdhRHYdjO36oR
/RaYhXyV2eQFTqziJ0ZRCaPI7+WYgfV3yBEyYvvUkyB2L5XKQ+vH9L606seuZWqdepW2KWwvheYP
T8LzaU/Caacm0xDiB138mkfEPmGgAyjheoSr54PO2dKD7jZE+C0TsloOQy/vY7uk51B/0qcwLmFQ
egSqRQkGwXDeeDJ1tlZvNbgyxCYKWvcJqJdt4vrz9hr6opNrhc+x32rrMtilcVvvqmnABtLY2dHB
Vr7q2D8RHmH5u0xzm42omediPSL8piQ4yi7WeotqMiWzaEaI6d+PNo1Tq8/TPcHW7aoj+OFgJRl0
PRuzL9AupOFNhCBnBM/SVsNjUCDiMtxp3Jr9dMgItVvcyubJfmvTst6zecc1MSXY4kHX5dpkXLDb
IQTYll38kcZDutFTVz8Zlb6YNajhwNgA/xQA2ZyJ5Lihmi9EYRH7VVYmSD6LYlYXREEL87vM5Q4z
wHcgm8ZOR6e09wRFAqmFzjKJ5HARcfVjplm81s1MCfWGKzMEj4Pm3XOx4FnXu+GSligHqtz8mVYB
oi4cB6/WlN8FyjNglRVrmpXUjNidjee9IOHOv0F3meG82PpiDLtmR/SM/HWn/LdGSv/dxOj/x4GQ
xVz9Hyr6/wTG2qdpRNJH808joV/f9DcylvzD8hzTJHeQE/3vIyFP/GGzqDu87RLYYKmW658jIctQ
X+J9SziSH2axY/0bJsv5w+MSdfkWNSrSHfPfGQkBO/ltc0y8miFNZk8QuqRtSu+3zXFENk2ciiY8
WEDscCwyJO/zxdTM8fLbZNVUVhmFpBOhb6lkba1r9F9rt9LdjZVEnw5Q2rlqtZ0dMhfmnl6vaRMv
h8i7n5oeuERKcl7H1q7XPLAbFnxFWNoMmzttmQaoSGP7hQm4Kz4Cc5CPY2WfMKcg3rIlwjiSSVBj
WgwfhO7f2x3RkyOEpaxK241T4UqpaRvuAFj3G7NJMS99G4qy2g8jwbK9cRpJfCVWK92KIX71Js9A
JROg1UlLChfbqtZYUN40lUb6f7g6r6XWtWwNP5GqZGXdKjpiG2MM3KgweCknK+vpz6e1u2t3napu
9gKMLU3NMMIf2F9DX6hUdd8k2bsxhfMOIyEwQ0CpyARaFIELbQo/Bm0rdJBI0BF4nqjL25PKqtN1
5O+XIoo+oKmXLJxtULb07ztpD/8V7D5SZC/ITEItRowTyyQgNzHK5GbyvIk0rBf8K5aociT6Mt10
q1NlvDljoh6wBgZk95e/X1pN2hg1RpapuID1GY1MGsiHVuU6zU3Y9kICqDGRsZIunigzxcIr3cDk
ReXz6EfNvroadn8pzotLQo3trgv7pHT1isazYlKoxAAMBRwRcVu2YOhf0+M5TBuRkMfNGsHTDQ5B
DVsrZQQik0kzKPp0PKF2CRh14aj2JelVL6CHkCCpnKKpOiayuZ2dJoiRwMB+3EW+4C1H/iEVxmKn
FAPkbiR9vUiDaCQPJYbIKJSsttKzkK+z2HQuMvmxi54wqM68J6GasXlDpCNXk/wW03AwEFRzSlr/
o6B/iAHmLUOjnIWF5owOO9QRKEonbTHAQyDrK1CjAXsJwZY6BDRiU4/dumQLzeOk28rmgAIT0hmO
NAkodZdgaWSqWwU8snaMJUvv2nxfjFr2zxduTZ2i7NLH2T6tGmrewKyrsDqGUvEZUDkoRyC1qrTQ
7AyYu0NQrfPaiNdGDF9FBmwFILaDkoYksaU3ogG8r3UasF1gYuoD+KtXHYq+FM0tgTP0LurEB5Bj
XhPKSPh3SPC3wvBW61P4QoS9EdIUxIhcGnds2x2wZvu80prXqalQ8DHz0I11R64lBLxWyQPONNqt
q7sSQfIMghXk06Lvj/VzdcImAghZMVKcFhd8sViZdqeB3xTHlxCxzW0BagLERkJ7FMxM365+MDEC
+Eg/QUzV4LBUPwXTBEMkdBNaM3EOZYgQZ8eBVCrIBwxB1m+qPCntuJ8Rjm7RqVDIO3ANVPd4GBEa
49gNp7BENB14fIQ4gdlvhz5GHkH6UZ/pG7KCgmeKKPTMT7peU2XcEhDrPM5gkeE3NkYSwRWp51uZ
AGhVCgKEiZhHHBLPLBYmdEkGWqaCtSrJq8NJ1/0wr7Zg4wg1cPXKPYxvkJCBXkDKdiS/aZxqGq59
WQjQLyuEnRpuUYuftiFRHpVknD1Xw12Sy3cJahJ5brtWa0BjFDs7SxNGDfYVqTGyoi9yfh5B9kYV
8iCqUmBVrQ1WXSKJERn3J5amijZ6Dy2XEPBDtk/APDiZLOXUtsURX2zaU039MRlz4mYGdeVsTksv
BhODjAwqRj1oYS/qSCeLaD6JRfanDocLquE1ipogYkpM5ufAMYJxG8vdiBjGE+dRObpno4I8hpLe
oXduwmrsLakd/lAdw8o2LX8IfGD8gJhj5x23HbsmTSuV9AIZCnxsYYybemoXeXIKywB4ZLRS4NJe
IHz8AQvMXymT6mB3G1lz+Tyh8ecTBp0y8y0ysMiLYNCalBagwgUO1Ot1zXybkDjVquYaZ/VXMcan
BiVGIighXGsC/tzVTK4SGN1XHkzxtkpUC18tJOF6YIe9hoS8gWRoTEMabyKi32gWYQhv2xmGD1DT
7ln9Fo9oCE9ZlI1baRJftFZlIY/yLsmNA4nEBnoJfbhJBlWmIk6GlKItVWLo62IEbsdAEzXIvrKM
rF8Pp9+KMmE1TJ9TJWNb3ssfYVpBKqzj2yiuXqKoU/3VRyUOqVs/Qwn5xymyYZ3CO49hKalac4vL
ZBd0AU4mIdQ69LWoCTfzhXbJn64gr0XHSA6CMz7PCqw0xPylP+UcATIdTGMN0rg8mk2o01yet1jO
69REPyRw8PtSx3CYtW5649JGNFGHFc0XA50AW5Pi/ihMhdtXz9/ZQGe7SJInnEc0uVqqEJTQbBw2
QMbEB/Jp2KABFG/2lqvwbC7SwMkaJO1DoWxhPBMBWongoUp7DFXMgRbQWcHOncRqsIuEeT1QbKLL
ZgReRiUQpAW/Y31UaU5LEklyK/4TN+q3QiuUso9yrRcRgLRsaEr00qbJe9SbPxJReQUsrMB/0Iku
EGqZBLqawQGxjtBptBqXJ86NNht3hTlfcUSgCzJObjNpR3Mwvkmi3jWxdAOEVgxOIE+iwA9x0Vby
ATXn6bMeZMGp0okaH71WCtjQIeXVF2EErefkpscJzwy8FH4EgD8mXfrMgx4zWlS7LRHxEFPn4ABD
uKetPm7ilQEqf9nDh266KiwMZ8CCKsyp8BUzWjwDZ7GC2DaPmNyPUAYQgfkcQHEsIMVO2CE9BBiu
Lx6DTJ2jnjpIskvCr4kfTaC+ioAdnmGl/NTjOajJSWcNIFu3wJVjoqiwUaNdp9MnmjV9X3WQ5QCv
rKLjNEOOaEPMJDKZrStZPbqco5SmLvqotryK3CoGtY4Zlh3V+R3NrWOrygfxWdylVv0Km/cRW14p
XvmFLrkqPHRa2G9Bum4j9dqjiuN26JYX9ODIS/A8b710kVhJ84P+LLbJ8PyeJyxy6vFkZsorCsek
XOWvVGubpp62UrvaGtA1OrW6rSYDO0emmFhTgsRzitlIgXmO/F6UgWYQp+/iwrgX3Z82wt6ybCRK
jQPFlDArf8YAmNGP3M2of6AluAr1jwbXjiZUfzVdQnYi0B9x9lINvUA+3ofgb8CKY/n8iXpV4Mgi
IwYSvaIBuR7URdDaKE6oeemY5+pfcVHtClnrHAKEQ1ipqO2kOCwxSqVN0f8YyThME/oxYaml3Wcz
82ZtPuvP8E4yetUSYWsscaVYy9viV5ERA1oxreMm9+ooPo4GStNR8/RCnYM0kRTgkgIKy6jMC1i0
CZEX5x9ClZ7mudvnBU6GxrpEtW9F9T+gTz8O805tsoueqKBSQvHarqYR+htby5iLb92E3pqhbdIh
QSVhvM35E1M5EyNwY8Q3R9elNe4GCpes4t3Tmv4KGSxPMrHmqlOTp0omQGmMEuRsiDaUvQEg8OqW
PQXTDzCyqU3lZ0T6EQbbl5m2hySEoxoZr+pqBrKy0uxggE4QzqqTycqmr7Kn1ZQkwulFSgWo1Jr6
tnrCYxjgjwc9cOYmWfltxuPvtSdlg2LzTNnolLiYPOqcliZzDmLDObg4GdJVbUKfKYNSGQ7YFjU2
uHkCkrxRPTxZIss/VaNDJWDMoSQtvzZCof7Pb/5+H9d15BhdJv/z6r9/8vcXcM0jCHvLW/z75e9v
/v1Wx+Q3WE0x7fv/fvLfX/7Px//z/fLr//eaNE12stTR3emKlvbu8kGcsM1//sm+3/znOv/+qkau
0ZCHiGA92Kpld8HsDjTJ8sZ/v9Cc+s+//v0ZUmD/+7MOjxQkT2wVsTXKoMY33tx8xt9X0Rb535f+
8zNlKxKnkiaDBW+UtNx2y5c5hzNNxBg5uBsJKRwSfvj3NX+/qM+23I7aE9C+9lZGc2j/v7//99s+
XQFKa/UIKd6FOPrvb1BCSX3Iz0vLEG1IVc15pCNRMmVO5+/P9H5M7SFrZTtFQRAZi+Y8QsFaqC9V
uY3yESbR3392QkjdJHdydP6HaC8cGuWF02pWUbTAteIKCYPCS2shL9BaiGfY4+dwli+l1R8hCoFH
2RG5APm9og4D+Ps234hIATGVP2gt4Z5rE0lv47cV4HwlvxgogPiJttXJguzYih/J0Xyh8j7fusNY
6efszThhVWn9yFAgS7Rm9gASUHeiJmn1qJQNXvdg/ZKrdLBgSjv/erZ2vCsRB9XX8Te6/WLuihQu
/Xy1hbPOP9ufAjmyCRqcDfS77L+gPwn4vXC0OPId/9LSbuzGl29sJYBNvAz6kI0oznv1lu4WherI
GcDm0DJCZONSg1TgSDtkPq7RqzdFgTLmj6vRUVzN6F/y0D5lR+OEYh1M8dRvO09cgX0hmY2QxSpf
MS0tX4US5s+er+qe5iviptFGkj7An44iStuTNQrwztCdsAzBah74xsxa5xm8TT9uyHu0LWAq6JJW
I6wR1iJlxbq9tYpnumUfhfOSCmsZ4++SsA6SPC7Wsa28QWFR3sbXRLwK34AevZbu+FrFe2aXXfIv
NujsBJ5qXdrZpbjU58gWLNVb1KhQgVhjqEuQa8FE+Da9D908TvZYhTb+BpYQbDMv7xxT27bINIQR
iDYP1TrEB0gxnSp3km9QPGvoHh/Uxt0fEtNwbx5aYGEfBRp/X5ie7UMIMufbaEtHiCL7Fov3LV5W
5C6yQ3qI1Yh9qtF+WBvOCW0ufkwZb/laJg7U4FPwSwEcQZF2rXwGb8aGeravneKDttF+izv/Bebx
eN60TXaPr6vaD34X4ccb3lJM1eAEFNaaLcIvBkBemw3zCvHMYIu0geY8xFNxy23txKlYYqy4EVx0
k0lGnfgr+Pwxr8YJSmDvqpiG4Ym2CUJ44w6wK0k9UURCaQs9CpwJLB9iEoaNoVte0Qv7agXbA9km
O1/lyzF8/cAUcIW2jL3TcSo8QhEDsOeoa6CodIcxAEFVw8By2R7tzEJD+XWiSXkN9urLQ359jfuN
YOMK5T7vVUs7wkmO9Gn5dDS8r28JDrPOajdbFSktC++MK0T2+ZQdPL84yqjmNION3m5PciQ8wnNx
nNx2Xx3BVc7r9DoMVr+L2XH8eRePjFR5wFGDTra3KWlauOEXmuL//SkFDS/c5obbt9RSXruSFeDV
iC81DG+IOY9TX3lfWqV+/chri7lst2skAwvUoe3qvcFt0JbMd8WnzkKtx55/mGw/h2Q/evCWqPxb
8Qsmm8f20spsIdPROIwwyBHIWo+b2o68h7J5riksI9QSt47u/jNTHqntm3ZGjgqTwnneflL/uUYu
+42aD+d3Ab0u4VJQngTcCEfkILwEDuZCo8XkyZflzMNklu2ExA63y2A2j82KXw/XFMFv2kZIiKDH
tNGpcWC7txO36g+yUqOdbuYz2oPBukM0UFuP9SZ+wRYa4otulwfIel8USUD+3WIX6Rkv/YrddLtI
/23Jc8ozARMjV/oV3Yj87CEaod8TohRXPMybKNp5C+JRcvKXr7I6SefuT9HZjMpT8HDxrqlk21ru
0viKX9A1RIrwJX6dZogyduAMzy/pFyabuHon0qWURUsx9qlP4m9XrWwWMjy2cd7T8zaV7/4XsEzR
HurWU0bHtL5mUPC28ScWj4ls3VGw02wJ7+8XtfbSa+CMt7pzjJifLB2SYjPjG7SMc3SMKG7arIn8
UfpPASlkW74Pj0LdzGi5gNGBOoamSY1BiINRtYuL2lZlNl2jj+48+L1+ZHTmXW2Xdgo1946H6gyt
25YKdIq8jDQeobTIwpYJpROEZHlEjZ18pL1TqP6MyJyVb1mFQAEwEZz3rJHYFYtXed343XXlcKSC
ckV6Fawf9ZoV/SUkmSxen/soYo08+uGROIRXy4lxke8clhyBtY22sROyOQzhpvyieZSqfMsY1H54
jjnovfE+EamKzlg5lH/YoO3l2VOqKb/zLSYqa8yvxF+Et1Bl1Q6R16+VZe6hxip077nfB8tjjwnx
EumVwmX29oXVavkdnrPLzIpCitsWH88LN7zc9IGtZww2cbRmvW0Swwo2jYdh2fzSrjFP/ft/hIDm
O7TrXeh6zXUUnRjgt0Od9QW7bjs4F6fyWl4ROYuUdTBYjAQM0wErgNQdoez/QH2zjMesHDEurP3E
4wrS2Tfhq9duU9rixJGEmmIi+FLDY8gfnAxsI7cOmUasOgeux0bGUcHj1Aq2tSW6qCgDILaTX+OP
1nho2SMjIu88plDDWsEMmHHkJOUGsRM+45jnQbxO3dVdeuRbfcFQmz86bnWSHVCfywYrubSmN6vH
eLtBlq7wvBSPiGbL161W+07eWokdzJamg7pxW4QNg/O8iR8q1IIElEKpv1Q6Qqbie7RwnZc58JK+
kXjf25t4ZaE+IgeCZriVd/UXFFebzZM9A4F3yVbv+m6AshlaXrjrvrVttWEZfITfwZewkzf1DnCV
QwHAsHuPI3ZbNqcakhyh3kn6BoBIoEMFxMZx4+/G5LA5OVjVImacvZ9ay7Ao0AE4fpr9Cw+nuRor
nyG0J3d5iLBKud/EeVumae33VI2samfgu4vLpmw1HnqB7bTJvgtCNPY6pGC9xjdAbyC3e6p2Ansh
SYOAeT2aiO9z+QXRm4CHr2K+nvKT0mc7BMkcIQXNggLlvgdpJnurfK13F93wq+ESUfqNIwypxE3I
o9WSjarsIGesXlGhsh++odnCeueIvmoRe16A7k1PABku/O2VN/PIZS9ETPvreYy8xDxVa931A49q
lhN4raXZzPJXGcKYBYnkjKP2cAzrOxbu+U+NliFgn/FXJpukQXgQIFri315gw9nAGzitumo719DJ
3pO5fMEN6oe7Mr7DpLHGbPSRE9W/M4QXiPcqp0WVJpjflCpzxQ1cPI4rylSjfqHEqQZ70FOKuziV
FT/QEZDVxC+DNBFjDwPd0SE4BGuz/1IcKgkRM4VtZ7XOvOKYOLOylu/sbZwnBNIrfcEhWCz/jieX
nws8gUyPcKW+phy/I4WxDYEqC+/IzhOBQt52D0D1V6AkKxvraoISQlAC6qpn83gFjqu+1tqeenyh
bmH0hr37M+9Ax6PSZygWcJKV6oO0ShcHw6vM0ua4cjXWmNMWZykkNEYgr1pXnvJQHkK1Bm75GHzZ
IIz4rI6sc/2GhsZGbKx+Q8VEMuyJ65ktqitW/roCubMgcl2KxM92S6kkfVKBtlBnhPWnTewVdtng
egFywE5QobO1C1xa4h1pwMbRkagElW5SbCRWqzRuR+VISWXOEAzxhNcgeQmRnzikX/oH7G9412Pv
MXz9L0ytf8aDvS/jSMHXimvGX4xcfcNoZ0eBxGPXJJvqQuhC+VEEKKZYtP+qHisGniUoEnKM93Sb
JB7recowcrE4e9+UYa2Ge9UgItYO01Z0+86F51Kmp3FX2km0PLG23uYwcMWHoOyxF8wL5ysWbQy3
RcIiyQ18dLuAA3A+fyQQHF6ep+laDu4geWL5ihxonfpd6lBUEa8NUhgY9nAFoHFwdNEOcnOZhPdg
/DRicMfL5pIlVv7VAiBLrFtLhZkQPALjbUuv8xEDe9PTTS+rXQKMyQ87NPq38w6Bdua8eqTQqG87
TgGRECNB7tKuD8Eyekyl8ppdBExvj+F2AmI2bNR7w0kwnDLcPukfMH8sqXNIzFbrvlo/87MW4bO8
loO3LPGKBXdqFw6wN446md1MAkeALmB5f5qyBTtZJ9uST93qSDjD+dgi94NQ/MN4QARtKMnCt5jA
S/i14qXwYbPyDVVmdiSvUu06sMXKVRiaI03asPcTnb3NHkqc370i3abPtZ4j0uDkCcImf8gTBvbZ
C7UQBYFKFBBEix4dpigDrnoYmySOWPlZ6gWmOwn7Ai0rxW10pwj94zL91uaxoBuGOVdup7io/FTR
a7JZsAqettpW+NCA+yQI4xyBSmXjBRsCdor2lKPxAKiGfRrTDGkwTZxe8xQAJwmJUKPhgZNvjvqi
lWTnlmbmlQcw415BdABsMU05l+v0hLj5hN5cRC+ZdskuYh9UvkEdPiHUi1uObHx9K+U+fKGZat4r
MJ7kMg9OJWBkDwx55NKdcOU7wcSm+bVXQs5yglgM9ah8Tw82G+TsqAQPCIDjU8BOnfkK2tfEy8JV
9cDiR+Zaq6zi9sScOfoNBIvY3c4XaYQNfjRcNHtOZkBa2YbUQjiKCJjY6+bsPKLg/sbxwPlktUfW
jbGVaWF7yEJYxK819XCPuKO95GvqVzaeKC/hd/rd7r+qTWl9Vb/yerz9zGRiGKfZ7W+lsINbK5LS
+DtmY5oOPISbTkzDFEWekY95nshl16hzn4H8C9TYqcyS3n0LlyR0xovGIH0jz3IcNTf5IeyCccQx
pu/fEC0XnCxlQ8WY4d7f2EsLpz7HzD0MbZBO8pue1IhuEl1kolS+Fsf8kG65Iau9IMFH8QDRZ285
eKm63xPBY7sh00u3xbGo1sPr+NthcvRcbBMtKEbYmqgUI5jVNXYbXzDUoYBC6kcc1SKHGmfaCw67
KwNKVYLvBuR0NrGxT+nnniKnxkiAg2S8sLb4JDJ3v76yjZXnzmfBpVxfHdoGe9a+uLB4WZGZR6+c
egF7+sgeZEmET8MaDW+a4JsVZpPLLJseSDT9YsANxVHHXs7JtzU8a49a1B/xujqz3PkUIF/9CURR
+ou6Yf6Iz/lZ35U+Kkhw8Q5/ryfsj8kP2h170+PYKw8E+VW1zo5BdyySzxmYqORxUyEcQSvPse19
KSkhEBYvDdPuKhNQmbfkg5xc91aoQ66lBwUm4Z66QQ570OnOkkukwwZZeBig8ByK8cTUao9kqqsb
4aVmt5+y6IBtlr0jIho/M34FR2olKfZI1hx7Re2KRLQMTkxDyl79UDiKG2ToXIrVdPQz0MyEn6QW
KL2zzeJZ89lg8kCDj/1PsNIDQZNqvj303gtd6ToOHkl7L7tl4RifpY9jta+XyFrRIXbl9IhZY5z/
weTzxodjam0yozmO6wUWkoBr6p0odMU3sGjiUj2Y1X17Ao3UvYJrAli8CZ6RRTSryKcyWIufGrUP
7YTYUfNgAm0Cn3uQbDyj2bI6W8KR20m/n/unZFVvauQLP0EFUsPOAS5g8+aZJ7zYJsUOqLzUTrjX
Cu9W/6j+sB/eol1we14HDkySzsHCqTg0rOhsI354eeo3LO5Xpf2NwMbTopxo5Z4DJ7MnhHCQ1Ekd
Dvv6aaXfwZ/+Upr7kumFlg82rfEFc6dag1cD5+ctNh29pWq/r/qP4ZvzjI/5yn2VWKj9vGH93NL8
oN5EzqYIf6qGpqqdfmWXN1gq4b45E410X/h5diW6RruWwiuc63IN4oIyY0scS3WgeUyNFdmsWRR6
cXkUH/LON1+JzXdYq5FfYuneUcOUPqXPxONBiulL+DINKHl6k7RL6ejOe6AikkcywfFcXIgF8i9p
8t90umHM1NqmAkIBg0oP+zRS+dRBlmLHI3n6mZc5zQFZVn4qSjuBOTQigm/PzUGcqTW7yb5JUUBY
5/q1CtxBOQFOrG7UfCsdNIw1EocazS5/NzCVeL7y1A+o7FY4umP4VBzNJ5FAdi85CGpqcEkI745X
63tx+qBCV2hbUd8HhafOd/5HRcYEgrP850XGZ1qGzVZdTf08Yga0xKFafOoteQ3i923x3I5+s9zp
hR2fgQ1b5wd/iiOz/ofaiKn4uHOj+6mjueGwoe3J8Zf6iKX16wDJbzbWwOGNGnwPdobK80KQ1Qo+
qdMRwhfUPIh4yZYoWFZbIbA3DDQuqPU1aCmf2+2tvfGfpeK2Vm9IeRWvJRXnQLW1z05Yk3hhPGi1
BCtQ9G2yt1vP9oPpE2EYu8aRTMMovkVkjTmqDGhanTNmB3ZUPobyNVkbizliVyf8jb3nGhZuhaGL
Yw7vvNmd5BJtQyA83TEkX6egK+3UxM7JNq3xJrxwDJUOm6oG4oTGD0EUAipQ4aja+BIo3xTVZgC3
y4B8cUXNwEZKIwz13CWL5kQEHRZTwzDcvztgfmC7vZCrV5ecrEZLXsY7o9XfiLXY1vATxCB9mX1s
esSlwScmwj+kLsTF1HLZIGNoK96Ccd2RWOwe+IQFn7FyIcSEQxPTE2roP97Z3Uawqn7PazTIo7uB
ptOhQgvhQlGDpfVC1J5tmvAwIdA6rFec0rcVEqN3JKwEW4Z1b+Fel/obUntrjMGKwGVy+ps4sNLO
QCp000reRNqUEMfiY2O4wguDHKOeQq1QsUx6OIfhqrjTtq4t4mqPRSbf2wtYsj0Fj5pqDQGo8Ul0
n1EXXqGea5EKEVKsqFkRI2g8g3fURZ6gOlyCkZW8XiXHDtSUhf3Cn8zExcJKNZuSu7IdBlcNqMEQ
loCMSHp0Q5zyMUDaJoeSr+E22XwIF2qibBl+Gm0pKXFZPCBUkIZHSDnnj8KhWE8+HQlUiQmrhsRn
RAGmpKRI6ZYkKfichoN8K46py9n2ybCJyS0gziL/NqjQpEgIOoJ4R7jhM/5Kww1bA1eTX8c778S2
opKwgz2dCVOPGeipN42k1jZKzyj38l2RdhIb3Fd0GV5ivMCpOL4HCUmCGxyS9KirPm+GLSG7lsTI
kFtc5DW+H+90kqFdAkt+j5iEvL4K9xWT+p5CoLyMOxYyxWqQYC/GgQlOpQnnE7esqCi6i9Dc088J
sVKXRH1JR8BuDK5pWIlJS8kX03f1ecsnn1YbzVDy1/SN11LYqQkuUldSPZ47T6NXaS65IyUh0uoa
LNYpIuKrXf5u6BwC9DUCXWQSA8P09HkrjHtQtSvVG90ZnKLMz1L404KOmdCoBNCypdaOJEZhelq4
RrSayLmRd7l6E9j6uWYMhounPwGffvqjOC2TJ14yD7ZsUmvAL0AkmJUFvV+X57DYMx/nnrTNjQRk
boBIW9mFwERB3J9iRbnm6rlW3pl/yCvmM/V0nm5NgRRHFWZkBVv1ygeykzEeFVvK+MZv8+dfYX48
YfClfNqkXOVVHNEgfEvUzFb6NY31kuUd/VbjL4PaDZ/8OZ+zpCsOAw21nThL3jGs3BH3VRHu9DwR
R5DXXNKKfj0tMH49A69Z+jl6f+IsZMQZLwU/BdNLRMeYlzAIJXvV0Q0gDRR7yIsrniIlyi9mJ++p
jWfOvUBYl+IHd407NqvrnbI/33D5VNbbJRxBaRAtzPLATsnJR0q9qjhwl9skRSmXWcIz417JBoN0
iRx5qJzzjKrERVPQwMKOFU/HG2hL5fHUW+igEvRoUJKIKThcPdfII2JXYCoFKjvcWWgumUOL8stE
cMFLfrBiNj/7ci0KfxTK9gcjxCRoObepk1CqxKl1mbSGq60+mCt8S8lVUpf3/ueT+QSz3XAJCmk1
SDdU9+iPO6QnlWw9maiDy4Vyr8hakMjyrmO1Yfj5eA7+4jLNNKyXW6AzvjzQ0OaPuHe8CHiM3A6T
Xna5KhYRv+ElPA50nyNaw8ttc7fYsHFpeHwydAwB14isNfc/Vw5vx53zR1wvk2B5SDCROqcA2WYt
D5AcFHnApX0jTs0e1wiJ/h1nD1EShRbb6JzpMHzxwf2FLoFAxgSBxOZ2+N/cXHhDjTKP+sLjoS6c
kjUrykVXj6wKFWolPAIZxi1CExMFaUuhCSw64N94iLzZsjDQF2ExqE5X06x703cK+Y/h8WBZIHwG
L+Sxc4fcJq7bmNPBij6HElxjqkPunJ/rxYuN/gEwUKJftDJZyvbKXOeVPWNoR1fXdFZvWrajeCKk
FBMuzHk+PAD1LADldCf9lLR2hteMfuJ+cF0jt5GxLdjzGHgtJojLXASYQvlZWqbUAn2l4k64w1wF
1nkdHurTBzfKKHMVvI7HsEJZA4Y+JQXdeuqHCMSkfOUPInE/mHv6dcwPHuXY20Hu1ysMpBx67lFG
wI0gqsP75K65G5bVp5P2cVVc9rynscGySCHGdDsmWXvqXmmQQspf1iLUobcMiOfIGLsYZjKJVqFP
iw15HNNDnVjG46fwuTrWsRq5RI4IsTSJK5rIra1svdi8zqbDdmJ25x6nQmBiDdLCED6UA5A2UfIM
RO6kQ8vbz94EV07c0Bo3ZRfEWLpyQ9UT1RvPmMvsgzfWnt5c+JbbXRBcFZ7ta+LyADWP3nqixNcz
b2lzLQMb7kwgOhJe5UDCmbybv8Nv5S4VnALOE9lnfVXGzT8jzF4qtGswlYwPEvLkwojkDtgov48b
sG7c2SS4PBLWIuODBgQLrli6TvbzpLxTw2M0IIGjao9dKrMQTIEuOZLgMmBFs45yj0fHQNG1liNs
+bwMwCcDyw7E90/VXRKpAvVhm1Hn79MCtW0kDwk0lsnBgmysqrI8anK/3B/PlWkZ0LdTlvrkkO3M
e30OuCcSJyZjvGVgSfO4JO5/AQTpgIvsSHMDivlYhCy5KfjIWNk+8+uMyz3AByZBTykTewTbGBFe
BnHiK1Q5ycqQg6WL5Y6mrz8pqVldP1mo8ds+uyfsXer9YIFeY+2DxWjuoh9QqvnrMl8Fm3fujc2k
oQf4RfbAJCPBJQdWyNrK4S01sYbYiyPMQ+EmgvH8u+wMiGX9MtIyIyBbVPnyM2cmoYXcAIXDqZTG
GN52flODqED5iv3SUehImbb6HpE7sJcD76LDCHrKmVgU066Xz0D66zfqbCA5TGO3EvBlQfcgOetZ
gAvushVy+9hLCJJTAb87PTtcsKC8OjzqGh+TmqTCMWmcg2F5Cd4ZUVE6LBI3VO4lZM/dkj1Eskx4
Oir8h/XTuC/zWj7zLCm0Yn8D+8uuYyhWVAoJ2TKPldXB1+2XSi47UEGZFDhXbi7jNuEixz6M6Ae7
Pyl+/aKD75cQ+bZhJOf9WlX8vHVSZIjAnSlbpiF30Yc+CbRAoM4CfboJSckX6W6dbMzopUXYRUDi
n8XjtgkOgWtWGohMI9mUw7fwA2KFbUx51FsBCzUDsr/bMKaEN6jWPM8VdhCmvcykbgOyXKZ/SpBy
MAWnYXhmNApf6Oyh2NlHuwmJp/6jb9+WrhelhMiNYmIEO3tu2askSk6oHwBNlins2co3ZQSTNo2P
BA0Tk0fBlAXxT0kKXafphRWI/R+Tnh+zRIrwymFklIg8LU28wYBLTwlyOWSmaNOchTvfGxg2xHYY
vWncQrXhqXGSQwxEpEZIX5HHyKflLnglhNrl20UrkN3VL6Id/iY8gdFcL5E0614A+/lJRYSP1xuH
lcc703Hi3M44Tu1SYjbS9J+WDWQ5szMqaRt2EgDKMy6Fhce06dQzyxJwetDg/IJulFf1W4m3Qj0i
dnHsY8LTAwlkfM9A9rDZOUyoKHkduSHADqwKAe0DrG0Wd6kt3BJr7nlgYGC6nayuw2EtTJ5I6Ryh
AQElHDYG3JN3yrymkMNwC8U5IOJiY/m7GbFYq1P2yZxhSXFl7EQznu9cwd/tnM2InYNHFIq+mG14
aOw8OaAVDbVT2ksAtZzmG0AIGxTnnaBueDmiauTNxMuZnYNZy+1ydWQb6+LD0wBnTGyOLBmCwMyd
Jfbh7KNYxreMIcEZq0UcyVFPdHBUk7L90mTgsfJXeQgxB8z4Ad6ds1By0J+yCuVdAEum3pd4bxFu
tJTUZwvJZowqDQDCSUp1uGf24/QuLp6Da+ppmfz9CiaAlgyRGHev/7DJn6iNkqyTry7HN8gTyp8g
izJbXWAGbQPqbwPSgmIyh/OTClNARI6sB/6QnjGimm43Cv72psjm8dciIKy1civX7chgmrgF4F1I
t6hXNQxSCjbYup6bLXKsEihhBJ+w23iZjSyBKYSSlwoPM5ST3slTkJzToohQacoZ1S55u+pKeWvW
K2BkCSCqQsErT1S+khYaBY6K0jYVmFMY6mxQXqXRLUBqweWscP91mQgRv4R3LP0feWe2HKeybusn
YgVJz61K1Zd6W7Z1Q1iWTQ8JCZnA0++P8pzLc684J2Lvc3tuCKpRqVQqsvn/Mb7hcCVhvt9om0F8
iimcARQ3pxk3tswDawcQfcFW7n02gQHjnKgQYwUZVeShu1udfeq8iI3UGv9wDYgIF/+jr9PvJmGS
kS6zc7bU+zHcFqxrYAYD2UU0fWOGuNqWoXiZIsLZgn9HSyQB7O2kjB6ud/WlW7PIsV+uL13X5XyY
qNw0qy2ocabhVCvyEU2X85GN+pI7aCrLfx+cdEEkeb09ACQ9jY6MNqLjwu0xWv4zpsFVe99vmUrM
DC3Lt5//PAH7/49oDohrXjMwroeeTIQK+s/ft69nWvH1q5v6OCtUlHnorzz09fR3KIbVSuyozXK2
OuSaVtnPt5M3Ae0Poawj3x0QiCUQnK/vNrJQhPZdCXfoenq98/cPrj+NspNH/twpS1zyPXuwQVHr
6UOUkNfffD1cgznK69u5nl7v9GX3JbbpJE4ubqW0tjv2lcx0cv1grwez3vyP+64PXO9zxuzgFkG+
J1DsUoeV2DWauK1w6ST4dTZyWWoxAnSvve0o+PjAXQf6G06qzK2tfX/jgOhnzQrzOCAXOmz3ypKf
DZWZBbEY6E3K2wWVgWb6pSob8IGVvKc+nvJAd6c2iQe4jD6NkQVNW0EJrQg1AgLdpA8NcbWjS06f
kKuRLgPrWskIdjGplivwh3UE0BBA1dGNNZtHOTAha9vfjE0l0TTPbImq+35a3YQR+CqlIyCTU/Re
q5fepyDo96LB2X9j5WzX7bw2uxXuvPcdSSOEIonXB0/kzj129tzuXQ/ha2cSSE0sT2AS5Hu/J8go
xqDFloD6XDvv3KwqtrnHlNbq8Vmhq5RUraKySu7kGn+lj3YuXJpwPRlFgC9v64i9Fim/B1UZ6lDS
A66Jca2e+KTTeaeaYbjtxwbBXogRXvTsyLsPksSYoFOWQSCLtqmkmV5YJd16JiHiVcMNXYXsVhTs
Ci26MgvpEbsOLoHUq0daUx+NSVyUBkVILdhhkK3z2trDET19DqwFsSP75zYEKEYcMCocqswRBcLA
lAltovFNt3xofQdlOg9e3Zi9QwORcGPHASup6VbXONqmN/yBRMyHGsW/e5O52dduTiw2lmtE39h6
+6ot3kHH7XxR+ofJtZi8KhaP0J93YlxhPAn9qIXajp0vBk1bkWJpGpu7unNenHXXhRXiGFFCROqF
gzZEeRQ/TLHhqtFWuLcz860deceWVSIKtKLLOEz+vc3cFY7ZqZnShYU9Yk+Zld/CgdWo7b/HRexf
0pEJrvYxmso8/SICdobomMej5cznkaQn0pya5hy7GqOE3SNn89vbSqzLe9EmgFQbEMTVL9MafSGP
171rHPkEmBiFFI1eLCjLWYT+185xkRJoCy973nIBRVCO95WTpk+meVBuEH/J1xKiv42NG51BRB+L
vB2Oo/RvykS2Z9/q78LQN4eyG96C1Ccr3HRoVbh4N50VPo0iZ97LZwzzaZSvXyL2OXmoqeaEH41c
zM1i8LYVnvfRWSzn0tqFP8R6xNJNs1nTe7ZerRpYH/Y5C4V/NChpyUOpUSoZzHvF+K3MLbpAy1Du
CsH8O3sfIVzlg+kx9mH7uHd16ZwAB50w+rP6n5Pvvhtg5yjNndJpup8/1V24056IL73sLvhphjO+
lXOViF/urDDQSApnTAH0GhAkwYv1fVHsrQKYto3zqBbdyV6ehwDzrFKABhvEEdj8jpEmGJ5kATZJ
Erh+XwWKuJ96JKPe/7DrFqRCG+wTcjG3bq8+m755M0SZu3oU+8Wt7tdvOk5dsgBA3zuXMJvfo1Lm
t06ebaMMy5vBogLzbD+x/vbig+VC/8olluYAq00To/UgFC4/F8wj8aDz2yXB7G3YFa+iRWQgYYcD
tvPDozWy3vKd1t45wDJrqZlYQpCF5Zh1G0zDR2Fby9G4zfzkZdmhkP6Zr0j9XiXOXdQgXh/IRxBQ
o0JQTZvA0FkzirJh1n/zFKTdaLAIWkGmYa0GSUmw9c6N1OfZrqajC62l419DyRH1d5rFm3l0f/qG
/Q2OK0NNgFWREPP9RH/XrNlgMfTFB99zv/SxUFQ+lvzY5y5rwpZCVD8P7AkxYQWyRG/W6+lIfiu6
wYwusrXDCOvetoSIbewueJnxv57m1DP7PIkzSEdNc1pI3gqq9jLm0n0au+JTIuJux2BcHp3ic5C2
9v2akga5xD079LOCMnc+DbOmqYMUS/UEmpjwbZrjD1LK8kNt8l9zVt8gUc8+t7cpltNjG71Z+aIv
sWzvkjXdssB0jHvA/l6tEgkyrtQ5kv3FlhKap8hem0Czz6OTMVfiTlgLw2akzc4qw2wravnKt3Qj
iR+9C+qB7bk2rJtjv9rmyqILmPovntWTVeoHMG3lz2JKLoVyXOS0dbVZJMtOsu2GS8VuF0YaxX+P
NlBUigBsvIYy5KhjikOHxsNaIsE7nPZFfpeXHcy/+pcizmuPsT/BpI4J1JijcnNyWgPny1CnZpt5
/rQ3Wga7OtTHzp+Zaj0n2PmG7VHYe1A8qlehXTQaan6ywpSmmKuXbQ0kNG7bBuNjPFycyWVty9Ay
etrZGdsZL46sH41Zvk3t8NCvqb9xObmHxdYXL5fpHgA8sfWBefGoGpLJtOHDa/cEeefkZ6QhOdh+
Q6lzRuJiuTijHQCgk67YWlj9afAxJKmAokI3ONUn7D8PkOUvli7vLdKMtuEC68xjQd/JrmNGRTsv
CioohdV8AH3dVpB5WL973xMb7zNf9mci5SmVh9ExZ4V+qFNkHUE2Xqw5fhbYkNOmj2mZRA0CboDF
qjhIrT7D6GRot6gqioDN1pJGP/KF1WYL1RZhBnWq3kmPgU1Js2xC/ziY7RyTJsHmELgr7dsMpWk7
UJuLOq4ZW4x7L2xRmRf6DtfjVDa/MO7fjHwW3yVUmZ7YujRPSG7W/P0BjpdlifO7OXuI/Bptw/ht
9ibErJDCLec8L8V56PrpQmyGjW74I/UDFuZpP7xm1rPx0aOXsep2SaE/8tlLXmI6S9DfRnACUXSX
pvpHqsJkbx1dXx46SevWGSbKAEt77CBr3ZSCHIa+9p78Uv0QA8kSDsuNLqII3kfL1zxBiNHhEpbz
zGX8Fiq19VIIhL7QtJtFwhS0lIRM3c1unl1GSQs1Iu3YiJgGYcgmh234sCbELzBzN1PbAufKwm99
HkPDG78x4ZA4TnhQuxIl5N5wnW5lkvgXSfwFmKcBt/laY7LblynO22OBDm6uJv5IB4OvT4HejT3a
g8rF/xx02767+LmzPIT52N0BJqCsP7NgoUIQZZos50k+uGIILmVM63XCiFNmhPuagtBe4FXvUZsU
F9jIqIOKch8EPiXXyYfwYOz2YMLbzLllj+SfxWSpHVnvX9ygfFhGE9yJqoeKJJknI9SbBYZ0x2HI
mWaKe+RvPRJjXZwBRaxIZvcG1gF9TtvI20A8UTEbqlqxoehqMAHNXeOpggr4QK0ugNJapepEcHX3
qpAt7iT9degOz0HQU77w1jCQigWdtunSd6KhNNx7DeY9sogLkuCVj+EORxdRQo5z9OL4UXV2fhgL
sqJYfFM5C5X+xNZU7hU2bOTA3KyjathWpf82x8jdMq8/gy7k4vDEW+91D3XrxiiglmGzXjxBOW/Z
PPLh+oG3anJZklr1rgmmeecNsG27nGWExchUjeRCk3LM4tJ7a1n7bkHu/Kz7hp69bciuMn12zrtD
GHORSsKUtsblC57Qrq3MKI6JJlsRYh1+N4ZJYEngXCO8son65AIIAg5LZbd12kObrzYEBJ+N8MV5
SpZ729bi4ACHOLCfds2yrgqQrpepvZu8BTkjgjA21CdR9uUT2LNin40018vVFtm2RE8vAVFUdlLu
RU00hepyWLX+dAwM9qMoHNn0QUPAl6cz5quSmhRJiZ5YXJYn+8gFpo4TOn2N/JWcX4LBJR3ya/q1
CrHgFyzqb4MQVrKKKad0pmHOc+zkfg7L1S9A+4S8m8+2TV0k8IR4lBFmWI+lzY2X1ivFNMIp78KC
8MJ0hwyw2MtkaUgXas/4GH92c5if4qUlWHpSb2Mgj4sFa7AeKrNbYBgmPcrtOFTNqaeM1qT8sXaU
Pgwu/1zgzBjnFzaGvk29OrKRkc1oM6zC9ndto75aVj4z9eqYNQtxyv2MHJ1dBCUn4ljLYRlOK9xb
DfcWjN27yC4eHM9Yn9juusydP5ZekWKqzjrIqdhE9BpH67ltwmPSsFEIR7qaxBnsi2qgi96E92yG
bpvS/WHKLEDXDNe68IhPxfKKfmv4qpPplbKDz/YpYpTz1aEN+w4DRSwvyegaGhKw00i8BETfM7ZA
Z1R0+q3eTvZlB96yqvh3YmneW8vKijRrgk5o69OsXISTJLyOI0vnhrxoI1zcJ8LUx7Ae3EfP6KOm
PKLTJL+DSY+0Pe66e76fDKekHtwWPukLrNNYbgfWh4Oz4ByJ/OuUM63aGVcj3xYuaJaw2IcIiukJ
K1PIXpVgGJ2DNLiRqRfxhP5b6xp3O8z9m238nqZiziUqiZ/Olq8itz9nBa3CRdOWj2KTIP+n1Z/M
4N+tpnvL8k5s3WnNe0NrriTy/6yj+5Flmm0XLLkpd1+s0Oi9TRAXfQ+y694N8PibOZNINawAKprb
V9s+I4F8fl2WGQtZTAF4bOv7RqnPS9aQhZGmL5X/RWn9YypiRLQZW0lJmeOWtytvHGq3jiJbd6px
h6AgEe2EXiE66ai8y/qLK+y3fgHJULvxOYQ2AOQ7iNDe6mcV1/qptM1P12AjiXxcITqPSeMOy/LF
zyswpK+ybf2PxSN8oXwiS7M7js1CG4iUdprOdIJUTLm19O4mJqQt1ahfuov1YYjp5cGt0cz0S7yH
oFRSWUTRCL/lu7XQWSBNcKtnvGcWGr6tKL8wYOkdkVcoJRvGd6nzH3lbfcgw7ajqdo+9SMZLg5ZS
M6uGS/QRK1tsgxUNkg/L6/cxAuRrj9Y2rvmQ4Fa0+85N0AFs+yp3HkWvD2FZs6cxw65hBN+MYgIM
m7pHkOUs+LO7pQZoGOuQ1oVcDhN0jc00z9gOYBBTdjvWsIRv3dWYaHqKGPMgKYiP3W1mFhZTjnzA
40vrouPaJaHiaxPHP93aIgVqVO9NwH/cyRO5n5fgwa0EFeki3CmLVVHI3k5GWGlAC3NRNB0WfQTj
kwcJJMa3xX+dy8fLbtUUovUofUoFGlqay+V5Y5Vzcq9j+ZHTphyG+pefmBSFPB5UsjYtRhowk9+t
GjkRwabzdq7oI+c04ywvoEvTvxPKR/hbtJtV1x57r2V49djKJTr7Mir1ddLL8lD5j3GN07gcLbKF
G92gXQSqZFmsmBW19JjXsCr1BOQt22VGjf8PfLb/ryJ/HO9Ksf+/R/48lNX3rK2//5Pw9tcP/UV4
i71/eS55hYT+iBjeTUzuzt+5P7b7L9smBssPHdsRXsRDf0He3HB9JBRhQIBJ5IUB/Le/IW/uv4gQ
ggob8IvWn43+N5A3R9hECP2TMc0dkN2cOBa8DeHy63j8HwT0XpcR1CoKElYeEoFBGcDMEv95GRPm
k72aftmw+8aKVk7O7Wi9lHDk0Ani6M7QWDT1YM4zLLpNA12XK7UcQDYTeE555hgnloVFc1Sn1RUF
hdHdjs4xM01+Humv2XR0XJ14G9MP71OHsWxR7QqAW9j9UOOaxYE093LnBcDyF7eOT4qM5NsiQwTu
tEF4koH/Kv2abpoC9wPaOzhprs7T9ezPgSLR5OTTabZhlIaxdbg+5KQE4fz+oc604alkxbdrrfI1
hs95knP61yFV0mFFkbCy9kMMQuvNEuTj2tqhL/XvJ18fuB7y9SnXs+urXM9mJhKG/IYFe4qJpP+1
skY3FmisDQjx+nw9sNciIoDN2sEvnC0VGecUgzQ9/T4bWnowsA7mpdSbVITDcQW6FstSnaM6ZqtP
5DLVhzzcEbLoRYtgWgiCm8hNG4wffx/AYAKuAmKOJCopMN1CikFckuEBo3x8hvl36RK20uq+DnxD
S92hsAOcFdVY/eiY6AdFEppH3WK2gV19ZZlJymQu36KIDDom2KfEkA9oZwF0kAL2s2obOh3snaPI
+jZGWB7gL+10R1dfxNNyaIP6QjQV1qEe1jM7RecuHRxxN5mZ1loJZ+iGaBsbaVlxsLO5PFoY9EJH
seWXo8ATN/8i96+5Y6kC+neBuE280Rh6575wx0syIx0enPeUIF1adqAAGptOOXs8hCw9Dn8XTO2d
7LEYWNqgCKj0y0z8z0QUxSWgkIYiQlk3qeVnd47u+XYOS7UzFY1142GHpTZ372Vxf5PVvd4zgWu2
3aWmZwgcb+911p6ZEQuwnWE1qc2FEpl3cQO8sgYxcTS1/gUMSbAPo+X1+lgsDZ+eRcpCgv/h+oSg
CKKj01t7wZ9+N0ezeyfWdw3D9JV9/rzr8wwdGI8t64Fw0IfZ8dna2Qu1J6Rygzeom5klwKU3/Fkm
yPk8/GofO9aPcBkIn6OodTJioYMwj3ekOHPNX3kdReEyOwbqv91n+m99hnh3SBc07Fl9tpzYPsyg
xZ0mHU593A4nxS/HELaeXu/8c2iyEHkO+gcGQNruaz9SMAlTz5rhGHHLmXp5Ku0GysPC6ipwSCAm
gx0m1tPip5/JB0FeOqP3bEHhka978icuFrBGj1UqWHKNNBplZe1KMi3dNdxy9BdJMZOYUafLsY4G
lFWO0fRYZs6AMSlC0ROBMyC7/mSoFRxaZvt4cEiRbdmqnH6fytC77QVBv7/T5H9UwL7AYoJydNaD
qb6DUu9vo9hl5fTvnmAPTVaV1XS43hX3MD6E8PS2ZyeyZUhogMZAYM6lhqERICG2SdNky7/23OK1
yXZtr0Ho+lFOWm8z1+lOxXogGOmvs+t9U4S9q6xoHbJRBZQfoTMSwaEeKPdIHS8UiJB2hgmunh7L
hkpJSbm+pYUeqcjxLP3+JEeDMjuaLKQbfLANAYa5OxlsTiEuJH9ZYZtev43XsMVpXfJ1FR5ee2ip
QKctAjFqXfxjQ/1Xi3KwYTUFCWI4ZznBYbZPoJXrg0v6j+1jT2q6fTUSA1JbtFt1MQDxnoNTF0UT
fanmU5DwoeeaAl5todGB32jAiNoNvmm2p8HgxreGdjJZvWTfhIplGFEsSndIH6E3N66OkUJsxNj4
B8snDXFFwQS1Yaq4no5WB5ZmPVzPTIcADvgisjDLzpBVTZio1y/AvNJjrmeqbZ/JsWT3So/1lEcu
r8fqn5VXq5tTMq6TV5W0CHPwyNYgmm8hgRn67aU5kfdKuELVk+A4uNCrtPPDCUPq9GPi7dxFIf3R
+LuNcg/jSM/2m69+psJVp65OUeQsFrNouHFgBp4aMD8Qwyk/ZVHwK4/AsV2fWbWei3Oedff12WVQ
AdheG+C0vraw8eUhMk4ONnyAG3PsmpnCIrhN5D7Wso3meVX2el+c6tl0k0aF89/+9utNndshmu4F
5bvKot8fgyr0hr39AuqdD+V6sNaPw5+CS+XM74alLcXDwD152m1gxq/smyW2T1RVcdgAt4fRfsLd
wRe0pCG1EFmEUxDPR9JBDMssDST0fgrdFu2w2BE1NRL4018MmcW0nazsZiR9ZkWJidtEWPAyAm88
9dAjcrrtheink23v5OTnpzlmFWDr7IVMXuAPtUSvBGaM7kI4kparkVahhLgeYNwzgLUNxvuQhtp2
xcjE8pghNxu4OE51AU+gzJNDFTAXgP5Cdzy1p2CFB/05XO9Ty/hkU+Ckcsfwdj1Avfzr7HoTzqs8
1Tn0/DQNCZdqU+bWUR6uV/8/+uzX21HsxxRjQh/F03ApUuSp0gZiGUyJOV0PgxgVNIHkty6hXhjS
MzwjTYMOUTnQ/GSAzsez366/9zre/nkbf24u0Jn2TVDvAj9iQRhvRDJEx6SUARdQN6NajaovCkDl
jR6MfboelFV5t6rmE2nt1LuIsOv2zuD/qll/baeMDBfHs4iekBMhIZ+sJEBxBRJSHjIPUb2juZau
12assrXcFPQrbYR2oL1eg4bw5CNdxEJnYueY9FuFuaHgB/OoMzsVOtWy6dzyPLYKNfK8EEC8kqfq
Zea1rqfeevv6yJ+HceOrcXRhdv/92PWp1ycUiYdaS7+5lc0ngKbgAJx0c70VrR9KMVbd6c/N32dU
UI+uYWjvAmKXrve1Jd0qKk78iPSDlgi8rt17VN/X+B5Kys10grRsXwqNOtcfY0BnFkrOsGYb2Dc/
c5LhToJe3amT7bITcfx0FVBc9S7Xs6uogmRGPLR/9BV/nvN/ui8kE3vTWimQ8lUg8udQN0grSVpY
i1x/3f8fP3994CqNuZ6NU4eA2nLBCa6XnpR1bh6up10fNPhUJrzETluDxmJAH6d2R8x5Ree8ZVj8
9xT65+b1TC8eLbDrw9fb12n2z80aSGtNZtxpmLCdN8KefktjnHXy+Yc0xqzXke9F9PaVwYInYjBl
6yGyJxR30TBGB03PwriSOL71MIXAgWZm5E0VAEKQQsK6csAbU1Fkzp/nUZ8SYlvUIScTAw+Fwsx5
8OaEC1+maKyup1O8ToWVJdrTfz70j2cRNWbsLSEu8vezmu1ot1QzQ0afbbMOwGqdtK5n18NY2yhp
r6eSAjwByeuT2LV09eF6uqwXisiCtj5cT2d34nL98yoOsMeNDGlandM2w8HesRe4EbpnXP/94v+8
589LJjnLo+srXu+blBMdxxB9L3f/x7OyOYvm34/8Pr3+9t9v5PrU6+28C3nW9fbv3/jnpeyC4gtZ
c0NzDsOZAWL9G6+/+z/exe+3/efhP6/+P7ivrc9kntr96hVJjtD6Z8V+NE+hMAa3+Bskwa62mT9N
DQLxJTdwIEV37xWkhQwG8xPhyq9FHsGXjuVrKdGT+vHi70iY8vYiQXJfTvIrW+FfLNG/DyH25SVz
wJ9Qqt61Dk8HLYzU0EGZmKvs8+SjB0U9kpyCGN5NNgJkS6h0KRUQK5rHwxoA8cltc2aaiNLOwoxy
E2j9iYxAg8vA/hK0CI4Ggdpdh+e0KchMhPtROA1ZOuuf6SHNmQ1az8pi4gtCnLVYQDrWp8TxoogH
96puC9VkGw3AeC+b4WcSZDmXr0k2ma2/0WgjMS/4GhUD2lNZlFSSYab1aHsm8UYGClXBnW6nkYU2
As0lsNxjOAanmsvlUKrylFl8bpXyzm07jAx9+TfYvg3k2w8zv1dxsi9I6b3RhYVNuMm+DITW3IRu
dvQ6NqQNtLbUdffuQIlPYrAlfQ76Wzp+BOQfSbKS905CRaLAn5v27NzGfvhihcGHb6ElXAsY1Plv
M34U68z8XE7Jzi13fj+3FI1rPLBVsM0q971MqqeY0sSrrt9tkOcjS66Heay+12h27a7HCpTbj7Qg
5hsiS8DLzCHJgaZhx+GNcpMGb0sc4aZuYnVsS8gwduWlx8LFrc0ue0/xlv9sYJEmg6Szrzxys6Lh
u70gfJpIWlJTXJxLi4YLhZMBfenAny703vLKACInqcO9V+1yCadFuNH3gm86Tkeb9+9pNKtZ/mmZ
xOeEkGRWJNbdErAArVmYNX4Ah29ITsZucFEi3zyYVLxEhsgot2qPWd15z7kXvUSyujcxmk7CJIlC
FunDCPdr6Ka110Bdl3IGqmNaGHkQr4hmuU1rSsJ5ATJOK9rd9D/6ssTwRH0WmiIDnPKE2iwZw+Ta
yAZlfVu0Bch5rzr5i/0Qk+10LNOhx4VbXGw9zw/k5ZTH2gK6CnRkUnxfhUAf68lgrzuCituK1oMh
3ywaUTZMTjhsxtg8krmO08jrTmoY4NGyyIrscDoa+cXyIoZVMKuVK6Fm0Hfwa5yWDflBd9HSkkmq
M7CMMchIjyyqfafDZ2BZxUxqVCWSfeOXXzuXLBrlP5PKYH+Vqv0iGaI2syZRNupGkg2mpd87i9F3
tn2Xg2/ehBO7SM9pe54FQBQDQUJv6h5RtReMAzJx8RS0o3qcm1+Etb60swrOjKwYpjLGvk/hpbPJ
rOlhsnTp5FHAsj4WIV4bgJUVoppYxtiliggcXxoM+7ICwjiXGNsbrT4SQmtuEy9+8cNOHbozDVLC
wbwV7x2gsc1HpPCtBf4p8BIuN/+EgAk+VBxtjSXhpejkoioHb0gy/mSRS/tnot2UMDjB2lfQk4t9
Pob2plYxMLtsIhimuO8SgRc9Ld/a0mYOiMGUZBU19ZaRL+xYhA7UfRzZQHPPki9QkYtNT2N641eH
zNgvMlxhiciystCPt0PnnUs77J6sCZBhIUy5g2/6gWhXwY7t0e3NNQRqosKlN7GLHtR9U5jHVLvB
bgz2po0+mZGEzBh51m3k2B95QI98djGymPz7go7Yi0C0Jg48BcX3i1BMfZc4/avb++ZmttdQV80H
7bxqXf2SuYI9GffkBNIm8y2+vhLT0czfpOnbeqL8FifTYQnaTwgCVopL+TEC1t5AYqXf5628D8+t
X+ogIlMlvo2EGB+r8KLcOtirtnrWs2huU4LikSwN1XaQOQb02cVispqeBNbpfPo+puZtgoQQL+bz
kFYn6lekmanqJc71Z4v+Kg4YyGMK14M1QWQJ3nWzGyqGmjwsTrEO6Po1VDZCZHvTGtgt7Vsj9K9I
NIeSSEGKckgQCCY7hzkR15Qyl3uxfkBNlJW7Cq12NiGJj0oPkjDyLRBAxPhJF/ZLzPoIkkz+Ls2W
MIhuW4ya+OwR/U3XY/Vh6xkxVVX4Xce7it7Y1o1pzcrco9XSiI+5oeFf5F89r8Ot0OKeb5V+HxXu
dTuWXBeIwfIM+RYSvFvnTYcI1hNZhgfqULLV4GJH7z5V+TaxMaPbeFZu6PcFA6oC5BK4b63sm+fT
X0ruJxlRvjZtvveS8ZvnlqeW3fCuN/55DILgXjTZXW+3Dbl+Ho7JKrqn3hztinpAp5zG2LIoD2Oy
kLj0xIFZuNvGg7crwtxF9UeqQAZXpSuGYKsDpyESGyS30a28yU35FOQtzb2ZGkk2ffcczyZJcF2i
Va99tsDbs5yfTvuY+pSh6APBfPRmhsJXcorP6rvMCpKnrO9DnHe42rGHiUXDT5z6+zlpHJYF2YOr
xZ2XiWbvy4e6EY/R0g+QeYpup0kWX+IBY/+QiuPsMRhnSbcbtft56ACtjhnzMgWEZ89yP4cJA2SZ
S/tJps247xuYGG5KbkgrUFqRP6o1hNNxgKaRtR5G92K6cbLY3i/EIJY9N8J8/UIsl9yuH6d2Zdbx
L6vD8DinJJQkXuVtRRieLcLBj20LPdvrK5Q/eFwrLNuzjUwnDD/Lsj+PTfYY5p06t9p793D6C9mf
Wi/HOIbPYDsBDJiyAjfriCAaeUVzyIfkh8imT+PC52gVHfCQhH4h89gKoFLoxDpWsNoBweWe/LS4
JwkVVokLXiQLAVYplOIC5QexUO9Va9qd3xEITicadaGC/uBH39Eo5RRRWQK6sXqwZ3Dik3ThmoT7
IoIc4rfpT/YcVPE94lq/9FbzHMsUYK6Xz5SE5aOdn0xDxHwTIq4pcJdroni2JYg4OZpndrlM1Fx1
vbAY4XzIHASKIO7GtuKI+RObvZfWUeXF5GIL0J4qWYPjxYvvsnUbstTPPrvO2xJciojKBUGTfKKb
Ls4WJi/ZWGdVrBQ5JBIbO0SxtKCbf4p1T605EtslRV23pHLCt9ueKYlnXYLLtA/ZKVpfrVUgoth7
bQiCWUlX0Y5qU/OY5nH4MOfYU9v4jeGou3FZzOMtE/G2Gidxr/vy3Nv2KY6ZwXORTsy0zbQdq5wO
DPiH2XePrTM/46uZHsHjAyu2BEEayPyx7kjYCFQmD14AdEyMWKIofTV1e55V+Sv0AfCOzEm39tj8
aAvvA+UIKXwhjeOUpRUeJHt6MBNOdfOpYUkIrkAGhCHArzPkqbeNWA4uQwMDYmw/mWG6ZGXnPCyR
fww8aruVibcsk8BxajyZ7GHRWqv70ssAjfOyN62mQEmud0tiH3HuGuNUkXv90Ygeu2AAuZaMjHwf
YrYEZr4ZnDzYtXRumDvexwBRzFIxKueOQlNArl7RZiD8k+xXru6KRuxItblnGZkc/Fo+u8FLGAvx
KelJC0A5u4ujcM06vfW77pvSFM7HwXn10FfxjtynOvW/SFfdUsB7ElFAtm/XEEmHQON2Unj27JbE
QMfSpFO6FrRT4lAy5CoiSdGjyPGAMU+PJcnUIfJVb3oeUdtvrBa5WTidUKVjFa2dx4FGJ2nV0w+/
icDcRIbwkZG7LJwTN3a/vEbhui9IHGRQsCW8BF+TsVDwpHTmsErAopUAnmf6YgTq1ONE5O7MbGOG
6tNc9xMAj/rDbUJxW9dhwH4sUmSxAItpO4ey3U8nq4cdQanT7VCOp3yOD20PbawPKfmWWSsPIumq
TREiAqjiYssuBwrVWOzoLd4ho0WR3/oSZzAKMeM+2COT1gSlQeYLQJQcZlKRj28jY//GHfM1LSD4
1qNJY8Bb3VuYJ0QPw3IaPpVj/OQhS8GgRI1BgKPEWdcrQVzHPH2fG6iUtRN/0XUBjxpV9SIhZo3I
aolFIZRUgHilkHYOI5xztJgo6VMAqiNyVntr/StJ5/aLB2QMobb3RtX61J51nr8jkydwpXdDlNmv
piCdZWFW8v+LvDPpjVxZj+hfMbznA6fksPCmVPOskkrTJiG1JCbnefz1Pmw8A89eGPDam8YFrlot
FclkZnwRJwZBdrz7scfpnMbzBcQxxTXj2Ea7TJJW47r387tX8v4YU/81ngxcp91Pmw53U4FqDewN
2/pPGatxF/hsljPfuel1dlLa8BxHcuEkWoP/td1kuQAVN61FrJNS8Xggc0Iny84aTjSAE5qRQGDd
T3OSmPUwMa0mXHGg7Rg0B2kKWS3IjWOrE+J1nHI4NPaZ0RAgRBxmCxJcdx1PRDtBwuKSWcsxGTFx
AIFOhXZo2JOyCvvINXrTvkyZlZ85pZgx7U71xEcGG4OcHubhUTV/mNv+qnaa/9cMujW5tR37zirx
XTI8WxeptYEcUfJgYPHARwPgU5Bin4bg2GkdL9HAg2PABx1g+2Wwi2VFK1+cQO/Wy0gLvBtPTy8K
vFG9xEZClihNwm8aKSYSzOIdP21NvcZDFs/JivDLrQSiH/dk7WoDsxUTbnPnoo/gytUMxETao37V
VNJepEbS4eOXkZEGpzx+h7eUH0Dvsq2hKkKjGJRL7a0NBqwmrksKtn21GuupMrsrVfGPWLRARHKV
0ghzUJT2fyyqtsuG9xMH+bK1iDaG6h64EppI7q+tIPb2amxImGqktpUKrr6ZG2D+FPs+Bb++TVpj
1fm4y8LGRmFmVRvB7Q2gyy0qD0HvsXtvBxLqfBRIenqDZ1I0D0PA7EaN4Fn1EYt/SOPdMUZhCIUW
s2r3n1ZZv3stlqmJcHpYEElI+uhlND6VabwHKdC6phakKkfezg2B2M6oz4ZHUlJjUDI4J9NyxaGA
TTfYrYTiZk6M+w+oTzH5Kz/ZJjXlyF0CnKJt7+FIQUzV7xPP4T1sml95a4Pmart2rXGM57/621iQ
8Gl0iJZx/OtTWLTQoAtKNwvWtQUVRrkAVSlEowV5pGElbaAfjaNLI22eA/S4Dbl2b/tfX6F6O8a9
F2VLjBNnv7i7rsNbzsKDbOfuViacFpkTUSrGCuDScgUPH684w6+dKtyzKHRoWnlgHLOx44vYqZYR
UE6TppchL0C0geegzxrOq1dflcZQkHYnlofo6itSrq3+ZQSy2oz8CA+FwcrHz6wsL1+VzMwNtqOV
r5/mMyoJXFxi0oDEOJfGDPrw2rYV7kmY5ZFmQgkIBNtvp7QWhXcNG9ItWo+p0A+KlTH5d1ref5s0
/509JSINL12WGwtOKpJrjOf0RdFMRDrFo7oyYXeuAVZRWHFrAbUw/GMn6VWkk9iVeICJfE2rbrJG
MJm0zNTavR4NpsROli07aqeMl1S2BIixj8l8ypZGo/5oXRDCg9ri1KJSJy1oJTdOVkG9SsDtma6s
+ToZceQ/9J3F75jwAXalSRVOwN2CfZjaBIo/A1WwN/NvVm+85xGxMR/7i+XsCnKZD1TNPikEaFLR
p5hQLSx+hoOBuqLH9QvRx1dXMD7FZlHW/bMzRs/0mt2GIXwMwnEXNsW5oculqs4iNt9zfgVJEMot
AWhy2Og12B0kXy3tOIQFfpvJXc8H06nFgogFln4e42LFwacprftktrBjJupko/I3Um5F70m576hv
Xgvt7vnjthD6ib5fA6YUzQ20oYUPonQ+7Kl7NLlalrSpbcO9aZN1nQjVDtHWeGeoYCVsEDmVPrhR
l66blDsGUzboIVEtm8lfhXr1Mbnuh5OWSAjGSTfS37b2P6y2/cqyr76GEJgx4Eh1eWeM9FiC9kyd
7Nfkh02m4jdQMe7K/DnriNmgWBKNyNwvn/sZ9Fj7nrHBBkTIkhSVY7ywmvwzmb25lYsjkhGRnSAU
DDubpH9iFk9CRIeq1l9do37qXdicA6Pi3JOP3jChLHfVb+zFj37w0tvtxay1o2qoONOTP4XOVKly
tUNC+wGWEeyigbLXVVcS+q99CDlG+aqF12IK3+Om/kmDs1VXWJmKArh7451yE2Bfqy7SmDES1snt
xK8wsMIH9ixWmda566CwMENDRWKnrYAf4GWWzatlA+cI3qoh0HZkpx81yVHQ1XGghbcp3PztIf0/
Na3+v3LyWYZt6P9bV+sTlYDq3x4+Kxojs//m5/vnX/2nn8/1/iH4VjjyWOGE8y+drZ71Dws3nmNj
p/M882+b6n/Z+cQ/TF0YgutrOTbeGzx2eBQa9R//bpn/0NELhSvQXzEJ2vb/yc5nmf/Dzmf7riAa
brt8U7qMLJ3f+l/tfG1oxhlRKxLEeRMwiOjcY1i2zxS1esiRr1Xf1TckWjRaHCXYrA1xjECSoIpA
hXC8zcXFuLu2PZmeUd4kghxxOXYIuWbsrTwgwaSkXMnxPFYFBBbd/xNFCYCMiayqM2gh/llIfmHI
OL93BtJrZy9Noid/ZuZW0ORGmWB7JjVLpL+lAsEhejPG1qZBtFmKwPMekgp2jI3oiSiH7q+7QFZF
lkVbk8pxBvnQmrNAHHxhctidkYOGsWLgooH5UjlpviLb5TN3ZhiGZaX35YNVBf4mKyiNGG1/LZsA
o0jvnGuknbouqL4i6oLeaTnbMp62odblyzI0ioOOcdoqe2+XsjnYmGq4+8pDCWPpOWpi01K9dSgG
vOij39fvmjUMbNOsTRABuNKS0D7LZjbYcb/snT77ruKRkFSOK6TLTWNe1+jnMgas4g6lYHZYvyV5
eCQVqF6aJNtGUYhXLiytjV/61N8Il8G2a+yT3vqq2MM8eHWZ7QzqNEJDPOMWsld5WEIRYoebpSo9
BhwVW8RN/FW8UCRlqcP4OSHRp9ZdYCI4WFpurCLZ3ywmbtspsRGT59QJCKOgo5nGd9KbbLDQxFpt
k2UD71D7AVshhWdTBq5+EK12iJ2Rrsq4Cc9R5w8Ql4p7h99gbbVjCXFEiWNS5OwuaJ5q0ZRlXY1o
yjBELNpWq8zG1pUbr+R6y6NeuS9DjpZviRhEldTdWx83y6TTwCeX7bhzyOY9+G1HhqHHOOKgZPFW
EC+SjUrDGxDpIrix0lrrMonIrxVqVabZVecYfbAccDdsrGG5UtcJLw5XGMncx8q1kNhr9tm+s516
XtGF5kOr8vWGQxj79aSLqMwrcAfGcY4DKQ5m5v63wa+LxOW4V5v9A/zud0hTxSf9ktExkV32SKnH
vNsF/sPe23lVIe6BaBTbrNAzmFzJxUUyoXq7CLjvHcx+5XhKlcsLv3vmIFEc1JDevMxchW3zZPtY
qMZqTvEG6lAYztGvpbUPyapvS9fCdllgujDTYGdkwba1y+oYDmgSFnyMnZqMXZSU7arxKGEb6qbC
1NLWh0abHsu8i7eTH5eH6TvS8mnvhnrNDZRCgW7OJjnsxzyQ32lLtNJ0cdJYLbBAxm7E/0tQMlHq
QPkM0efLHn3cNoelhrt/qxkoTaaEbfThjv5zGVblhUx7GpViw4VSfestx8g7aj5b1ZzOuoXHhgEq
eXzXU1LdwvePY5JdSKwzxbHay2AOyYVy5DNbZfqshugwWJ7GFJD9uB2Z+9bwfA5hdbdhi9uvRZ7v
5VC0m7iL1KoezOrSTwPGvhKUR6aeK/MFDYj9MUpwphvhGeuN8RD5HFwMzb1KsLssQe6171u8ulax
cKnLewhzOEROOjrHeYpGn6MFnLZFANVtZxOVHL68mPip4ZTnIQjdY94w1Uw8jcBLCIS+bVrtZHvt
LS3Kfh+FDtVx/UjDa9BaK0RKjrSFH/L5mB+Ga0OcokNvo6v2u3bidYDdY6MFSbyNLJyDjV39kJ1O
VgTHjWWjgzXqIy+9ApmKPZCl2j2JpLkOrbh5SIsc9I+D/pCPoK/gYlwnFY2raVCzq9D7tX35UlkK
bpUBBolMjL3JX0etDc+jR+tmVErJzz1c+GgZ6Y3prcx+0qRp7xU7To74TNR8sdVtjGY24TeD8d/g
9eSIo25XGSYlEpINZC90IAucuJDiOEx7TbJ0xx9ZwFWqS3dYVAaQl6YuXyPQCpznKmeJU2vpZ9lb
FZN68lyEfTal94xcyXIcGEPXlEswE6AJV8/+TB54ldxollrW/0mNAFRYDHiggkLljmhUeZIAp6Qt
K02MjaETW2yZWsOtxeFh0P/XAK4wxznmpfSXYmRim1tEqEKinosA2+WaH307+AoqZuwebVsbrp6h
tEU/7YbK0fdE4nk9TCwcTJAqPJV9yjLPnG2ycfLU2qsdBvex5owrCt/ajTC7KQ3+EgPwXcfyho3v
1OnOmsp3oDFfnkrkY1XtCNcQEmKCMMbi0dPtEJXVMJbE88EtO3BORsZ4+HXDx0ohiBMhJ2uVWiD0
iQhlhIIsSRyuy+g4MOKgeMB8+qDhjN0nBhk0wqb1akqgdzG09Dpi8o0LaS0oMn1LTv9rwnSLIIrG
MNkrgBQ+aDyvhwMwYnEX2TllXMPJCq4/loN0lTrI3W6GOiwy8swjysHemcoVVs5x68dzFbBVIUgA
VDKbkB6vLMxWUZ99IspgQ/AjuK9QrhpnEktTDNwl3GBJCXgsd2t/R4GTA0/jPqRgRMGlTiqYtvVk
f4+uS3QoUpRaWdg9jeZ3TD3jGeKdnqdvJM6KW9oFr3k5/cksSZ1Zwz2TwpgAuFNf4LommBUi5Pw5
smC01bsHOGZbJkG/xJLdLaWIIjymrrPxyXE/GWazi6XGGJX1e5YczavkF7BQzh99B2p+poVvmNWj
oaYp02QkZ7qGvp6jv3vhBM1r3HHECofHOjPUW2caD5lACCmiVjx7UruzLKFXqYYjTPCtbApIyGDW
Z0LA2G/ZwTDAyXUAGg49ak2bPNlhnyNQM+ehFLjd6CVsg0jV8m1wRhjcTXM2wsxe+tHRCUyKqnTk
K9LM8tA4xtkrZ1IG81fS63S6COW9yUJ+YuHud7qd2s9Zi2kiDxhWKgTF586tXjubuAbmgG7teWVw
E45P+RxwgO1EZB6IGJkLXEYx5uvhZqdddwI6ki3NiYYUiLTBJNUPZ0COx04VPWG5aDcdA1ESDZa4
RD2fh7Bp7fIrE8RPqXZF3Nu/eRCxNCZHXNo/ytOhW7jFjnkOYH/UCKYXwaZXMZ0pIQP7imnqXkMx
cMe2gdl+i9MKcrIq9tT0VhQVcRMLUCh/Bpiz6Be30MMPhqgPoWeUK6iIT3xUVAXVIWJpY9G/Kyei
CkkVHLwy+gwDUmBR6bVcFLHMK4MquiGE8BZd531WN9fbJNLZuIp2RT8t77x71ySc451bUqzY6uLW
FjWJip3MK+/Dk4hkNYrJ0+SSzFQIGCfy7z5rNfmBBKnQDiXSb6Ae7CYnh5+RwNTmGyeuAAvFOagj
zU1dHjvrN6pnHmdj4wDP9KtHAfRUv9pEK7+t1n+XZhG+6UoSsUbQuvYRXW6T6EEAjRDo8pfBgyLI
LBa3iyagwdHETt56Uu/ymlnhSbr98BPAcVE0Zr+PtUW4ktoTP8tvWK4ZKrYn1iNWEELCm8Quj07v
hReD2xIwSd9snP5N9Mh0qWBXCjaPAqnJqH5kw3V0EQ8vXmcfJpVqTH5+LdmqQ+llcGNnKILmML0Z
CCQwN4wRcjVg2CAkGnRSGV4dGzZbqL14rb1nH4el3iv0Sy41tcM78F1Qsbyse2Pc0j/+WlIaXRba
+OCPk/8edxVYDX78CE/2VjC8HEL7RXoekV3d/O3nwS/7HgYUrd7uYVVka44JzCLoInLM9pDVM9ll
1hpNM3z5a2Hl6IGClHd0ocx/5+9f/MuzUnbKrCjla9mhPxUMQJZTHvtUFiItTYdaB96h51Q4dcM3
wRgCLMypWAPpTOo9STM1Aw82Ht2+DZDU//7B+rxTevGoNSZgjmSK9iqEOc8dZ0bOOTe6bsMG7DSY
ICBkgav6r5Hy7x/97IkOu/7dyEuFXmQw3NCFz7Nhg7+oGGDj0owDwIVJZ0JICNC0shEEke42FOFW
M9KMyE+2jAu4fGURvRoElNYtjEitBjVliAEcR4ytLjSLhIaEFsRnC79c2TUnTjoO/kY2TC8Z9z17
SxL0/bxtdr4Y1WrMmaFw+AmDhE42z+UwQkTyAKVb8GACM6FUAw/ashnVYylcACFBC+IzvU2lewNk
tXLVlxN38bH5Vp0P9SKPLqloBdhLGI/SYJ48JMFOasI+Dng7s1DfxI3j74LCVlBTpKIpJ8JJ6UUX
z8WNFqkIu1NE8ajn+qduSl5yBXp+iO3wFvfJxighS7czkVjF0c1I3U0hyh8fIfFJiyRmGpLxq2Rm
axK+Ih4wde9aPxMlp0wnseK9ZSZj4Jyc6YYEcAs176GOarWPGHk3vQUBPoK5yXzhPYKbPFad2upZ
8tYm7rsdOZumMI5ur76U8BkDpParVp0UJSbI+xxES6i0ZsRLq5PTpW3G9yam9w1Wld4nAccPSJ2B
I2k4ZmVTOgllvdtxMDnEWbS3k3MCV1Iyay0TwLJCHzc9p2Liwt02A161bTVzU4+eRA9nbo1oy3aX
M+CiiiNn25aAWxQcv2DQL7ZDRk+KY5f2oELb8rOLppbprrhpdY9dRy+IRcg0PoTqJaaP3RmsK8/u
NWvjV2kVzt5v8LgO+tl2XLyG1eXvN8rxvQEEibelrPZ2XfDiKCCRS1K8wp1ezSA1DzLnOVaVx7Gw
ayRdSETKxZwYauO05xSEfKDAdEjfn0tEmCumwMbH1NomZeLsSU8lmzjWLh3cskZkBBzHtFy5KXGY
wOR3Yu4K8i0xu2XoM5rUx/aJhecxbMk9RCmbSEJdDMMqjiMrkA1y0acXYr7VIYjyxXgphsjYFUi9
+7YMgkMlArnTGopYOfRWvts+pGT1OQRWZ2/ArRLGTJLHFF/R398/1YyWU8/sefIE3Sel2JMNFHtf
kbUUfL+iwPVmBzOAYE4JjfOa5rewbqb0PXGai9litG/7flzmGvso9jLPRomPmLgJeR0iQwupgj/s
hmBNBhh3bCU2uinu/SCtpd9pN+qNI6O9GZ4Bfb/pSQm46YqQwFmfMDEGU0GNoF6/6A6eKc1RJwyQ
34A5jLm6HqCovtF09sqMrDHLJGBfXDsmCdYOG7srnIWOdOz2oVq2xvjTZ+91OaRPpvnjTP5LOoQB
HGkcEl1J4VdroRGPnrlJ6BQeGW0QpMVHo+W7FoqtVAPFzS7tFaWxzRRbpokatcb0rlFgfLQGzVqt
2Nmt/t6gAe5zjzTfnElp2jbaEvGZZB0sVWTRjmx8+igSC1E2UA9H2MlkvRbVSA9dYP4UWumfzu3o
+x8mShkuvbJNkZVRxgIvODj1bCmvmd+UJp3HYtQZhgU28aAZv2/1l2ZQClhvRPWB9DZDmEZHk63+
Q1PVtN8kDLi7usAEs2KussBkjt1JGN/9AP4tAZpGLFAK7kvnIDUAsuFsSckto7z0fFUkwOwXTbSa
KK0qU7oVarKIGBLppkmwgK00GyORWzM29Sywp10LXJ1pAa1seW5BS6csxucEXHJbwyoEcTMl1zgr
d82Q/5ScdbHjEPByYQNpyXAp7sptNj20glRVL77GZC1RybWeTSB1+GEqUle6SDCvTfFGpO5dNSxo
OVLIZJ55rtcR4yMCWT9Fw+1gWuXBBoL1QMiSEXQ38FzFy4GSsgkm5sIuaDTB9FVC6yp1KGoqmZkr
lEfgtRpIzbRM4IdtR1h74Vv12eRdskg5xkE0WmnNNMPpeC/k7FkszI6cP0L724tAFckFNKKnAb/r
KrYsLlD1FjvxO0jSn7rZ2RVXzpiLHdx2I6R4xIaDzNoln7kyTt1Al0k2UJQlexg92s5t5DbQs2+v
KndDPmSrpBF7mZFzixREJ3bKi1R3uoeu0Xf2jA/jUHXQI+1aUHWM2jMTtZgkFU+eKqivpHUnYn/D
5ujGM9IExWMWdj+OmUZsK53XoMN26vDhIFFUUXFDYNqHpvYVSgvoSmKvizja616LGYVlHnvYVuLb
NUp4eB3SqmVb16pxsDAPrLidDc84f5386s/U2z/RVN9T28EyNKwir3+pCTD72fAH1hJW3Wo8aaH1
pQ3l09SnD10Ufne6cXMnIJx+t2Oy/94lsLAigGILMSPP8VoPWqHP5IpvA5SGNKli9bgOHFTOtols
yjFh54cwLEVg3C1H7MYi3gUhEWiwI1XRvOeleO45BfR5tE5YzBN46PVM8Q4AN4FQxj+yVG6O6iq2
isCfxQXFjBIXRgStwfr2FGQtfG4LpjPw0JvkhdgOP6Osby6nEJ38Mzh/rWTcVC9Hr/hCBr6qnZ1+
50xCtao6WVXPi1WHNjVBAXtI7PGUN+VXY9q084yk62jgjobsZcCkxUGK+VbMvqyhZm7Mk5/R3mWa
5A5P5tONR5soRUKG913J/t3uSM9GBvvHPMPxVlBgNlFGal2x0zWYEDJ+9zxurj73VMCQswyXkgwl
iW0ubCzpiyGROY83G8Z9TMOwPtT4Fh1yL0zK6WbCrUlFXMveWgntKVOcguAbvcQWHZve3hfoHzl/
HTrfQ5MRyQuq4bfAng4iwL9XGmPx1Juw9qe0kUlr2lkRGERcbVxQ9Vtn1rkRWBtKVO3Wa1dm00ag
6DP9VOY/cPxWTobT1VLWJms9beu0t3JK7R1+EoXGgW0bOpONI+hFwCn1B3L4Xid3ja9OMq4Vp3K6
pCYJYzgML5iY2Zgi5mQlxVKhxtILPwm+dNZvqk63aOSkFXmSw1cQq4+sLJiLqoOr5pmiRFQx0v7B
GyHlIp4eEkYTamsXZbfpdKqZShksoxSjl1YhS9mQwhoNoImpU9Y4+bzxvJozZqWY1IZji1Ql8/Go
8ViZCSD3MC3RZA3xULv0s9gGSYIB0GpQ4ILRsujTUTQPDzqOj9QPMUTBghUDvgHPJStvhsI5DhSP
UICAKZ/OIZEi8LuECD32QC0+uE7cA4NPuT87wvjMkj+k+q27B008q4iPmEDmDszP4UyD4txFeZDh
7tUTlusK/xGgahma7DEMdEnqPmGbUq7RAUKrTeaRUZsjl9sNgHXEzzLsOKkH2kpJ4v2VoOiyq9qz
gCP2Ry9wuvVT7vGWG9k2KpJ72pgDc+2eR1P3F5p2mwpG77WLJKG7PnB2jB1x5s+DnX4RJzR4hrAn
NrwX7a0JQXZpNzEMRzH73WT2gs/5WgXBM3w16OhR+Bo3FepTb186Fi3fKM0NSYWrXtr4shkem56C
HF5h6wkDqEdNJ26YPavdqGyOLXH3VangucF3t7DrgHUnQFfNzWql1/UTFDGKVxofEuAyKSmDNcZd
g2+ZOTjPVVTwhigQ6tfVxNPp+RS51jY9ZJal/KsNoUoY7NZGbEUN98Gx8idcoo25jRvS7qbn/WYR
RPuMtcqZDOo9S2eryhkFE71Wo1ZcbZhJRsVt2GTAZZKwXulUvylSDaGvY6Ayqwe3cOO9iSbCDiT5
0+aaCYnuHsRuuYt9DmHCT3G2BdNHLVKH+xqTVKeqdZqUdzKl9doSBBzFSCwgg+WmpfKzaKcEARB0
d2f5GEdhT5p4lBdxx3m77F5Q++klan+ietwPVoo9v1vWZo6fVHPebSe7TAFpo7zA6GkRKummt6yG
JO742dPg8kPpj55LKAGoDjtecoP2h+n2T16GhOEbhEcKgaAQYFTQsqlcc6ooyRmlxUDNQtvzUQc4
LqpRLwCrriM7S7bGUG8Nt+XB17SF3YzGYpRANp8kkk6II2/hRhzgdML/aS+Zs7tPtSWBg/LsDlgZ
kDFhKkfUXfKM+7XZc9aMGIbFCArMIW5jBZHZd9HSax06DF8c28FvOn6LsTq5ujRxMjL2s8LiZoYr
A/CaCOxNOkbnIq0+qr7hjk3eBdtdZxiOIVBh9N+HQitoknFcmkKs7hrPZwMLt8uYnJr0FfAc9rfY
Yc+llz9TgtkM7IL0kbusTazT8Dj0r0wXV2ltLSvTpTKh/Z34SDph/3hDAlGi4Lv0AQzJkkj/pyXr
lRmn36lBzbD/mI/O8GBgunP9/mjqDtNX2azAwj1WNO9MNXVTAU1FTnAqw/qjBrBb5fULuzw4yq13
bgf3pDnRMiBK5GMeTZ67tnkrhNzP36sS8SnL7QM71k1jvZV+9cDEgsPWsDd4t4Z2v5FhdgjSS+lm
b745XnvdufltDYp840zdm2m6R66kj63IpJlFRHJZC5d9CquPBUXB2JgskZjmaGjNgQuySFXNfD7R
JxrCJo46xYjnh6UyTAk8jdNzWGdvA0JHA/hqcLtj6hQHCIT3xH7mU6Pbd9hhaFm1zEOqwb8IGsfm
69WSSYrS6MI/edZj4KrOo2zqj75A1YKO2S0IICAcAQGYk3iapEO238KejwgfV7xaUt6MNtp6YVW4
IMfyEevxa+lVfNw1bwDzZjrwwBtcec50dUj1V0DpGWe/R8KqYVuXj7X/mBnOuRzVrvLGtUOwJGNb
vOhL8QJMaw3TDgxBRldFix8r1ggvkhL0+8coQqnScOYscoUZOUmil0Ebvpkq4v+E11Y0wdVq4xsw
UbBsSbcdmupgJ8wNas0G9CNt2Ir2pTQDOFrqO08YuKqy8JDJXtCeFSthhRHNxJPo6ObFOUv7A2Hr
kIwdpcADonUXbXWfCprehGBH9TX9RyyPdnsNnGHVcI9oxngKbWMTRmrXRurZjNh4a9Z6aqhPq4ut
hMEt8F1Lh6lLAWmgGJgqkfn3JF1don2SiMAN7kmW3c1gz+xvXz+aebhKw4xGzHnRjT7zBNWDd1re
nXuM65i+lthl3+CYHCrNP4OIXNWNd2fQ/tbH5NTEAMGaWJVT6q9G7wmcfb+Z5VH2l9aPI4/8wnAC
Lk7XUzxsZAe2Hseys3emTjFcbZD+ks8m6kPB/iVPTWB0ISGl4pPx9Xs9eLTyNczGzXTj9n8yOyOm
4R9tep8qNi4aKyoY5K/JqL/b1L6PpncHrMKpK3G+s8ahSs5ZaZq5c5ryhTnmx8ResZUfupCPRDt+
41LdsyxexyJ+ZOa866mGiKm79OZuniy66KQK8/LZUS11jzzKfvJl6syBHesJZiI+zPYPMsx2xh22
FKRqFBIk9XvKU69lxRED8ZtZ9O99g90ygDzREcUhQnadGMFaObPvwMRQGvMCov0YQtFeuRFdufXO
c4K7aRnXnGtied73HEMpe/Wg6mqT4/FlkgbEBvZneo2GZ+ZLP3L0zmVgnuuEWlMaNgI32iYqOIbT
cPZIBlhadposmD9W8RN28KDiDsx4+2bxUDl0MzijkS5DZqax/pjU4TsG7H1Smeh5HHBbFhMesFeh
CVCr4ZIkHq2iJaUbxVm5/tbqGKboTX+xpuLSm4B+J4sWGAP5mfelF+xrGR9bo39GXHqqeKcsJiYi
OTBCIIOrJufWZvUUMD+xAe8lPvm24Px0y0SvLYi4QCShFK45kATk9FVBXYYN7l7EOFP2SCly0IaQ
Pd8s0kyvMrgaslorEkxUYxYx6wxoRrcmXSAzRCv8jDK1RtwTxTqHqb8ILnaXbP0mewZBtuosUom5
oKKLgFajF5ekocPSfbIiystHC3MCCn9gvokxszbpgATkjk+uM6sxfYuSVlEDaJ+i0bzid/6yBrUN
qgIz8HSUTFHraXaY1x9pG97y9NlXSi4s130dvQ/pj7tBDH9yrWCSYpiYHuObfPCm4d4b5Wffrruq
Pvaw7pQ9vrtYitPYf1Eej1xG2aBNKc1ohicbFZyxCPAw6KCayXbKqvLd0JjLUAuA+LkpozEmG/hi
sGAeeh8tLmUYHdPHp6aNjNkjsWKsHGqnph5DpTs49EJpyly1RrYu2WbRY/JkaGOw7FzjznTr5OOL
xx2w54yzDe3kxe547Psp4LsDTkd+IFmxzYyK2w/hSdhX9rw/I/9fGt7Kh8w4GBenTJ8hXW4C6xHS
8ivZ2CdHCHykbNX1Frmc/ElBuicq1oCjEajJPzqG/Tv/u/HoPOpgI1WpTrALBHQUrDrzP5jaxhN2
8nCJafY4BO3NV9R11dwpKrybKTDnLn9xHypjOgkDBJUcCCnUqtskwiMezvx5/qIhLV9bN+C4F/6Y
tWpwqDvPuVk8tmoNb4zUZ5JnTx6WEioAlnHqfwEXIdljiZs+TbzJ/eXEAW4h8whlmJQ5MMKX2YYa
iXpdUIVR4+91bEQRGFExU/miIWqFwFzH2olsPyDqkdcBoKHK7S6+BO6p2zvZ15dRc08jbMiA4HQ0
WTv7DdB99zA+d/jih3AkUEi7ffgezFJmn/9EvfeF2rpzyKvN5l0ncL9KTMiOuQ1k8iNt7yQVAbPR
KXeeXn+CWrvJNFr1rdrRCWPz2gRIyShHq5MlqOoL+6Z4g4T30I7uR8Y0bSmYkCdJDle356OMW5ti
XHtumHO1pctY9SFqCPR32AaYQGUPZAvZ26bm+7xkBvXwhkOWmt00JJRWXxyPziA/0sv/pO7MdhtX
0i39Kgd1zw0GhyAJdDXQmiVbluXZviHsHDjPDJLBp++P3lXVuw7QjT591zdGOtN2yhLF+Ie1vnWC
LBXgkQ1RTZxhKR966olTafw/EBz3v6q7z+JX998WteiPqtYtb4T+v//7p92fn0e/qs1n//lvn2xL
gCv6qn61+uFXp3K+lR/0j6/8v/3H//j1/VOedP3r73/7/MkJvEmQHSU/+r+iFG3XlkAR//f8xZek
jZIy+Xe95p/f9E+9pvuHWOCLAVrNP2WZ/+IvIthkpuF4i2TS9dn1osr8p2Az+MNxF52nadpS/glN
/KdgU/7Bf2D7SEA9FvcWaMZ/PgH3Va4jEMH/6fP/KFVxXyVl3/39b5YjF0Hmn194/Pn3v4Ee4f/n
HsjP5GGY5kKB/Ktg02fBVlU6Eod+piKkXyU5qky33q3bJx2SFArGQJX7haSTz95NP2K5G8ReFi5B
PYUd9iedjgp8m0b+5t1VmGMF/QBtUMt0uG6zA2EW28Ako6Co0cy3yRaN4fOMyIFqgQzVAF+FjQtC
mXqTg+4OxfTgMUtjlXZqzO5RWs+zj+WxKzmLvOqcC3KIvPgu+z3P7SsxMW8hti2w5Zx4Opo+xu4+
eWndDpH5CNGVTBzPqj/SLvqaFmpZQVxDhP45seSt33Vkv+NJHoyjxufWbmBh4kbvloAqzxv0wfPh
rme0NONi6o3gyK3CUl4AKlunrgLB5zOYyNxwGW3GE3kDi8/fceSKVoo6oZ71hgUvgqDyt1eQsFPw
zU0bKPpPMVLXNJ/plMOcYFvXmi958JOp8JOdDOc0CZ4nARa84JAh/I4qgpfvIcF4vlu0QCfYD/wy
7qpY0s9MejiY4XAKKhUpuk4DsHE8G9zmSggmWJcTTIGhs5nQgjpevOFkdt5SYwS+h+qkn5nEZQmP
30JBvLV8+93/JiAxz0PFULqME1W/y4J7PcYsfg36gdmeHWQAz7XmoQURYiUZCzw/ToQVbEIY0CyS
jMkXx3Yy+L4h31cB6l0WDlxtHwpc2SpcyGRFZ724SRnvpNl0p2Rqg+Mkmd3zfPu5uST9EHiS5uRr
BE9jLPZjVP2cfYNAwbDajRauTZP6DD/ANkXpeeoIwyxdpnd+eduKsT1Zoqx2SeyffDBAyUwU6QLc
RpCUUSQJewH1yZVRFCObYH9tjg7nuY5vspYF8dDmYg0i8pGlNXROob/wRo1sxInYQgd6y3oy23vL
te1Ozki4aEpBsICcvj+0BT0hUMRuZS0qQqk7a5Py81eDAFPaLx8cZayKEbBTsNDLpvw9aYN3xyxu
wxbJE/5Yp+h/ZD4wpj5rYGBCEugc34PgyTkH64VYSzf/XSyJVd/XSNJFt7yfE57o6mfuFa8tlodd
mG8j1XT4AZlfpJVnHkd2M9LwutP3B2aNx0TP497tNPCKZadOYcehih8TnpxnSBc5D01wNvgT2Adv
A7Ca+qdozmnRPmdpTxA1o1Azc7ttOsiZRUK61Jrka44l47Aqidh1m921VTKjWZWUzanc9Zl71zSu
sZdBjmwzvfeaFl+OG3frkaaHNR9oQxsBgOUk7CfymSDpYNdHZk+OprrEKcmbNcYq9AjYqvVYmNt8
pG/tjOrgKaNdyw512MC5Cu/fpy8fzEvTsONNQGMBQ48Pfz7OxH3kkBqBx0A0hbmGt6Ua9lSUzBTH
+NOPO9Jc+SLxTXdaAthGNADzT3PhO1rLh3AmFHBkB99jM1OmvRKIQhaam+35d3Xk8dRKVuJVWhwn
pn7d5OmDWC6UxhD5pgg7vVIKbdDYRnuP6ZZnlJ9jQe6b0uI+GiF8K3Lo1m3ZfWnPSnZIQ/WmUxbC
OtFcXcFbG+v0yq/1MeQuf+JggzMROeprXu5vvhGL01zQnquo+T35CJcLIX+Nhn1bGQ5pUz7vw8YR
d7p2o0fPcOpDFPEqSK1R70wQ2APWhXdZQDShKdlepdjV98mYEDacdOoRDCPdnrhkQScRRsJ+tWRg
XL4/lHjwEY+XSfODx5qTQD0zFAjtoj0V1lwfW5S4Jhb/NWvq8Op1Vrguwe3tUoiKfJo0t2XnPHRt
eNuP/fhMX8UMeYK8uozJ1ajks1QxSBrgH3N8zFl/34mG/pE5fn+cglmj64taGmcnulIIRPSFNFSt
6bY3qFGdtS+Jd3WHHGe0Q4ca29F8VYbbHYum+ykKnLHc3/ONI+riyaqIXmza2ntOjTPEVzTJ3PWO
hUYELEXd7Hsx/pAZ9IXM9rODmQ75I/Louw9sni7LLnnsJHSLxrg2ZEjdtHHxEoVoquLZwfrtUwWG
Uq2zNNMEwlTijpH8OZX9o+2n0c+5YNjBgA/ANjNhxx3ukeg9+3mSHy2EnAVzMg9L/Y7pxbe4xL01
Ku+rqHN56DtVHfqy8O+VfW1idi66NGf605glUWHcmUPSX0bErsAAYo+Ex4ajyqza82CzlLc7F89h
bokdXU/OE6b9S+ByF6ha4tCcYERBjJf51tRp9pzYAHvNpHyvkmHa11I+WoKIZaQMzVNI5NUKlKjk
1mSsKyh+n4zm+a/apL2g6vmh5Rge5sVnXy8sGm6deJL/8x9Zqsmb7w+i0U8zs61lz/aPv/r+4nL5
5u+/o8fgJ3x//v0vTuL9TIT1qWwyn0VYuHtnvsuGKH3B3rtyvB8s771NWOJCJy2QmRpzfsplrFTS
KTYNVszHuZrPou+6i9H4J8ES+zUy5QqbYD7clHLUu4Y4sSMjgvbelrBDaJaYRwygX/714VsMMpBF
wRy3vFT4KojDENYBvTh5v5FB+jKTpAf26loOLEsramFWUuHeixQZIcunSK8L4DYg+YAg2GZLQiTT
KXLkW9I/Q4GyHFXvodcmyKFIXSf4pGsOGvMQ+aidHVapsQQcVUM9psG1bgZ0BjdpYsM2EtwU/O5J
B3pZD2CdlyAnNnAryZA2UeSVGayA3s4PnUdQTO+mH8rh3wpR6pNUrFXjSB1ZltHBxOvMTd19Y2ak
qYWGs5XPubEmJUDflk2e76aAmTweZIi3WfwCoqC5jXIG3VbseLuSCVz9NWbRRM8Kpmwehp+k7j3F
WGPBzboHm7njVieE9JrBLzefrH0hih+qlF/k3OSH3gV0hNWbZOMa4Cz6ThzJVARgVi3vYDgXhNuP
/FZvTleQcJXc+NRs1xImdNcOJw61mGEyM7xs0Nu4v2usUr+GEW7QGZvyRjdO8VDY/jGoIn00IEcN
g3oR1Dlb4aCuduPq4nZGf2MYo7VqWxYq+PT9K+KWVcdKOHIZKfABa0fGzbPGxLkM/fNhZ9C4bT2v
JapugDuLBhWqahZdMDXR3w7gLSJqOhLn9pnDE6a5KzKVbN+lh1M/ZhuApN5ZZlTzAzLgx2lIgW23
JM6pNw0tlaMaFUgr6g1/h+O7ImGV7nBnGjuIg0Q5QkFlA4/epu8TMi5oDWNrQMRPIbUJoVmidhwR
RleKuYbkVjOIT1ak1fbewuA1jKxevKlyDiwj24MCQMArqu+y2M+MVV5I+CPMfDZS1dewq4grNlEW
WQbzAOJfNtxbk3crHo52IfOPQkdbxzPESiXMHorAxlblcZvrpiWdsUEl1LZUXN2kOtQS1Fk+v9JG
xuFPNwMKPLfEXjvEq520UaRHCL/X0p/t+86wSebyYaBNNuWNGXTqMEM5WklgDmhNdbfJ0EUfWq6m
puLo8BzWITV2S053wdRQOMRfN3QurMTUuB8RPh+M3h5XJkFv54CTYJH9etvetz7zOSDyMTrnZT7t
NeQqm7E5UhvHvMAGuE1IRr0BVL7vbFU8uXDBbVMmO6Wcx2SEYU6W102LCHMI2Ko3Mw6W08T1wpIe
L74sPxqvL65uwUVJxpaM6l0+Tv3aB0eOi1lcCKT21KlLM9AaTahXGF2R3UZnJihIF7MRpTuDwa6y
S4xFvO8kC8CW8w00F1cVVu4vuORs7ZpXAd0ID9TnlFgfbaT2beiSlNuWlxbZ5KYmfY2lM2nHbHl5
dllrL1sLq36fQueQTTSPRXJlkW6vPQ/2Rgkp3J31CvPTF/PPqfCfQRAQxIOC2RrtFXkVywBTdr8d
kPArYq62/hLIlIfEnpTaukySksPCBTeqG/pASh+uPujqSGQXfMCoiZJsnmPYd5sqMZ7LfAgoyFRM
LwShYY5j3mbq3db4FAYXr3eJJpZ6hlaUxPIhwKM/pcXraLFjQGz86jp7aaAfdbFUNHq4BQjkr8TE
d0FEfbeS+zieajYXb1yLH06Bzmco7WhXy+69j51kb4nwBSwzHO3M2WeGeVNrNTIm84ASQCpyBCMf
5DOzBdeWzcODqynILMI2JJLjTYbD0VsuWifOrpnx4CHz4aHYVFVt/hJplCh5XNZsOhyWUIW1d/Dx
oPKC1VR1RyvPOeVdzgn2seQa8ERuBCQm1eGCJnCBY5yXzyzTd0X9zzpRMpscWE2P/LJ9Mf/OyQDN
kNxCGGbsN239+lb6pLWgBCAvSx28DgMj/cmX8qcvz4AQWbKnBsxVk9xuHtrCIOBLbDuyLjde3wVL
bBKbreaXTMKPWXasG6aM1ym/IwrX2wI9uSFSxIKS6gXNQThENzrQWx0CnVSEj4fhMOwb4d1XGfm4
Q+vQwPfjwR/dGClz90Fy8tUDg78y5yYEV9stCWdrJNsHJwBxPWQYvvwFK5Iw/IIb3iU3bV3/iLwA
0keS7FqYQGfh3QTj/EU4whIZS1mFruLGHZOvyBm7Y4a7iPr8PjW1YLER+YhaUzbC3Jt8z76V/BOH
f4TYD7laRkxk2LBcnlvAdiL6MVrO8Cb9iNQ1rzxDTdnjSHxByInM3mDhD84aSDU02EMLOHo11qr5
yEKyxpXhZZde+yidjdnf+YtuJ1icQy4dLZh0ruzBHjZW3R6nhSropjhUR6Tw0BytO9bw2W3JAMGw
1YsPyVsOuAFU8WHaZM4Uxm8jtdRJzVxx+WRHR9e24eOwfDb7QnOTAlk5l4z0tSeQ1gzqOQ6mad9g
Iwiwv6yA29/2NpnyVk7hVA0pmLWeC6FBDPrkVvERZxunRalZRfE9zsAIPesGtU7iut+XTvNqdnP7
nspabfVEOmXozvbGNbqODgR0PZj2kjXgpA5GNuMcKvqzb7u3QQk2KurEWt0bcxhsLKCQe+GRgtqZ
BWqiwNcrie6kY9VdTkN5V9b6AXMhqz3wZZhz2RB2zpX1NLeZ4omtbbEqAkBBUe7Uq3j0ja1l0EE3
6AGRK4gufiDmB1iZqi5A/B7wW9XbdMyydXpXtAU7MGzWm1j6MYSr+BI1EVX/MH+Elvml2Fhx5ffD
mrigL243og8rdKfoHeyOVARBNEV8Tga1HOSD3nlAvNZdNwIM6ppo24R2uwtk7O2R9qzTPMpvSzMv
jyU1wWJf3DnjawxmZpMj0RwA1QCCxvffly2XezmsrDb8HSbzb505znWJVlwF6XQlMnUxEnEoeCwS
HOKfYZdzDzBnLDtuazx5zQdY90UlHr3FbkRXjXW1ma5C+4BqLesTX4l7A0D8Hp7MIsEkt83EBucw
QAZ5ZN8FVv3FFVGIRftd12c2jOhTTMFmPqCKoIWK8K31z+OAclOrucfnUpObC2AflRtpws28Kar2
JQ36B9lgmMHzQwQzOS9MetgXyByFEfpmOu8XXcmZ6IZGbFSiLbY6mCW9ut/MvfdMUp9A+V7BiDSr
7tAm1g3eY7zlfbm3jeArqIrxLTc/Kir/Hb6f7qCbUi1bGXGYZ5LoGHMRJnVcFNE5Jk8r8179sXrS
ZBhuw6CbXscRyvTMzDBM9kB/PsYqdNf1HD8LcgFQzRnIVT10LkliRR9oabZyKgo870gjQDfwQuBK
beNDmbwB82IKGLAsMKDlzDK/6XIa3tBvb+eCeDpBVRcg2ihCWxE/Abwddwb/g/VgcI/cFY14SsOQ
84hddRTKk44bwZB0arGwg9x3+J9qpRHNTdWvEvXJrpI/WUih+sR7sKkyo9qIxVjZFBfV8IyxJ7bJ
pEkmTSnIrOigKqIo3QXXMcyLBLY2mM6oBywgH5oHt8P6z1DUG38WMkbCVpj6ir3rOnTct5qJIFaU
WkhO1DLsGNu7XHho3W7M2FJkh1cgb9tTmPJ1bYZvIp4PTgn9fUYqLEdrHzFbw7Za6KPb1bsaKshJ
jOo1aMHRO9ZL1y2g/MljUVM9o/B7lKm3BeFziDJ5YONZHKPBzO7rwcjuU8rBk2sGj1E9mDc+/iGi
8IY7l9tqZUvjwmxL1uei7avboeeQNYn39mKjWWk6uxsG/OVbaXBjEty8s86/Z511T3ndbFDHHH0j
EndGZmb7pOasooPPXNu6BV+4bd3QvOc9TOFLouQSwIOJEpkSpd3KllgPe1eHbDx7bucFEicCSzZu
fYcyCScxeaccrLomMDFvrgMpt+vJad7Uj6QwMUTM8gOLfUIjXpDWqfJHoFI8b6T7ORgGt8aSZ64s
TvJKWigImAvPUOkYvjc6GE7+EtVXoJpEKWpdW4GwqUwiBkyk9jjFsPcNXh7y0cLgKXMmxSAEAXOr
zN0YhiuvzTFMZ4bYLuygJA3iU5se4XUuGfSASpvYeY6QFHKocc/IbKTwlF6mvp2XkIwmJS+CSg7X
o5czTeFWF7tLoxFk7VkTx9tFVzjR3NsT1qnm1JznwGo3QlvcnUgAZWZJ7c6FGfdfaY1N1YvBXU94
C2fBHRqj9whd+AtyJIPKWT8Bw6cotsdxNSjkIJn1K4f4hiGN8WNsyBc3/a1S+9c4t7e1Bxp1ypN6
60dlxC8DLMlPSAiY0wn9gPCuXrSgJdmKzFFDfgoGby7L3u5fvFoMp8l1L2AdohU2LfsSkDNpj+HP
DNHKyoHnemwMj/iMMftURQYIyX0QgvtoN4bP/uw/TCHcAh2Z1i2b96MlRzRdYsjRN1c/ZkUGhj1n
yAU9Hyun1e/rkcxYzGsLRyDGwT99DkJuxFAXm9r7nDw8SF3+GWBG8+H9L5DCgr38Yo9WiCGhy2E4
VwRt2fbiLjTSu6GI14EF/L0dLr4ZXnkG2aOH925sNfshQyENTaMdyZcNI1GuuX6zTTQN92MAbrl0
UQsNQb1WQWbtdDseBRoGrSuP5CH1y8heMU+uS8+vd6207+YFw6XmasMSBeOVfa0xqYKAguJDQ4k9
0Z8SYxNgGjkM7j22uPhtmttxy6xErQikZxBNSw8xdKRLnMddj5IineafRgW5zdTjT34hlDS2MvZx
+1CZcDGv8xyNzwOYc1f6hFL37p2LYh/L8wDehybWDUMsnJ6/Bfe4dbgPofVsxo2VNezUx7Ns2gvT
WJJY+/hBJARzNhidBDhHtLHeqY9ZLUEM21qoXEiG717x9m2dAfFZoniBSKTQGxYc+36o8ceXzN/j
GfF/OO8LSQYpaT9LuFVEsw9pOC24uy4Ianz+PnRr/oYkt1UPIfRg4PrTSDcuQxW/jSymtkkCDTkw
2Ft5lxxbQCOsWzTmD6qBTVw5+dmF1cbOjqGOKqKnYPpRYGNkoGixd0GNKXI6QEK++40NyXhTC95v
JccR3kV8qfUbVD73ZlkWUrtiiFPdiNGDanhl6HaHRLLftyaycrtRQDy9EQo4MlYqMhluPG8cVn0s
cfYMFcIDxgp0e9ltGOu3zu/PVTnmN02hThPsp1XeyxPW80MqaLucaWLFlFc3QvbdTiWYa4k2ulMF
GlFZEmS5pGSu4xK6Y0zzFAcI83PvuWUEO4Us+jLNyeITdTNOaAaxbCz/mozT2Wm9S2MENzRe8DeS
VSReUh65tNFZSCYRI/JEp1278XidetxEFqzS2EB8M4yQRqwn89BBgVdxexZ2xYguC0r0ZN06xRkR
JMX0FObGVmDP27BNTHcNcUHRIlWPIkCC4FkB3Q34ZYxeGJsy5QF6uj7PxFRslxLY8qJNGQ7JhtZc
XwCdgCWLPhua67WtFQAV5mzK9Xf9NDwiMSTRJXDgU5hoVoUpMcR2LshebPTb2mFH2GVMxpkcLy+b
CQ2XgT4Arm6+zyJ19sZy2IVJnGws69FlrbONao61KixRMXTxfmIifEwWWxl2WotVTDmwcUS2djGX
9L6J9n6M8vnWCicoLaiUXX/coWfGxVyOn6M2MDY5DGE6YsaOg18dZ0VotQ2X2Q5wsRjAem2w0Iiu
eJ+1BwPoAcY2ONTRe5jBgYPSu7VTx6Am6pEwtac8VpJTjvABn8TYABCjx8x0edcS5Nuz8psIb0rT
8NKX7qfZ8TIQ1AR3lqZBgzJctyTwDl0KenuQx3abZajIpcB0bhbHxG8/JwFqnX493wISaG8sM7oo
FPho9fNfwC3THf6enyC1nIFWzYbPss8jemS7HtRVwtBlCXoALhtuU5EfSPZcD1Wr1j3AjsTLyUY2
bAi00mSrCJ24HLwH03H3CRUXFIIk5avrYWMCUFzPbn9BHZAcrTCh+AZ22jM/x7NATdI8WvYyuiE0
1u77G2X7+w4K6naYYt4nVu1sKghC27TikXmWkbGlmx8xljR72TyrudT4BjGbiTjdZ7o7m51+Dgr3
mRyHeqdT/NM6X5RJJEgPuiEkFgsaJvnhq9fyTY8l+UcO6zmYwA95kUrgSsxF8Mp8xTjtNknSVFtV
sYIi9MFwpk1eTvYmdynZG7oRD/kd3sQpT8+Wv218gdss6syDCuYjMXXbks0clVY5u59kz+qtwSFx
SvOyZD47OYy/ynNRovyDEM+CKS/fsqxe12X6sySVpB0jNhsSPmhAEThxXHXMPrf0xEdA3/pFN2fY
QMOHG5M7aGYmuoUjtVjAn4d5PbnVmTH2rcNwHcnRYxlUV1tZ3a1FSE0IzXflRNUiVLZpPoOJqAvP
8w/A9dMVZRczZ11XaBgXd21rbV3uXkcjCfYKt7yfok7+UdKfbkiudY9ujRJCFhbuuyLH9pCyq81Q
9Uex296SLUwpI34nLOWAz6onYYaMD6T3plA4JYUU98JQ4p7pHKDDiGGwrdw3sgZmkEkUDYzMIYOM
ObSLwX0zsU7gHjXNiJY7LjmkRve9EOTn5NZ1Cu6SvrReOSf4vVOJ4M+OMPnNipmKD5XQY1uaJdW4
dXCe5Thys4rXFd1vuBGdolsKFuOf5iBDFP3SDx+hwrc/m22+15O6JlIVmPLijQdtODfwuzreMqRt
+Iv6Hkih3PotrOiG/m6Vtckrjgth9MVzOxWXnvnwriSNueSY2cYgtoi+6LeJTs+8BM0jXMt7HWpI
9Qg1Aa48aOmfh6Z874nSWUtU4Jlrdes+w6UkCZEwLDkdXI3EpK9zpGG2vQlr1t64ErKN1/7o0nwT
DhrOi3lyO9flxkBQiZ6N6zBllJA11qOZQJupsnduj2/HkXmytqqlM3A6dNIZGXFEtG+Rrnmcqfg3
WNdQCgVrssWhwhfiYC7up56l1taAII6h86C9Yj4WMXL51HIZKivuqQNbsXXvVV8DB/5p9n2Q7ejP
CU1G3m2VrziQMmba4cVebL0joZUHpgZdWyBZbUqsHSQFkc22bYg1pbBPj6IyTnHQX8yO94Q9k8+s
Gze4BmGxy0L5VcRDs8c+5aEgH7gv83TbLeMmi0Yd9w74gDqWMYqc1LsLKKD8GZtTVtf1Ykxr1jrm
LagD54zs+Fh5gbtBb8GdwDXOXVP8CtN02NFJT+Y7+Pkz8dVQ09oHV+nhpvXa/kj8BSy5gfoeDuua
exvmLIK2osB3DjnJ8YtQMgWZVrmD2LglAV4yde/ifkCkwByNI5UGrmTtzmW3yicuy4J0g6FTdGM9
lcvMAkxP6QOcY/quLny2uk/RGv8Q2OS5rnGaQcntSAKEV0exwo4cn43XpJt62emXSXJElqm2Zip+
zbrIthEQ0VWUEk0EY3fVsNQ8GnXvHos2vmtyQ+5QRKWwC8z2CXMgfjEDXm1LECcfDOs0IBAAzZCd
zGbaZMMidaz7ZJfngEjcgNRDPGCnWWG7IZkeHWKMBB6InJiPqg4fbDLBdt8SDvxkQOc76+D6GEEn
B+npt5iCk+DizBXqTz87SdvCT7ZAGHiHnRk9M1zp6ycyDqrToHtxiM0O0eEILUwQexEyAF91S95a
62rG6GF0/H44ofSYSfLpJksfx5a4MnY38DA83RNZu8ipiAiosQz3Dwy7mx0ZcNXJsLAlmLBTgTLN
xNHi0CNzhU1GtjFcdVVhrfcuRYCGwdA0PqEKYJNXHXk+GzzcyVoSebx2lpiVqASajB/y4qglRddM
ftR+dRhH3hwSiAjGuQQfgu7ISQh+Dt3QkKyBBouMyhHM3XHq0jUAQXh8RfGgOIfzBW+lTtWiqzG8
8rMyC2sb+jHOx8FBbuqDgItC/T4PJAo1vfc0m8pfFQVqDXJd8dt4bnXAv1Fsu9n4gNajWK+UV5m5
i6uo97Cl+2eEXaSIx9YH4ejmiT0RH4gCPiYLiSeuuo0TUcPg5xKr0MHKWrlLHOlDZtb+NnWIEFvy
wL4/NFl84g037XG7g7HIkjdZuo+x1HeGTG5GzVxbRRPAL7Ej54n9nB3eRPzV1k6mCziC59n7REk+
HL/VQHlAJI+bYsRw3GMmrN/RkoGY4qVYZ0EoSCoimwBNUsoMrHG2Te6gtac/x+eU9Vt879XKcZFl
oYV4sS1BmA03ucAbSmx+wj+FWegjXPOJ4UNR5Nt4AJlJLVqZWMuv3LKcbZiTwBVrLokee8ba6utP
WtxXfxLTWhfemQNw8dcATqjyaD75wPZ3Td88II0at0nhPQS0Ay4dSYE1huF8uM5Lpppa5yQJdLi4
GDO2i7/yEdv5yxw7FSwG4012E4HwCVY6TNPfyiCP6uNPLZNmiLp30uBK40DxpD/dbFHb9RjGKyiu
RhBEp9nclSq6Q41F+t7cN7hOq0sULXr+sJzWbJmJoWYbHfC6lbO1M13eCWpJHsShjaGRUWbtuu2u
tVGNLG9yMoe61WjF3bY24xvDCe9tfjacRS7Lb1XT94eZXAmZh5doQlfYG1cAP2wFlkde1RioLV+/
4KkfdhQdr6Pn4FZpsmin3TjkHYiSOFTfEHdxIgp0WdjccttGeLQ82rYym1WzXCnmYth0dBRvzJTZ
+CTH5XTQ77EgI9RoIn6Ei4a09nlqveWIIS3x4s60K00VvqGnOIcyTYApgVYfigeoOXDmo7njnhwb
/H5D9CsoR865NqXGQLV8GIl+xOO3Bq5nHPpmubpTBxQMD/kbytfHkXOwNM2+ZPkzEhbbQ6zYN0hp
Km0Xx4B6isHcRHCrorwEtIC6kL3wqVXTTwbknPsu9gTJgf79BoxsbgmGNbLJNBhWJ7gVo2G5yVnZ
oxJqiyQk77I7JVwFPB0MKDOxhyFjoRoMOYkwzc7rJlzjdcfbzcGAsvEyetRvffF/iZz7/5GCGjeA
+D8JqP9Hm32W3Wf3V9X1n9/zD/20H/whHdfxPCvADCZ8z/2Xfjpw/uAGDc3MclAuI6D+S369/MOl
EXLYf+ECCFA2/y/gLaH3QvDVRCH/Ccr9L+mnhcXv81f9tIAjKUyQRBywSLbdRTD+V/10w93aqS3l
HF1KzrVdcDxERXcDbvMldxgVKyuJtqN0ftgzF8ha2kIeKT/fPRLntwpU04F279GXxTs4ipgFpI9r
cHHxCyN6DoR9ZieRAOVT09ayEwlZKd/40Rm1NLQDqyCPPgwcppfea6RTEH5Guo0darKFm9+DG9DQ
Z87ADtNpZxQGxaLQ7s6y7GwLe4FiXXz5E/56swMpmbCXWnbXIPgQFgub2rvyfmegaR+7hIWnRYY1
6rJL7hI82xFfDhOC6i5gaZ1OprsvLHgdgrxCaUoTCQT6iHKhH5jbNis+jm0dP9f1LAGY0bKqBkLB
MDt3hV/N92lCfm7Wzeamu8Zy7G8Nn4jbb/huxfjqUOWETmfpManS5H52AW+OzBPJ9ZoubnUJhA+D
nywNhOaFWCODX5SzIRwUtWw3vF+hBw2saau3QFus9whQvBmBsAKoITyIbbJJ+vHqTgwdQiAiRIPQ
uonb7kylsJJWau+9VL+MhfXIDtLegLd9DeYm3U79QgEj94aXtW938/g7hDbSt+F9TpIiLLzMBB4T
G4Qp1Ig3i+KQqcS5kczoXDRLFy9AezOzTRtpzKksxGtYZcm2L01cQhm6XejxLUkUu9Ad2OgYgJGD
wdwDb8BPs6xRon0a+Kehssm4iXOSBmBu4kiaIC9nfrEyS/hWPhDENXFOT7VbusAV2hbhJmBkWUOW
GsuPykQI3bVHmq4PJmKwPIpgvgsND39JT9okmI1kYUXeWVFzCtLMAcUf5ywsEJ8Yh4DJ7XOX7r0S
fUBU/kgbID7x9LDQRnydHlRJIhI2xo/Yr0wiTQVrc1IaClNcRhUh4605NaT/Zrau2uUtu/k+ED+N
JnmGCxkG9VOb+9XJy+FD28L7hAj/7vjsNKXi1W3c6tMbAJtGI+CO0EerlhiGh83YOheVzpCahiHQ
EuBgIQjEjFrC6xXSjsZ5h5b2a7ZaFJwIFamwnR25c5R96yLP600603im2kh5uNHnYEVUQuG9kYIY
CQr9ltrWwSI3TVuESTRMUlhJBA9eMRxs4xesOvOhm9wfbDMRe8DDTcslDy9ehByaVU9gXbvRf8zj
wd6+VClTbyohMB8+XC5WwetJyfs2s6lJCFIIIAN7eHbowm+YF6PGTKsKXcGPjB575Tg+94+apsCy
P5zUTbdDOBKsF8idqLHjExm/YdG0AFroBcsHcEHD4mqW+0ElLzHoi1I6hFfxho6t/KU2nfcq99Zx
299ECda/umdiDoAA0I35UI3ZWST+A/SeC1I23IrWXdh6+IvdoVyXi5lsGpj0osH+n9ydx5LjWJZt
f6XtjR/SgHshBz0hQU26VuETWLiHB7TW+Ppel5FVKaxftfUbtXWZFZMeTidBErjinL3X3olU+pqr
HYbMuTc1b2OGMGhrCEa0qSDxUZwQC8m5kZ5/igFF9oxzEy2Tu5mz+CnUooHy6HgJ0WesyBATfl6z
FjaGtF+PxfhTk7QcoWJ8g20XrRdijrUmObqa+d4STHhjgi0NvtVIZyJAQPYRLuxadnG/p5ZG2iyB
0EEPrUlkE+vgB7cKqC8EtfZowg4Vzo+soH1Jtd5kLZlx6eCoQiyCLCMEh6GoZHlAYBbW5s3khW+p
ymFnDuA0N9lvlENjrePF+TYW88M00UTgohwPCJxXyRjIS+JqBe+maX3JCSqH6RKKzlor8O5akOu7
dyIiKvIFkZQ9gINB+k53NcbXQialj2o5w0j9YcaXBp5iatHiUDmZi0MMXtlmBDlEwtjxraF8zrbg
625lWmdkzLImtUMK33mQaHs3DVdGq3uHpCCPmEuFsi2WdZwa8blD4Wcz+uxThZjIfpQTce/hSC59
6N4JRb1ZMl0HSADRvc5IYK1IKdUoJpz6MXygHIZeJiVCFfrvWrd8oqQvZBkuPnmrsG4ndBXgo49O
jt5utqmMTJTb5nI6I4K/RG4oNotORggwUWK8ZKLtunkGY2CanNCRtjaiku3cGIXbrs5fAgtunRDg
0CKC92QwSspaNnaOBStgyZ5vjoh0E7nQKN5mCGyLkilWJw4HQ+rtMFXf4thxz97Y3Uw1jtQJh5zW
Z/ph6t8QBbTrzIX0WxYaQDpKC1UUEdxppIQ9prdAP8wTgwGDcoE0KxZo/IOmIQeQEQ9eLJqmXTI3
3mZA8OGDhX1xy/ClZosF/a3R8Hbn6LDgZYL1KaHDzC5K8/4ms4VEUYgearQ10tvC9HsVj89J2Swv
i7tvTQJLehmHCNlw0477IkwIInP5fLoCpo897N25n+iP1LfU47ON5RFb29aIMZyLDb4r7G0CH1y5
b9Dg7dMqxsswUkUwvBfaCc+Q47Yh/lyYJTvdRADkVsO5SWj/Gn3IN7sgDhXSIjmHYdehyLobqIbY
g0DmgPhvM9YvNZIIn+YwCbALD6wWDNpDmrOLFccinR/pz97agLRWdOFQ/7qxto8H0x+0rqGP1q0y
9hX3c26/hyj6OSfHwxIb3smChTuVHtkwKtqz4UIudYiHVQ95J7HPMUC5c0u7rtPLfVVQHcWj8R2R
dJ6IU3GFAlbmT0/SgDXmbRlF7XNE/awCf6RnE4Z6MqiQjHikIGvRrViG7GKc2iLk4rMmeaGzvKfc
aqPQl2u35AONe2+vL8GX173miWXSPSiJBAUtEWGqpEmQH/BoklLpzHfWbT9z4qVG/W7r+HjwXe2M
UUP+yGDmJ8jvVl0OyrMnb0RwwtG5pUjrmR8NF6Kf6f0bCPp2PWfVzu4zaPBvjt69Y17Iz3rg3pWs
3k5ZPrfbccJ+ZaXeu5EAAqtppHPlpk+JhvAKFzXBOGGgrKc6+3k+QCcwQVOHLWW/vH1bNKnvIrO6
OMaU8MinOh2irZ5/iTptmQytHd0RfLHZdzPNS7+tmEmLNFQZNQxW+ECSvaMvB9f07oXwJuBRrARj
c34FiK9quphksT5kK2xeGkrNCe5Cgd4QAs0haRD5Br0RrAN0whRFoGN49XRYRvTmCLERdZQBRNEl
Js50Yc3kMXaxCuxXg3uYJN86YAFOUUk+wkAylzfE/blqcel2xJ/4TZQKPww8GgngK3MaMitDRt+R
DOFmLBuATe4N89K0cUqs66FDYxkNFgEoRfAq6Css/dMwISAN2lG/ZM4moNa5HQrAtICs3iyH+nFh
W4ANWnpOas2VIuGfR5ePOmk5a4NjqyXIIslasLJ+n7v2uZJOchhtpsBZr6EgAWvbNJiYaWL2rJck
ors+NalBA5mIbr0RWK3sZg6p1h+WrNp3QfMQUY9H9kD3Da+MX/MlNC28cUO+tn03H4ykqijwIl3T
pc1SYnQg9tYOsBxv2EN72yEREWxVgaXnk+1t0MJmB5t2Ybq8ZaxddkOSID6ZmuHiLM47VpiPPkD9
3BThR7xAzhoCWtxKuzyllMESQvrmnjr8zJYDtfjw02ip/4dFW26wn1I3HR17Y5KbwLLNZLnJUjMw
p29DOcqb8ScCayDcNu0IeckFUJ04c5NV1Ms3+Lv7Pu1M30y6YwV2iMHN3bJExB9aeutOrNoG3zoq
OecglL5/6HtSZaPlwanJ4CBgLtlKp6RsPz2lQ9X7U0UTxerMYoM/UbLrqD0qr0OGaTN9IDcXN4eW
PC4OkUlJh+7J61iC5wLosq7fFixW1GyImBKZV+YhXrZrQuIPzg/48BtLBxQ3aKAQRprM7qgj0BlO
Zf5jiejBW0PlrGzXPbFz1ZGNHSycXU1JHnFctp+sld5Z6RUE7LIFNPuNZxPFmOrOppl74uWmgfpf
aEBUAvTU2SU1Ms2yV8KuweTSQOe0DijRr3S2Lcig5zM+gQNITPvSkyewHsfgc7EJK4OtsOqdQm4g
ptvIC7dgpTTfCOjeY4eMBgdhKRapOSKSFcr+rYmIFGW6yxCHLCYtCd3gAjw0UtxGvWWtw6R7dYFv
Yw9M3vMWOnuiVRe5BMSa1Aj+LauAydSPJ2BF3n1Piwbvf3+YHAD6oTt+03uSGmWzoHaVP/ECPw41
Q6ltXEDQs0X0BkjXJQGeqX5LdVePnY7c3PZc2BXbmIaG8SjsA1CEcxBDLE31eOfW8iV0KtiS/Vju
7CzD+Tk+L+zCVs5wssXtELKWQE1zlMVkr8OG3LC5W/zQ0j5ludM7lrIwlc0NvXwA0ZzIWzNA36I8
F7H2kYwGDGNA6jAHmOEsyZqEzQ6SJwdhOX3hIyg8NvNwgY9EEZurtq6HFYta5nMjMoBqt/SfwtR3
aYGsCESW7FappzKd/oTsexO1zjYxIlj3iNVV9+RbbIpXOn3do+doD3pRsu2v9oS3m2to9E7BN5fG
Ad4Ntuyo4/eifjArdvMQvhYG/sD2Q6SCQq++Gyl9RTQW3hYVp88euyA7oSfqoUyfqNGevdhraFua
T5oXgaUnmxFaKjDSpyQBED5NlLv7ptxGRnTS+xhiZg4713Prl3mmaj7PaGHD2PrQWuu5orXjt+LN
s3ISLZOGeY9llKRLE2GGQSlJA5NoFhgttj/At00RI/h9O0u4f+ZWpqSZDuW3rtWCdRkTbCjGd/ir
hMEyFMQFntgkEo/uBNxQN6snMweLB/Eqtm1sIfqdjhDbH/AB+T1dOatLVXQ8lIvkk7jf18StrTN1
nsui4R1mvpyMn57WvIc9AOIOUn6z1DuXystKkA8icsyUgdGfsfnPZINwDUejyRySIggR0HgWAhop
QQSHsEUD+z52c3YWI1bkZUxuHH380Rc/xQioohzhV+s9IWsWlgxrHK3NhAp/smHvLAGgf2Sq28Ke
wI+QXYEx48bBEncfaNAxnKk50odraJUDW+/dix5PG3ZvUKo1oTCN7gMZw8G+J4E979hVurXKOpwx
GswII8qsO3emhbyop0bVootzXP1JjLVzcOXymjvbUkuDNbmMAcIj45LmoOE6Vjx2YiT+ACbabyil
rxq3uiHQBnlXwL6JLvvFsDRz17mzwXhKcMVAK1RypdndC/qkZStt8TmWsOMIq6tmiOyjy8qhb7vo
YlPVskR4yfFWDjpDVIxORx96rs0c0mkEob+IKMsorfNjthRH9mLzpaspDXXIKTiddPFASOVbKvT2
waDhskrQliwWqaS0Gx0p3xDurC+d1z3GS/S0SKTzomUAi80K9h5Nrrbnu/519/pzkv9Ie8QoWtwl
e1T2m6rpmHbUjUE+lc01t7v+RBxKeazJwdy5FOYFadG0JvRDEBUeCvhF21JXvyXwVmWi94cWVsoh
UCZva3ZjmvHqLjEku47a2y4yYkaytN9fN5NuY3rQECeJw6cd7qMRrWk9wn1q00Nk2GQOi+iudcRL
3zahX4Ev3hNzzO5YiV4ZkT9H7c6OrP5jREVdZx6ZrERloB/2bMSgdkOJY5wgxIHsJeSWganO+DzD
5tN20JNqCwULC66ia1hojpZiY+Quu2aR3qrLdRV5EDC1R7Q1JsKB8U4G4NdG1FzsZ3s/DquD3uFS
7I2YLZ2+l203PwRaCZi43Qx61j1oVv3JUETtXdoX080JXs7e7XG8IURg9EtNh58U3gjn1MTm84iP
drcgkoMchmWJbMm8cvNNRFtsrevvscHQnvcExycZ/i+aTw8Z2gS/c6pvTA8nQ++OdZIQuQKMeuda
1pm4F1Z0GjacpjI8DHfuDcj1b14l3tC4P9RV1SrFzmc/eVgnylNc5jrNfAOcTB3SfcQHy0nPsLJU
Qb5iqcdJq9/1HnqveVCACuKBXS4hURgYgmpCM2Zd7q2seCQOhSXZ/WBp9IwweFJmHd5yTPa040iH
zvP0OI49Qhc6IDVm9QL3JCbUbOXi+9oRvHOinHCDr/s8zxpNrMGsjqNqGtHU7pElD9VR/PNGKuKA
VA+5/hvNHlx+Eha+e23OTPkA5kH7rPJMEJAS3racSrvrT0GNCCcHZIOBY123EKuXDE3A9eKwYwgL
pu4KBhl0T1lv0yNN5bE76qq9W4B80FSItJzqN5nRBR4Xj7Y6a8iKtjYwjNYk3vR65NoEbyBe2Pst
jkHvVx1qB3CQ9tEYubs4lLtwSN9B2d03EH5BXLroitVNTkovH8o/fzb4ovTEjg7XQ7zezBjE6eGq
6zsRe5Ny+qFkZwRwz9vWIYzCiV94KU34Af7StgmaS9iKZFnHqpjDbhOStPt6vRglgA965IR+q/d+
fUoDb/zvz65eW8KlRvfr5v2p5kUyrch313dsQYFUIySfw/XnIvKarSPmB0v2Hx6OYKSJw3rE576z
+mYXRHWMB7mfxuO0mCyn2I+hN+OI2IxBQjA9patKO6hpAwepjvQ6ilx/LBuSK121b2rUu74eOn3E
t5rZiimmb4+eAHJvD+aefku3L3AsuA7Db9SjwQwQ3XdtYNIeJiEAO16OjHmaGXBpbIKlKrwHOhUF
igBzH5FwumMNxpiQe161jxLMYxYCK1jw2k7aLTn1caKf9DgwT0aDKBHBwUgwHqwPPcSz0TWEZ+Mj
DVImevpx19dZQpDZVrZg41FcDEexKSxN4kNEwGBrcG3WFBfnaq9WGNfxN41AaHpFe4PyTH2FON7M
2mM1mkZEQiTcXO9db65nnB5rUCkBpcxFxGkmkIAHrp7tf10q1+tF3Qh7ZsCsHOInWrRd/bWlmajB
3uOPV26IGKRSHdgylqAKWoiFCVL3oxtvzLQ8VDNq/qmycIv24phn1o1LpYDQ1H44Xm8kzt6N1XHJ
O6qBL6va5ZyXk7NOvIa6EXh36t2MNt1yhBQpgdGSdNpnKBmnJD6hVah8o2PXc70YrzeVOp+v96JY
a/ZdSARVo0QX1lUcUaO1CNXNok6Nz97umWWNvpTHsJrksbefMf/BSlDft1BQil/fCNUcV2hk2Fps
Be34gzb+DPW3WM6t2bWwrxN4YvryPAnL8a04B5eFq1NXN3UcbXtNzNu2jV50iy3d5M6//w5xDRBN
2z3gEiacLxDDatH0jVuxYcqpSOAtpNKF3I+keh5QjFN7Ena3uv4OIvK5tYOfo0ksjay1ndmM8w6F
XrcSYzhge84b8H9caKsGRc8NDN79gH2dkKZsawwN/HwtsKJLjTUboDE2jDFV76pEm5wNj9QWqOA2
LJKEOmi9ocdVaZhycxYal2hiW6oN/KiZy4c347sBw3/uHPM0tMU+XfJLDxTCZ+hHIjv/LHsjOtui
pYZEwQ21DIlMcZPsXZrO26Rj9zySakiKcytIBZ5qcYFb7PiC1BWsCNk5SuuF6AotXYsh23ZssVaO
q32rQ9RIPfoMrcxPblDgEu6bAPHwZN3jZU7wpebvoCEy39LJ5qiXkbwvTgb4kZ/4Fe6wF1B1aIdk
19essfVz7FbLJrLjs2GJ6tR7INgEIicfxU/C9iSCKibBeIEykPnpjxsH6PhKusA+iuAsBuJPIte7
p3CrQ7iZ6+yUA4CGqNKxBgkHhBVMdZBHfEwl4ui2KJ2u9+jvbxBA2XsdC8xJImH5deO4FDk9i8VZ
73xNM4GQkZVvYg9JBLwqQaykJB1B3avVzfXeH7+I2kocp6DAJUzHFJsrDyFXmNVfZeX+H4+7Psv1
waYRv7TU17e1rtnIK4R9FGVC0t31LqQGDQp65GeaNR4bfX391z9umrF0fv0RsX6UJuGEr41BskQj
mKPoOn3lLmomoU6OHUt3j5OOSwtizb4J4F6xIpxbTs6xhq85NN0HxRWTJyCHLh933hgQujhzxXgk
/jEV8L0wPIZEdehMnIeKUXWcGTZzzcwoyo/2mtDu8WTMOLCScfJbEk/XRjAeTMG41uHpx+eA70Na
xqcV6Vze7WvcZV9UV8AddW8Sq/laut22L9unOGWPm7re65gqJY3EFMlVRbm1vymC6EdWmQH4ZGIf
5FjRems2os3taw3zKNPs3RgvyTxSx6CSNiBW9jXI0JNe1xvJR5Y17afn0PN2u403yafEezNRYaIP
NJN1Z87PTNk4xDzIrvNIpatsHh2Xxhf8IConHfvs3EHwa+7qKH6KdJSBFDOsNdujzVTmr1mbbAOJ
ta6Q8P96Rjzkvau2xeHeWZTbiuTObaNjgH2aDlv0NOTvcT6AW9Jv5Uzsp6vnt6WAClDlwXPQqYu9
3KDT3DAOVmRdTlSHahYLkC6MBL9b4xRYtChrGw162SBAoCWy7qTKsmrVL2X1E4M0zS9nb9fJnZxN
cuYcptIl6z6YGRDIi9tMm4708e+IZdiNSfRWz/TYvOxJxdtzYtHOsmGbFU+NAyU8wLlJFrvyQo60
/73JXrF1IKEoSG4XnmyguggBl8+oA/xRlVSMUZkqnrh5chgUQ2tlCYQwSzXDzhQ09p/aLm78QYo7
pLodV3CwadjgrkWNCUNf9AtpjN865NpJXG/KGmklGZZVHn9Xukgnj7ZlUd9kJd0c7U4T1TGgTwLg
6b4OfLLijFUXFKhnPVI7nUM0ocdzCtg9CS2FIf6OcAMHwqavCJiy43tsMtAOsPx4JQaCypC45Zo1
dEwSMxBt9T7VCL93h51Bya9MAG4T6GWZ4kwhsGSrql/GYAASwPJTwrBJ8zPlc1NMN9lPTQz7GL1n
YDWfU7Vc3CLz0zE8tSJ8aWzjkYzTwLF+NPImVQk71P8ep5HiGg3kQz15yWnW7Mm3bFgbmK6NE1e7
cbreu970uCVPs8tYmkfJe7UYyjfNki01l2iLCOFVWAQyJXZWUOmPIjrr0QojxgjnLqy5xhFluW1y
39d7z2X1NpEah+6Jy95uQFGzOOPntnUWPy5ZdY8CVlg69dM6ocLYj2bNHo6RdwxT+S1i7YF7Zmak
ZK0m1T6TWgVfJgq95tioGxGNlKUq4q000TabOHRuejzhV8hcH5bNkVCWlKZQQW6fWiZcbxzHuW/z
BfVeR+l4dRVX4U2vlnU7fdiLjkAQOf76KgcbhmrvBs68i6pAyQkgFpgB6+/rL6fbpM2zIxXX6mio
m+m6QssxHWGZpMCU1wnSk7hYJwnXCpEQ86o2DabDgms4NZrpqNk6XzwNOhLoLEzmGIwZgrGbo+YX
1MEwko3K/oFCfjyG6iZny3PU36Vab3eLBvKdd1Joasq7PqjJaRiA2FhHIuGjVlA0NmsI1q53p6QK
SN3cGGkWbFo3fBVjx9vJ4wYBnKX2WOTcqtUjzSATbTb7Ikf2pylksSd64j80tUKVLby1wSzZz/zx
c0GaGkHw3c7rRrq9f7z8FTtHY49ON2OLzgmQpyZo0xr0h6fp+GXVv13vXW9Q951LLn3WRyDKWKo4
+8mJUFcu3yRAW3auxQuq6fjEXGBQgqPIdAUbFiV02qLv3/QWDqOEnLZvWP7avd4fKQX2x9AhmWaO
LZpAtsFspG7ChQs21KbdVUx3vbEiZ0OORbLvru+wXeDxZCx5qAQkAmkn8k/NSOJtXMnnTGNYxPkB
vtxwysavGp1xuh80TgDW2uy92G6Abdu0LSMqd/nHTFERcYk//q/W2KEB+5fR8v7vZNN/K3/+GxGz
ff7xV2Dpr7//B6/U/o3WGYsQ00X57Rp/Cph3nN8Mw3E9R5esUgxTt//glbq/eejzlKbOcF0Ymfyq
LX8FzLu/ubpHTrwHR80R4r/JK0W492e1nenpKl1eshA1FQZVvfM/q+0I1UxJ0Zj0vcaqgPp+Hv60
lhPb461O9A67g5VuJn7iumBEv6wW1NLwiESEaeuHwIrR6sEmptlLdRF1+B3rFT2+7eo3gw5HF9/9
Scp494uh+he4qvufHS2dLQPDmmcKRGh/PdrSsu3KdUOOdtKPRkSBqs2rO90hvSYw32avOrcInkI1
Vjl7HPIPaiVQLYQeD5QeWQQSxsISc4/hnxkh3ZhZcIlLdztKm6BLoESI8WMyf6HRrFCTya+WKn/K
JjUKbnmauiDVJwjWYVHdqaebwSGR8HR9RMpSw6zLT/UYfN2UU9Gi83Kl5e1HL1jrC6o1XqrDQ1jJ
swumQ/2Teoh6yroyduoI2LVt1VONVnVsSdPRq0+T1//HQdWUtdUxqQO8HnA9os63NqCqyLLGHs7T
hfW8CkabViePLfGpsncTMVQW7pPWAMeYrnAHFidPty0k89jVb9VjotzGQ8+6jz/l1ya5z2HFn6iH
ApoJGGKgN/gu/asUxzQG5xrHdt30yMqalRnTvc+Dd7utscLwHDGDk4pnJa1sVfO3tUlc0byrOaox
95AYEK2TnBBs7k2JaYof03i8r3l02SHkUS87dvpPwVI2RKUkzVurPZnltuUviJPBMmkjkOO4ePHa
cLb/eKvq9VpiAwhH2LFLqIthr35lyuj632lv6R8tlThBfvr1DfA8Jj7nQIt36uNR7129uHoPJuJP
uklbdV99hIG6z+/aMl+hbkjSJ51Dm2XxYqLyFE2E1x6RKp+XvsvxdqFFh444rWzuD+VdIp4CO/cp
5MCfP8akrdtWt1E/qge3xrQqYX3PuNt0lCqYUNFqD1sskeu+L07q3wMiMIYhQE73TlD6Tj1vmw5E
B+bKSnB9CsF9j0ZgQcVZHZUtjPU//tQVCNsSc5WOCTZmc0UMFO1yPj/1tDhYeWc8G+GX3So2ukdE
nLRpqSBxBOrPxmxre98MqW1SO9hDG8SDTvEXt9D3HLacZzM127Sqa4/T/ywwDevgA74P5KE0ffow
acGTF+JSZcvznrb5BvIwJhJ5F+TZy1iROBIjlClca0dJiDAj51I3dPJDLJ0JKMZIXPqJqN1CRYfN
9W7sWHEJ131KizfRop7R4qCG9QieZtZV+gKo26jA/qtadZoR3WWEH+HD4TxDfD5299QR1xXZs325
8AnKWwax8P9DXr7fPGz+SuO+AqX/QHX/v/TnYLj/eNDlcfv092f5C/H7fwbiG6Oi+S9nz8v3uPj6
qzz9+he/z5c28yVEMJPJEjAAWnPk3yNpe//+fzTH+A0hmUvcpGPDTbMkyvHf+d6mA9/bdYTreDow
ZaHLf86XJvp0y3Es3dGRADBpOP8dfbrBxPuX+dJ1HE/qPJHn4s43/q5OR8ita92kUUYi3kdNmJz3
aFZ1Erg+jWPz3j9ph9CHNmWxVfhFe+drhrb+n8x/xt+k8aYLbYIUAbQMLBoMy/ibNL4srLK2dW8B
bYouBttyd8rGm7zc2t1ORytagxL9ImTrX0+7/+XLqln58/sDaFcI6Mb/7U3U0g1G8X1D8QtB+y2c
B+Kq1rNYBe3JIv8h/y9eUs3jf2Go/+2Nqm/hT6+YoucPQO4texb7/XJv4Hpt8YexRPa75OVfvz3T
UWD4v76ci4NBeSIE5EHDEH/7XNsMVHI41M0+7MbgCMdz55jyduogqcuCwIi4BRArYXiubI9SMG6a
5OLlBKJGjkUdQKQXJy+WTaIF7pYzFzDenKM2riuCupvc8g1yplayJRdicfTXwBkM0n+IjwcUgM3U
/DEwYE588Ss5OgUCRKS+jcw7pM58wmkdbKJkvA3w76O9Gy/0zhDzLG3iW1Nb+LSEtwP/81v9EJEi
fzBL8cAW01xTm19NE8jHZrFoT9r5TdDF1GbYDRRm8wpbGCh1PD1LJImUAJxHik7B46WPmbGE0jGO
i74JCEHwQ0LbjKg19nbzHasOZ578Hs0LHOpifrZUn7mgQ2lmFluXATeubIEdlGthWcci6g9splGB
eDciWBCsFPLLAsMbV/U7faDnca4wjrcXyoCvsxgdFOV8sksCvojCNBo/MHujRouxnajLWMMmsz8A
fqBnmaXCs7HSdPvxWZXx11XVvCtRMXu8cl3E2pbGXrTOSwfXgSqqyHJfp59GIb6kxt+Nkm9CgFK1
BU+FMrRau26+NorlvjRKmC/ZvGl6NId8bHutnt8K7WiXab7pusX2e9zTOeWXImbirsglMs3yXVHW
k5hwrX7+SslCibA3wANZx830PKO2wEBa7QYECavUWb6kzJ/D6gdViO896yZ/Jp4EhFirrenYIzHO
N85YvQeIRDSqwaJwkXHYw7NV5V/6WG5iZkBfPU8up2d9tm7n8s6uvRwFFgBEALVxhS2QEjHVvegh
tBiuqmZSPkEeUoJdwW6/xPBcHRrYyDQrgtjsKWV+hnmXt3xqbiWQzeo/KahPK+pSatNYml8asISd
0bHAyInDS7W7QFDucJL4Z5vyDnI6X9B+unMqDcCCEogNiVmI/M0JWnr7wyvZtGuRAzIxTdlz82jg
6F8YdgFShpxzAmeyR2/AMNAt1S4HUgNRXC9UIaBjhZuEFN0LUrF9baMgj2qO2WmLe89oHsyF0yQz
jHOZeOF60LxsI3XKARmp8R3GmUIYOBNqzp867RCBZAXVb92PA90GEVc3nDL8AQ7t6xftoc+Y6+C7
67l3PFe4LjvGeBIVKBA1u0ozdV69840IaX0l7imq/zp9C+EB7mE7YCRAoAC03GMmSuAHtAgDTPch
bQDBTBnvLtBoa5cLglBpsW9x7PSgzhsS4p7IsL6BM4VQMevejdoO160GCqasLPAbiN+o3OFeFzov
gJO/sPovWqWYzSNQC32+5fI9ob5PDr2ORqYih2BIm7u4mIxd27cXt+qetaIhnazn47ueeTrETMZd
JWyv3oXgMsziOt9B+NjETYAWT11x0O45YXY6nBW8M/gBkCGyuBfJfqBMi+9mk4aod9wORwEIJdJt
NP0rZzUpkO6QAbleTK5UQ91IC1Vc2zPGYzCAwwcwyOEzbq3mHYBo4ztef9/MqMISb965lPFWXM7z
enghtIF8H2t0VjDrqnVYw/5g/IQlmy1+0OcHdTq5pTb4M2J2FLGx71TxcyZfmlqYW93FXEBe4r1V
altgZLshSq3VXM4vXVWNVIK4xKNgAc7IkH8djgjqnEn/QpHSXXpLqW1go8Bo402pZrnNiySh+YW2
ipo8uBM/cxn84T4WInigG8Sv+VLNRXw1V6mI5+0XaT9Ect7ZHFg3oR9RBIzYjO+bYdz1TfGsiRTr
ajzH4D6a699PCzglp3z1xPhcD/Nz4+WtrwW3OtKzNeIlcruS6bnPw23oxI/9Um8YVCnvkekrSo6z
H9UY0+TvTWw91wRShtQ2vUZ+lcn8TIOOkyg2Dvok73F/3ht6fp979U9vQfdlEZkk1HVs8o0uEx9X
q6VbkJP9Sndholl1Hq5VOdLUcuD9LX46PgqY2TCqknMb8bES9OAAKWEMcuiwOdhNV5Yiu4cjEoaY
+WfdzNOlyegSLB4YHdGIr9jRGDuT+AnV5NDjRe1e5nSPJQGxu8dbA8kKNFebD63XvKuPZK6ZYqCB
oinlasrxB62hjVzfoKERKAqx9ng94a2qe6/bBImFU+28BV85Z95sMI/GpbVDXP2NGTlEdhttmoQv
3AvgzFATuXfM9sLU/h7J8K1JER/GDixbB5bqzDTeO1CkvDjYeQgm/E7ITd9kH4thV+tEjWow6vAN
GSkgRxRxq2zpGpSU8SYYQcyMY3rvjs28x1QNkqIi2Wh02vtkLgYcSI0BvsPeGZF1phXLJRQ1MyLk
/B5hy7wmIuYOk+xNj+ujBn+2UqXOTM18UZddJKhmUyv7DdjQR+boE18hu8gB824K3M0dn6vJybem
RSUlTQDodJP3swuLXd4wA+BhpEVewDV2eQtdFJe0DhFSL6oxxBVLq76AOtnNzx75Uokdk4lrmNqu
qnLhu0Ri+vEcbOf21IxPS5hvkHDddgKpVWYDonQn960B6s/Y4Smp4krUzrBRMDZQTXRJIdaguLZ4
KibVH62Fgiw375IEUFTcTeeU/5cdupA56PaVGMTrGGm+a+U7qKlriNz9aUy6/pTYNWcpLGLC4mDj
gUAxe6QZbIPrNZAW2+FUrsuRl5rE+6iqsOBniqhq1zhF+sOAKLgcQw/m7HQfQahijDW/TwG2tjQj
bGEYW3p5oHNWruRNRYXLx5lhuUYWo6iJNbLiBSZRln0AvVf9NrT3DvoB5IMaYLSoET4e9QQ4vgS3
GZrHVnBEw9gdkrogVQpJ2Dp07ns7+DBnYNVpp71rHfTeSJv5NGaaLw62qhq4az6SHS8AVyLmb7zO
9YGdrNy2InpNm7ZOwgKOt1IRekLtWO9xwWhmcxZLfStHG13bkr6EGoPPMAltQ1oqlYH1ZA363iVV
ZWtDOq9In1gTKkEkVwtvuTZA6xuLFZOvO34q7xTVcVqQg2VsBgtaejc8uV1PeUtoPrNDyUmku5jV
3OMsmdMbc9Q2S/uD0W482cN0DiUetG7qkSWN/ROSayJxreA7uqOJHF51EDG69wGiiznfCm05e1OM
oB5vX02lf21imeP6wEoelfg8ZOwJJK9kXWr6qxYG3Truqj1CRn2/VF2GBQ3xHC0SSNEdkYVsQldp
ZD7NMn6QkYPvHJXSsRHU3poO7rL0CHM0aP+tq0E2u2lyb8yMwkUsjw1zb1IHMCcSuFWWQxK88xG4
NCUzDYx0BVlxmWjQcVEFkVFd4iQ7MACzKOgCSC8dXZUorPR9J8oHCKyskur2s+XS3JTVjzjnhIj+
g6fz2I0bXYPoExFgDlvGzkFqxQ0hWRZzznz6OfQF7mIMh7Hc6iZ/fqHq1Bj/UeWM5ddqLHgERMCC
8DssKl43XfrQm2s30+afVRwZ/4PpptCqOLdXBn3bkQuKbYNy8+L/XVEcFBi2Eu6XbRLKCMaa/dBo
R5T4lGLLSWIuw34FyoIJC2fHO6FsnQS7LXbhaKXD5MRY55ZrP1HOh93pVeppJQzmDKsU0qvE6UBh
ojtBD26GrKiT5DvrYfrPRUIHwm5ItXTBs5DD2zS3VDZmFoLW65F3NDrqLmRk3iCRgyvIIlkYgr0R
q72c7gsSUWME2aR9Fbi2Kbb2WL3HW0GMXC1r0HWBF4Q8wgk+IWmXgc/v3PIgnubsm65odCQZLRDA
DWrhog1AOEMOqiOe6AvMG3NK3V5hVhnBdSlFEpVkuXF6ImY20W7iSAiJk4yg7hgxbRIiYanj7KkW
MQqmY/jIqiEOyP4a7JaAGBSyTeVD1cFMxe5sM89AqEsBkCjEkmTfcTmVPNv2gyEz6stl2PKqetEr
7WegYXUMJKdBq8m9Z9Jutarxgx/3twTfDTSG0rbGwm03Mp+rrnZWgH1ir2sb1V9MU2BbwxspYE9G
bWAuqZgTa2G8j0yMMrkc9vc2XlzwY5NHmudFiIZfrZ1DFn9M/6slfVHEHLK7PGHjXrOLVmL+y/Vu
k/VVviSPzbGjtOglXxAxms1zlnrUlLod1vCj026g2VC4pDFZuXQKvr4kXRAZoY+lenTyznzvM0lz
W1V4TmrjSa5HLHtC0QW5sur2BKhRjfFxRxKBoi0+iHqpYeakO2vUkrOihc8hMQCa9tRhOnLiEOB+
OR7wmTL4rDQc3yN/F2kzCU2ay/a23POrb2PtY3jtuk+YpApTCz5WvKSbGyRQ1DeSe/qvObeedWXp
91RWLFZn4M28a7qbWgZH+KSdKISRx8/c19ZkgY+N6MgZGaD9w+vZtVCMCEL1e1F+sHi5CmDc1TZf
XAMu0ZBHl3SyJnLbqbZzfQoIv/5GSYvzJuY+w0ZKyBN8E3tGSeHy7nK595NXpSm0dxA2+34iYtEk
ZBjPykwX1/Wnud9utxRepY4yfUVxgeIIbDLdJpcnwkxnjlp/MjQhGKftSstVEa+kGCiN7PFv+1NM
x9hu+POJ09JZ6TGQ96Flm8f9KlDrxyAGfD6quIpcJhC70hQ1RzeYPXTMG8oMBi4RvQJkIdz2Kzv2
7FhN9bkH+MRgeAlklvMGwe8gn1byq2O/nmfR1UvlA12v1+JEPoxF/m0I8SfD6Sz504rrAWEBH7rW
fFVg3DlJpEMmqYdGDE+DXMD8mYPNgMWMpLiDpv+bLcte5RHsWC2o/BiWPOc/1y/zwp3elR8iuBWn
KiUwdPWdFIOvOiogQ8o0X4UI+H5RQS5C4kMwp9udbj318di5V6nSF67Y9gczIqqQOmdWgCItMJLG
X0lidyu0zU5VPQ0anWzYV4QiVNl3qkTEBJQqblyVFT7/zHMJqBtZ20L4sTey+AMjpEioIsxjWyIa
0l6F2SiDVddiHyXqRTYZgSUL1yfiAq8oE83bEgagyfpsLP4WXf0ERvbZKMPXMo1SB3QxLXuMgDLK
OVQNARq3JjAFV9s9y+W3useflpd65YcmoiKGlg2IfxslAgpxcz3Wq0K4Da+Ad/c0t8q9S9SzQooM
bq4qDdJa8odcmfcqep0i180dyteTBUJ6V0V4kEImKSkfG1WtcquFnFcZLWxe2F8Rd68GGK8NGC7F
v3R6sWR+MpNDG87p6oOtV7HUFDe9UzmZmSZ5S01714+lBdgCHb4+cQiGtQBcbrz1yrz5gjnEB1F/
1SmSfAlPMcxkLPrqoB/Je9wnN0Fk77eAMkStPvzqsd64G1gBj1tZ83YhJKRGMgbTxa8YoStOA5qj
0cE/GB7ycO5t+G15kcF4qyrDYfpMOF9i+Vt/l2lN6y3Nm8wEw9FTEqdYDemoKYJQJF5UjfkOmvoy
GNyO8ZLHpzyl/FlU4VDhsMin7t0oe9HdKJfOWBDnYrQWBwqZ9TBJgsXIVj/WVHeQJLKguo78X7jB
iM4T+GjQSJQ4s3WCn85zj1+nTGIIcYwEEZEtk79I1bwTlNaxFH5V5bXyNqTGaWimyV/RsQYqtLJj
lWF2SVc0ayKk8VFLn4xIKPaVrN2VRlGOJUVQuB31+OUOItGAwpx23HMABGKYjSB7mPwqUcRqSIjI
DhLnzl1W5Tvu2gdOnatsxBDjwhZU1bIcc0QxPlo5gqg060xydbsfpnw/yqizmko7zitRPFEzIZnn
6Ur+F7JrOGJmc+TAobHfntUI7HJnok1LY7omy+KBzUaaUjckNykzxNid1uatWougGFhlIRVqgKbS
wkvtgNpKN6nkjPBGRJJbTJ2CBpUbqZbzU4t6uQKvep2n6S1Mq5WlGdGFsCUglwgUy4bS7hu8NJyL
6cu4vXjSJsMDZhK3a6uItAmENaNc5F6rMmptNLgjq+LJc+i0evtTF8JHjgkGH/+MKifjqZCTB8yO
12cN0u6ljrJCYjlcg6ePskUlSx2WZUnklTNy9kpxqPldab2a/1S2Ku8pwQCdp5lw6c3WBX16yJf2
qGvFPRaYGnYWT8xpxtDYZ27KpI13pvSBWnL7ZGAflozMWqvDJYc004lTTGnjAB9tu756zPCBCBOE
7T+r3IkrBy1JR/v2RwebBmlMfrWg2SYIrboowYXdoq+qPnR0Tyc4ZvkyBzO8CNIJxEM/MXws15R7
Rcp/S13HWByng69plOXh0PeEmHDNc3HPRya+P9qAaXjIeWWtoJ5zRbiOaevr83wqSwky+CxnN7UW
vssMYwz42s2BZ7XiaE9Rm+94FEmH6FMXfuW1tgIj5wCOuoVo+wrvn5ZGBeIblgoGdJ1EDnLC+M4S
HEe2rlAUyFwOmPbeE6U8IfucEDlJmtNY2U85c74vVkMQ20u1zl5h1KEzatvi1Ggqp5mp2ICw4RvR
ZhC7GJs7ozhpVsx4TuP6MwX9gqkZMIFckv5QAotPlIlQaDEGVR0CYTVaCPGtziTIqrYDCGs+YRH2
v68s9uajMxfgGDgtMjn7MyFARWRd3BPi3joLrmwKYVsgHCKWEGjxFE0E0iXAf6GEXmFfDJqFQHIb
Aq7MxqupIfbcrCmJdeRgU/Uy9apgRy3rgFDiKSGRumLlsu63kn4F4vIZ9uI+h/5cjMVD+IHcTUJQ
z56X/FpMrRCwicvoa4V4UkHFRhP7mH72g9p8Ndp+wXvEjJSWvNPCbz2EKZ+aF4or31Jbb7U0KLX4
Q+CGmW/KrBz1zaFqLKtd9tJJ0BljN51fdNzvE9+FWbVfGQFeTAQ5TpmNDnbnVe34Y8mMlDEvXfQs
drQsonBPu8Wrnmb9pOiLwIif8MleKygR8QDhmQh9dr+nqA4RpQ7SQ6iJdTU74JdbkxELEh6M+B6V
8V5r4Yc0FfJIMVPeQiDfatN8mfLC0mYQ7lSoX7UMcGVY3tLIPLEnuHcSh90kHGo4xPYqt18gTWtn
qqudDr4VBEP1xWDwLUGfuwrqY8qIW+ynM0p/DjLFIqipxpTAFf9F9PazKpQfKo5sXPDtkWwt0V00
iGoCykwylJ5yOBFOx8MyWzXBW2aSMhfpvW/6FDK+dSq4FuxKqf4oAmEdfct51ir8sLwWkvTZLMSx
9CqK8Z7nnZyR0WpUnOQDyY1Nkzta2RqwuTkXiJ0+wPR2cvorkm95ijRpRx+DZCaa4/NohZ5EW5uz
H3KL3MB8okLHUa1nIo3tiOAz+sTEKcMGgEuHB62tqbk11ix62urO2MuJ2+4XbknHQuYbiGJr4tUp
DAfb63SvxmZnGPOnnALJSpRrx3wJaKOpssGfbzSSBvNzTDib0lnWz1lHqODSGW+rpr+LOnxvuaB0
woANXLeEZjqNPKNbxR5TOndovRSdpFHpGY+ZWB9S+1+Tl8PYkVTcPL2Y+rGQfLfZMl86jWM/ETav
bgT3WaX3W5emwyJn1IhtqmeEq+YdYCOFXwT4odSXei/LdQPfv7fuE/LB4u80Wt/wQtDzcpsTB/Yx
j5wWPfzO0XwI7cy/B7nPzq2FVXKEB4HCCJGTmJvY47jqlRR2wb/Gtld2YFLQanFb5YqkoBjGM9Dz
EaYckHNcER6h0+1vqeeGRIKHFD21DTAGgshid0GgsxUsTcOIiISU/KgJ965MW1dojNucltVpYuNw
18U9gt/XYiK8omtF/aDNyVs6NNGBvNXOzxbFFyqYihW7Olts9RetmeDJqjfGAgnZZnp4BKmeAWG0
m6aWd22RPY3G2Fx0c9hXZAwEaxelgSoFqbkK56xSHsjSfjqhYTfE0P9IsdceNRwPwlxYcAhZwYR0
88MMPVnrcEM2CCYdGRz9v/fMNCpo4WP7aLWXQkiivaJq0U54a2AESz2jghZwZs38qtnq1H/Pwmjz
paTyEwoAngazfok0HtlYay+EwfBhM1T1cu3cKGYIThXhrlAbD00lurmdN5msZflJiFV4JaPAFPnw
/h30KBaQyWE57rV6C+tIvv9duoCwaPHFXBPtrNkq0Jix3yT85pJKIaRYJ5FsUREzrFtk4yVZI78p
up51YAhmtR4/1dm4mKPIQGG7z+lXfpWWz11Ov9tEYq7c1L8DwVdmyJe1ujhFxlxBYF7i4N/VgIXn
YW2vsdrKrSZb3d5kdNFUW0XEHJHYkA3TU7ETWxiEbjj4mnUvwo3dnFR8yZqnWZzWnZuC4RskU3cS
NIYHObW+iC8VDnjVvDo3l12aUQGkqNhtUSKFqcJY64Yq8w4AcXdC+RQGiwejWhnQbRh4vsckBy/J
dDh2RNOzwDxwaQysvluSAniH0nFaDtKyCYFApJEIzz2oFCv1CS9Spt+Q1wm+JeJEq6F9oveichQF
Mi7EX+JCJM+KLeMwGgep13/WLrYQDcNcQRWgEKfQz5d/Pxs66MdcqBIL/TnxrRBK4GDiG8spBRKR
R0QfjRPSNcKSJ6pjp1bM0hWW+gVnfAapZmfMdxlbk532BcI3HDE25obqgIIdBJb0JifhkX1lfpBG
xGoppj+Q/0DcapGgsGrDkzBrwOUf0fXwfNy1wnzTTNAVkVUgsRTzv7nKU2bWW1yIlI96KGNOhKzX
ilag5GDHsni+r9pCK0maHpMZP1oBt4sGa1LZZGsjKeSrhZ/aKCBY4+U7dfG5TKitRmhJbmqcS9Bq
62DZgt6nkKhFJGkrir8oad7KLGQaRTOFYSbpOjeW0ndsufAb1iE9ai29XR1ZLro0IComqmmNyYLc
AJsemppg4Er/g6Qeo0TOPVsnFVEGEfTxNP8wquY2bQ+0VbsqiJZ54GHfjZV09FiDYcpOlt+hH49p
TxoOuojbSB+xsWk/yhJNWCz8hHVyhjUlgYgCtirHmL8K3M12Eq10h1H4Rgar8GmMvqH0Lh0QMZCA
Sgl0BZiKAUHAGqsy7617A8q8wqgFER4FMqtVgCkJIduG9okYcD2IWbXyomj3wfBcJYKV65JMtKUY
u31TZ5eibuSglJuBggSIssICSwrHLwFY4mMeGMVa2cZQ7F7Kpa5woiKIpGJ1ZgVUnWix/0wUYLld
AzOhHi9GBv1PU5BQUt1sU/B5PKk1FLVh8kosQy8y7Vk9orIEcPOQ1DZ0efCRaVUu6j7kv6otL2zH
D6GOJWoyUjhW5DosEiqiupC+ckzmoNVyAuG5Gt2ci9cPSSn0KmNsgwLT3KKW2UnJll+ZhYg7AGs/
EL+SBSoCvDJm2WnJM8Mhtvx+PPtjSHKE3Fj7LqrCAKEj1ZEsB3MKM1PcmEOpTqSoFOHxToVBRG1C
JEMdbdoJCceJwaB0Kadn2P3ArzQeoRQ2YGXY9YEtap4MFadtowdDZd0mmUGnvs404aa+KwUlg105
XjN1kg71WpgOE1evXEOGKfRDUUOeh5Qb19qIJNoOK+7wLvNDxVP8oEi4IciPWf//U1nkApOwaIrM
h1WAOlhk//dX2R/yR//+36ZvV+X931dIYHuAPM4RK9BZYPLt1XEjCTUJ83i+bFoAH1fS8IX8TWJG
y/OjJAzjmk9EZ0olNm06G3TFo2yhQFnhxnMHOEotLaD3amsnWX4m4N2Z0+hqxa3w9aSvZKp2nRVe
FlDFdil/l73xN7svkUCeSA/Drl7QL3fTMYut9cb3kBzEGtZhqnmGmaBHFkfrKsp1DXgk8nD2Jfcy
YXucD3GGAOYvnNaVCZlqIGzL2O/z7z1LPNBXU3gOSdrLcuskTOq+1PrKB5L0AcS3Z5IwfaTAQ4s5
HM+iHo/BZKoF6gBg7rmlnKNW7f0l5zNUEkyv9TQQccboVAGDciwKvFfgmFxIFjQvhTaeG9KGULTM
u7qi15MpmYq09BNLgWsQZlTW2VNBqJ2PGQ8LLcKMDRi/ovvibJ75BIvhra/Ck57Vz0sGIhmK+E1v
s96e9AnNSdcemUmRmk4sMrCZUQPmTLRwLGXqXkH352jivHVYFQdCD0ig+mW0SJGu5W8WuTRFYiDa
Dms+3gNxrkxKG7uS0qNYbHe6ijzPUubkqSTxcJwMw46ZHHpS1FkHtvj7RmS7PMkwV1uL1meK3LQo
WLkjrTI3+3RsIQWDK2f6hqF0l2Glgoq6/qKIchGsEEW3MZoVdKzVmD5owwsqnZTGe/HjRK73DACT
ayyiRM+dno70UAnL36U0szcEFbZZSocRXtYeQk9pJzHb5qZcIINrzPLKsR89Ha+7nxEehCsSBlBe
NMehi1l9EaPsQcOR7UHg/iekACyTYsBONZ/qGv9xWrPFbRZW0+kmQ8I8BPR61nwYUiToyYihk276
ldOJKFW4Bha7O2OtflPgftq0/BnI2KM9VE+aoR3ZvbkMhhhGSuDPmCy9IcsjFGMoH1zE2kVdJChO
bY5fm/j3Z/1mCslwH8hoS+WIgaUIdUUhgxFRPPweLDbGvgTXJJDy7OVstw4telRuldE4QwAGPmjk
DM1oyHdtX5jHlHHRPu4E64AA29o3CjbHSePb4PIn/g7x87HaQhDL0JJP0FRXKF4yeMqwNv1MGbVL
FbJhT2NSGtTwgh5K9lo5FW+GFJZe2SjlbmXbg8IFR2dfddGTxBzS1SRtfGICS16doAlPCiyIEQa9
Y0bF/NyrrNZboU8ejSqojtA24mOwGui0qlG8INlpncaoKIBjnSUni/I9Ce0G21Gk4XoZtq8TbQyA
mqx9tQh+djToWa8RBiNnFofytW9YItWznr9iUtl8s+yFxbbOwUV26Wu3fVF5aeNXZqGI5qQseg3J
13B6itQXwJClkwPTfeFgYiCPQfQFeRXUNBDrtzCzSBapZCbcyKPMFkXiv1+m8SpfsPGJ3py8A+YD
mT+xWw8t0u+6RrjFqabtE53MOTyQ44U87ekyldgphpg95vb7fTP1HtwR6Ea5oZ07qT+2qbGD2WW+
9pn50gNz5cD+xheVADLa1guClHmFGX2kK9jQPAaboG5IAn1WJd4lMM/VlLReN5BEao58EMJcEYOX
Jn/YVy5+0rYaY2qi7JqK3WgrSstZpi5hMJIpXtYXX8KynkRRQv6vp1Ow1peJ1IgAZrxxW3nFQqqf
YE7iV2zyp0LjOGYDDPortDjPRkhm9La7MGuNYzbJIQ8iNoJqjVJCLbVNsCPgKAUv60uC1yaxji7A
GM+aOrI9mQgGQLQDYLklRzJKj31brUHT4XwRtOzWJsluaKf0MG+ar3DlkB9H9smzkp/CypwcgAmE
q+geg30qO8opHgL9ZylW644lW+cVS/tjhikDt+wib6d2lGMY0YvNQloW9EcbuZXsMbKMDUQWyEE5
3DlEyrE7NS2PBj1u2PrpwRohxEIIViMQkJnyxIrloaLEDV91FOw5OJreMNeToun6OaXYpGmyfJOE
rqOkAo4qGQFfjSolyXM8dm1LeFAIwBrShLznQJh3XH4aL+wqjHODiHX1SUZleG7gey0XLIiqgSlS
y2NtN+g6Pf1cuqQ2SV68jnQOKYtFNX3BltfcomWGV8NQjGN7DfB1LwdaITlKXgk0XZ8ixggno0Hb
UpKWcu7iCRt3GxPUByISSZyDFxAKYZxzlEQwywb4gcvMTIBvkkymuF9vxiphxcI/S57rpTN1f5kG
9ZQnI3UeGUgHFXYEAe5xYW8RQWOEVUTX5CtbQYSqivIGGfHvkrcvMUJmrqzlqtcsy2dNUs7Cyokb
d6QJd5xaO9K0GFpWzGqHNsXH3G0I0QUAnzVdEVrMBsexJerFgWd/6C06nm5xGd+qmf3IIlqLkwwl
zp9ZnY54T5VANq69OmBijFnYDLVcHEC0iZz6wwmmRbU3l3GyU7NqTlRml2gNMbdwvbFaB9wrxtWD
tk5CbaQf2xmDJRFULbP7sQtq2H2sYwefziQ/aIbQetOCEq+KPgSRoDSTkXGwDM1tmQseDa2k7niG
vssybVCsmNvwZ9caLbm5AuwhvCJ+2Zh5EGZK41kh4qpejw6DWfDwrNt7p9ABw2IEnzEQZCmUseKu
M7lKcijCkOgXLsbxZBg9eNC8BSCiX/81jryTdlvohCCCmYCwHTEuQEEwagGaVP0u6C0uqEHLMWMT
D5vLxlkzkOPmJUlwmUgf3YgyynAhuqyFjJVtpb0QlKXwCh3OgkHMBdUOI1fIRsxI0/RVieAmZ2u5
10VZP1p6f1pSrd+paXrTKkJKyjzSgXqow95IJnqhPsqlYwRFA1s1+8F6e/j/+71/P4zbn4arhSxN
axeG1UWnuaQlYlbVCXrVDJFswNoUHB3+owrVaK/Mi3hMtj/49zMZer1bWiQsNzOcD/Nstr56H/st
c2bd4sht/ZBAamd5fR/JUrSVB2kWe6h1t/Ld/Bz/WCdAbGr8Jgk++FIGu4WrvtIuqPeGC0H1pru5
nMMvJbX76d41gYWWULC3scpC1KsfY4H/iEa/DtKduCMiytP/8BvX6lnnryKjl+g3MJ6/yveku6wf
QAC4MRDZkXlpAQCw2xfjlPjrWRB9YfdKCkiVMuS21yth6daDFaH4DRHzkhLj+Zx9A8lRK6hVthjM
bpO55U/9yBi0NWejvo6xq9+jV7XYdQ3pqGcOhI4VI88RVpnlUeo8UBKKDIjIx7k0nFFGE5XF2JrL
zILWVNMx5H56Cglt5Xh5ar4r0R52RX42jYcg/OFbR5znKy9ZT9KOx4xp+mn2CEt6VpFfGKPmi4pM
q3XqAxG42aN4pupWyz1MORG5ImfHHQ/JsC9f01fhEykBoyRsD14VDJqnvKrfuUwenw3rbY3/9mfl
BcAtl+oO159q7CKWifZ4bMhl90lCTD/HrwLm+z12zRvf3OKofyAtvNXzYXyPH8OrRASLg9T2LDCT
xun8zFMNCVFAxwnjDjrQBdNc7bQ5Kgy7fIHYi5pEeKSCPcNSHz2yMsP+sl5hv6bkk7PPYeHDuNLO
NYeA6O6wPk877C+gOPl7qcd260iAOp/NcihPxat01R7lFiF2H+Qd2eDhWQXMA9cUDIBvPYt34yEv
xAIHqbAXua4b93044A1YmQ2njnACC3NmcEwj+Uj3+bxdAREdx7KL3ljYjX75tz03H8J9PuQo9INi
v3rq8QXhpBfDzXebN6JzENQwTf7TUfJ+kQt3ES/SD1GZCJFdQA7ZFQRK/4kd4o0DuACvVXtSEhAw
hxIDtJl+sWA74A90iMQF6afs0xdTdAY62flgMGTmVnWHR+OXF/pwtARgFcVD/JpvumqXT6RjxdK6
3Um200P0PL8IQXohDHFPhGd505K9HrmETb1Jd/kW7qlNoSqXb4QOZH/bY+FwDHYMS5it+pHKc8fu
Pjq3em+PIWPAt8FXXeEpARWIjs3udzA7UZPEl/krP7Rn41YHXzPJuSclqD1UuY1ruvNb9okh5Bng
AeHY7yo0Ohenipr5pHsABe9/09+cIN/JIfwMEeJFVG79Tjoy9Jk+OcqUb/Z8m6AeBXjA9DtHlndR
eGNQau7KZ+tbw0L6Wb0IDiuTOlAf/dGckDvspO/uU4RdyR3tCedmL25JUrblzI75Dl74mRS66Y9u
Q/kPhmvxvDl6kOKSnLHLnvNpJzyYFUHxZQQGIu6h+vKf7j39wnrZeEag3VdS3d5qEkWe6RPXXwkm
RL6DKv2s3K17nO4Zg4UEcrnChXeIZj2FLGZ334Lq9gHlRumxJtIP8aG66u+Tb3yGp/YYBeWu/u38
OHTSb0JLF2Lmi6PB9oQvTqiUDcwvhNH9GR4H4ym/Ax9M/JF0nRfm9u+i4mRXaA8aRRNOm13BAYR5
BjXQbySeVfS6A49E2/hBx7ksGGAuE9IaxYFM2wIptRueNVw0MnIwGyQY0kdMmmpBHuSed96uX+Mv
eOQk+nZ/6FhhUOOYBnO/o/GLvW4n3WLUx0GaufpxOMFBqd65mEqJdEFH2bQPtnmt72LPlBArL7ud
ozAFBmnKHfmdju51h/AFtKRK7Hb7hCByXm/Cs8ze8Sl9Qc8tMAq28yLoCFs9LzuMd2QYMRV3OHX/
RBfzjA2bkE+vPwnP8806rVew1hkVw9k6Rdo5/DuZTnoSfLpEfBjKgyeiRO32rj2Mm/ERPfNI+DD2
yo9w6nbcfylNPQMDDNmdE+/aVzJSSXFEKeqIV8vDzODEH/pvdEQmHrF8teUPEgfUyWaLM7Ij3UkX
K7LxGUeudegidArOhkuHr2155jPZGe2vGHnCIf0EVBc+SXvp2gxf6al4A43I1A7CWzLZvUPXhkym
cvlF1RMtuYmfdw3noTgF6r5r3GhfLH76a/WvwmrDPIax3Kvnmdey2UbA8rrcWSrqWnf4KPZdvWOl
hKbC4DrfC2dWsKisF5eYFvzew269x2UgynbpRW4PJNQzkGbflcWW/f7VOktiUB8xQYJxbYL5pAcW
t4l0Fd7JHtlRusu35G90Bu5t/ohEonGm3hbJRrswuEYRoBOmCFL/lLv+yI4T1n/SvIwkDUyOXDrz
EZlv7FWX8sN6p0aXTo1gg1xiDSh8MedHjhv+aJdssuVbptotgHvalP7bEtHpITA+tyHHgivc9edo
vOvzYT3mbhd0ToQBKGjO+LK/yzf5sbwXrFG+Gf0AnjuWlwJU8Uf8Wi9e94dbTiLG8qh8C0+8u750
CGOXN8wgxI/qoHGSzk0eWbyzrHs62YO0l1mj9Yw1+ZS4p23lTUwOOhyevZadoFnvpGBFpPHe70Ak
WybhdLb+E5KZAViKqJ8jAX7GefztxV3I7EtmFhSUrx2CQWd8ET5W3mlyAWjGruYxUdg3eSRj5Me8
PIY7i97fbk7xTv0GGz9cESZW8+IAjvsT7hXBsRJ/eEo1Yq397gWnPP7FHqABni3evCMGxYVIbdbP
u+mqDSc9ho3oyCfjt+LaTmxNswk9kGztDgBHEZ4X6o3E0V7b+4RM/htQDHx+nB43wY+Q1KCsNVAm
w5r3uDHLoA7MXdHv2vXKFdbdig345Maiw8IK+cNwzHvXxIoENO+J/98Aao/bYPSI/RiPBnAvtJWZ
zVnFHkmPfaX0Te1Az57odyqFtHrR1XNPKpn5oJEUhjMFW/23fYJnAnk2pAz9TMkQuHNAIX+SkxeG
guVTd02uJZ7KwwQk6Hl4I388Y/GicUZhHHJh+VK41H9EMlx46L9qV8BfQJzpilEG6LuoujTZgeEc
5RwqpOQSfZmf8plDIv+b3sdPg9ndbvSUz+rU7OPDcOw/1KeavFY2wmhKn5WNNoFtCjTtuiPirPYa
Y2d99kVgoigqjpXiLOW1NFwsgNDeCKVbn6uf+rOOcW7AwLET8mq0v5HmYfcof/F2FepfvGXLO95F
bFg5mHgUoBoWRoeasfeNayvbpE36wqMkK/3YPbPtDN9AxxCa+lud9OfqPTWdcGeSGmPPh/IVD6qj
EG+LN+8MxK7mw8I6ooOswI5qG1xsd5BYLQoUJ3+hjuvLryi2AQCW55m53huvE3Mo5gEeXwfI3Bh0
zCc2bmH9po134VY845SZVZtynO11ilT0G7Hn+pcHW4Mx4gignRklsUNv6FaeO7qOg6DYGrv2i7nr
EEwzV1wd7a5BSLfT18UPqVG/ufAFEKkH6lYMPy4D8/IzgbX/dzh1rsQtw+MJVR2C/NeSo/oQ7qhb
3OKeHZXWJbf6kPvmPjmbpxovmEkV7Bjn+ErlEH1yz+THsTrUWGDgNIt2/ayvhzr1N79thoLda61H
iDWGq007aBeDHKkjc3XmFOouxMFX+xl3hOzUz6x/o0+JA4uKKnUxlpTHzAzy11By1+rnQ/is50+x
uo+527wzdY6EfehTQSUBEgWE1JRnc/sgaSEwn4baA4GZ3/uStZvDO2f98GHwVM0o42lo9rItnIvH
/GIm9vhpGW57UGObKfvPArHsgaGF7aSkuuutZeXnN2/ijo8xfAqRFE08744xhZ/sMwiGVkvCJQcL
ynFfPRT3KEBkS7iAecj3+an6Gk0bbOsjuhDQUFnUSjBL078MAp7Ub/YzNKIUrORRc/idUCxHEKe4
NJJb+cTLlm7ip3hXHgwz+GdxR9EjfOD1GVEkI2c/khHxHQnH/JPZHY1C/rcLjwhIti37I/rhNC6E
A4qq/mK+Ydj9Tn/bXcpKb0+M+J/wZGLWBH+CzwEA8tl6wsvIXK8+TeCrHM3tvPgHuDrttjjugGBw
H7WHlHxem+tleGdUwPN6IPSMvbvTYmxxycH4j7QzW25b27Lsr2Scd9xED+yIOvlAsQFJiRIlqn1B
0JaMvu/x9TWgczPDplhiVdSLwrYskQQ2drPWnGPe6vfSa7KUf8rDkjQUCIfSXcR8iPCTS14fwVjp
P8tfrFpdMQezSRJptyaQSVu4P91t9eyV2xAx71q9lubWJsHm5s/B2zf2Wl4Wr9CmyVx0n7nYv5DQ
S8ZMbPCBWGgl5m6/NFZiX+7rR8Scz4TAZfgfEX7yrKIIXQ7X/pFddfiL2Y+I5CnM/sdAgc+bfbQ5
Kssl2yb02azy9XOz97Xr+N14YXTeB0d3lTgkzvTBXGytnYK/8J3eAqILMT75FDCJoEAKP9PfpGvZ
KTDKL8QwI1qrm5lbWidz/4Zh1ZM/uSaHFAv8nfIwTTaTSIwznLVW7vLpEGvTYVhRz/N2w6Py8lIo
tOXnlH1o2uI5Z2Es3mK07Ff9Ut8xcLhJ/l7d+h/YX6GzZ7PgV3hof7IISA/KMn1ND0Oyylgn9u6q
X1sPzFETF/adrtu1dj1sCEywXomXNuKr8YFf1r/W3rwZ13o0o3g7hFf+mh2x+4FynOM62tvwA4RL
ws5IRzk5g3NaXcn3zPLerMducRPigTlku+yIHF1cT/VNia7Pwr33Hnyep5n7HH8whtsXttCEqxZX
8j64ZTpSmXKwnM1od1XP1bPxWj0zPfr38hYjwV2x7J45uxLxfK0sre062hP+9wJCcFkgKM2WTJ5M
lsYre+vH9q1z6MY8548I1KT5gI50Q3ozdrsXDuwElVXXOTrJYk7QAy0/mn1PYsNo+lHC2qEscxUh
CgPJc7Bfhn4r5u3O/dn1z2FFuuHKIBtP52w5Q9XvWLuI0j+PDQ4fDnEw8pSZ/Do9QP2u6Lb5L3dp
gFbSl0Cj+mYpF4634j9mK2M77PJbZkE0h2Iz8GbLVXlvbPoVV0C+BspCQ/ARj7E/i6gHpU+9gRdo
HbBQ0tzaTdtnvIQ/UrZl/qJfyO+FvYqqBRP4s8REPgkXZrlj3eTH6gU7hcrBU9lLjwHoYqNueZQa
8oMRQXciJqGV1gyUb/4U9VOURpQLQpiItLNKHmnE+xia3jwSkwC1Rd1IoSEA6IZX1pejbfD57xEi
rCSqC4aKiLaV0hIfXLKO43ly50GIYUob4xcp1qqlVRt8bnNis8pGyh89O9rgOKTjF+IuCdh7oVJG
Ido1d5EcFqs45f34eYvVeeBh6KYvIbKbq4bOBh5vUpMsq7rWlZ7tUp/9+0tvlzeNnpuriEyiTd+l
tCh1NpRxGRMx+CE+skoQRQHEswHBDhORNCOaHrnESeXzizk+xpbkrWguUMREYJwv6pIYv9i3nxFZ
lo6fszFH94gFkcKzjvcUJQcl2mF8l43wIEV3HhWLLvdsRAMK1udy1+nquxrJFUxQDnOmvXf5vJug
oP1XJM08KzhzuRLnb4G7GxT8h5a7N25Nypmnew3msZfQVCseFXnKnWDa1SGPy1JC2hOI3LHfW1UD
yh6rBZUZGmdu/qRXz4OOenX6c2D3BWqR6l0Kw4OI84eyr+5raYyYIwn06+NjZ+aUUIfnIZe0Va3L
DpX1pTJYd9HgObmk7jQOnqJ171NFf7BcDkeWaswic+DEUmqOGk85EsO46Gr7KW9GYxl5qIHcfnzs
RvWW28EGJtNd6kT5OxG40BXbZl7K/U9bNaSNAPUaJL7jauV1lfYVwaYcjC09jtelxdbV6p1OHvxd
KWE6wYwxrNyiIZLDC64CfepiVtaNHYt+26ZsMkVLMbBIKAdJow61VP05UDSGN20R4Yg4Y+4pLv7R
57ExfukdwkfJ5amLmnhpxGwXJgghBvZdWPichhX7HwzS/5lcM2Hk/gC62IiXLMMUOu5MXvQE6GL2
sZq2kl06nQ4fIhNgClrWCxV0ZZVA9EyKVamHm1wjd4OMlMe//uM/PyFK58E5X/ku06tPXD6Yeaap
n/BdrN7oayOzSkeOSBTt9blceZQOQqoY0iRQckuTapeMV/r711XADn352Io65eIaNLd09YRXJ1dm
3qu9UtJpIW+zxClWmqDeuzsi7KeaCWr6pLzBhndjCvSctJM52WbaWhfd5sJbmT7j6R1QVEvVdLiC
vKOTO6BEhjwgDy0dVwaLEBYSWAjpw89sVJG3/q2X05+cgDAM357uWftouCCLBTvh1hsuDAfrzHtR
FbSomq0bqjh9L0bgKqqUBfTKCyBzacgCP2EF4iE/+njRXMnWL9wJ7dwAVLF4WFhMZFM3T+5ERMdu
zHNY7mZKuc/qkkdLM9BJstMCqI14k8tvKfVbnrsAY9JVhRO16NnaIwfAZRJvtNgNkRiHMxkr7Yx4
FK6SwQ+50RLbLY6rsnyy0YDkA8rUOuH25g0t8AJyBAcixGFw9ur99zf13D1VNc3CImtP1KuTcT14
es6q5FWOnbAQwpKFklN0Fx6ez0F6OnI0lWfHkOFvWZbK3fwNxtTjdB5qoZZOWxoH2DT7NrG2nUXx
u+aJySnBkrq3H/MWHIPgDx0JcqFBzDIXAinh3vQZUXGV33XXrm5fc+9Xua0T8zcxS/K3uChvxgGA
Rm4WK7ly7+TG/5WVSbn8/mKpX+hZzEGaahqqLGxl4m3++TmEofeKp2ocBwRbU8/KoBWYaJxotQwJ
95T41MRJLG3dQ3uSp7KyvUzL+MlTOgSOnzG9/Ycn1A87Kh+ribmgedAKxs4DYGeXF56Rs3OHptO4
Y/GyVJiXf75drRJmZgW8XUbWVaNAtcFwdTVO2CklaR8jWuqTp/+tN7ahRu3SQwBHTWZGwmZ96b2c
e3o0Jm5ZR1GPMPRkCHgISxTJHkonMuieWEU0zCfayEBIKMbjYuUZPE91S4vdo43R+cn79/fu7OOr
kZ6ny3DeTAbinxdD4Df5Zwz2CIrmpQKvOGoDRKLDo92EBOZq2ayanjx8WcRtTJQYrVUfQpu60oST
6bHJYWPvP9wJiDIi9r+qQ+WjtiIKrt5NHuewe2JO2aLG3j8cWt/9ASdii42SgmnYbibKUj1hqL7/
YMr5K2ubFquxCiP2dF5Cg8oAkkvYlFujocRuargCUa0te1AzcA+j9agIMmw4NUF++f7Vz62LjLCJ
eCYD3NNO1gS9d/VGT1gThonTI1Ga6DC48dCGK8WzHkMjpUDS1Rc+87lZS5chJunwfSDZneDkgGqn
7UCksTP23EsEN2+mnb19/8kuvcbJJwuMWsUnyoBF5HczmuVKt5MLk+/ZMcnDoGiC54Im9+mYFCGs
FrXmoSiUpUZSLqG8dJJ6BpiRpfv+ExOkBwujaG7wy+wxNdGMRz8cx6R0FNugbG9aGX+orSpAwMki
1S0qBv7gvwU5cbwVCuBWYyQ30vDo56zNwwSM8qz7PHB/TMAxolP7CzdHmR7lP2d7QnAMm9wuXRYT
FvjPJ0038kaTgAU5HuL0Wc0yPtPjZKEigroKEx4zq4ofcXfTcgB340kFXZOcrW8u0vn391Cceyfw
kdmsGqpinU46hWnJ9pBrhVOkvySPZruvUr+2aoU+7rDvy9rdagArfG37/et+3Z2gmrQR1lmmrWog
m/+8AsJT6rEkq9kZR39uqTyTUP4xgZLbK5lMuuRLXJhfpxF/cs35fLZhYZw3NP10dyyqIBiHwcYd
ptvwI1Bms5V9ycvw6ftPdvZ1dFVWuMHM5vr0yX9byU3OcJoorcyxqd2MrrqSOswMhXthr2lPS9OX
z/Pb65xMapIWmy7CkcwBSVFLQp+j+eaUT8BKjyxAyXT6ivdxkK2zKuyZt/NXPVxbRXjg41NraJt2
KYlJc6UlCw09lqL55LuwEyLyJeEdp4PN9yAfdCjYCh3ATeNRM9JFj/0+l9MV/FBp0RtkJqXQfRph
I6pwvQcvwQemuhzzQ21tFIRQju0yS/zkutPp0CmtlV0JT0cAn9ULPxt/4jOX1h0HSjyTHfJIevl5
87Mlw5p+hO9xIMYvBlDkSBQsx1NabV5P7EZsvyoWSgmwjznmpq6eZ2tkSMoBH+PG9vzXLjEBUDfQ
dYxe33u5/0uGiTePXDrYlmFTwxwhGpeG8UIadzjecWguVi4V1kzQAG9N7DZhhHjA7v2nYBwPXnD7
/UhRzixMbCgtg8lARhlmnO6W4niUNI5pmRMmAAGIM3ho43SvdeqDXYofVCPamTxEe+w8zyIJ7yrh
60CaOqz+11lgbIZUf8C8/mIoxULx88dRIrjEJNFS1epylsXqahx8CjsFoGiZfIjWJDHDd0kmUJRV
78rvZYW/2or22NroUun+U9bSOpUAgmriB9D7B6MWu7FuHlSi16vWXephSkMkEbuy8Bc6NsJa5wdC
Ali0vpn7HV7OcJ+o+jVekr1atw9Y5rzyPRzStaYp74OnrFzJ2sGDiWZaqR6bVFnlPa3HgMvuunSx
prx1ugFFOSKuwLNwNb1PVe+ieWU1D76pvH/+XGteV1m1R307r1oIFSpyvjoWm15zHYO2YFPKxyps
HbdnTlP0F01N1/gsNnGQ3oy+eucZ+q1HVLHpl4/SmN3gdoG54/uPfhe9ln4+Xtc+TB7Xk+7Je77R
G+udGE2q+Xb5nGFHvItacjHT9A5rXHbPGZQx5WK4ujBCziwUqoCWSvHJQJVpnUwmBOMWHAoG1NFg
yDKvHDY15NIrU1CHTEpjGSTiHUa1iSSjRM4ic9ujqqcJ6mqdc+G9TMv5yYSjqZYObkLA8hCnRxSq
LG3b5UnmgANBnr6JJCmYjGrJgpCgq8ZU2g3Ce/lKyrtjb9U/lUx+qEqUNeTP64uszekm2pK37ur+
wiKmfD11aJzQZNNUFRsq5uncXnpDK/mNmToelgHqXbmNVJbGC+Jyb+v25aubkKrNCSB2KgvOli91
66aR3QuL2gRHPr1E8G1Zz2yb4FJ2LH/O/SDV7c4dGvCy9iNEgGSF/y+RSCwGhIGpY9aH/bBNY8SJ
WrYuJ5oGAaT1Qm8FsuI4xNFo/jSSbYydgLJ8fwfvb7zJXIJFW4wlqk6mlkA565b1fDSlO62N+SxB
rUKcg62lg9h2G5MgPCrmF27+1y20xvmI0FPZoLahqif7sCqq8zjCUwWhtdnVqqD1Xh5hUM3auDwU
xPrEzYD0RxuBxWTH71/86w5an1ZTxQIJbQnDONlnkn6Nu0kJsaPYtJvwK837YThQrVsGJrmsanI/
SoiHvn/RM2OKXTu4a8tiY6TJ5sknzqssa7y2iZ0sQvKJljCPquNoNkA/wlvDRSed4pHrgbJbe1TU
79+//OcW8M+nTZc1Praq6IppGqcbMy+IifyMi9gZjVqnt9gyOkwV6Z1MmLx+G8bmvsUcQHvboCct
gbboqE4UhMn1sv1cNtqhmb5tB9HtUOHlz3viEpLsOAz3WnMDxm8TZlj0ifW7cLe+ThO8cQ4dbNoN
g7d/srMrDOrWZpPwxjHd+xpu4NF+DzHhg6Dcf3+Rzg0MjaKfyWViJ2ScvJSPVNi1axE5UQTXwMLh
4VmrxGhuiCgcsYxxoqzF8/ev+XXDzMeDmK4BOZ8mm9Ntl54D1pTsCCUQv17kx2xQDiAZ5nKuPH5e
8shNFrpqXRiPX7eVOiEiDIlps84LnzwERkURo3atyJGaZjPEraPr0W1gytfff7zPdI/TcWfIlLs0
G7KgelrGZdvVBwG/2/FSY2+2nOEJ6ZwKbiyV2WshadeRri5D2VjasAX0ilm21HBaNcM6QBQIpMqA
Azdaz5J7aWSd2S5xDRSZ/butysS9nDySvaT2aRhi+y3xAY2B/6AZPXOAe10HNSEXrwoBmuQ1w4hS
Lg01Y1ppv1wXpj7LABLGSnPy2iwgtYByFDnCAC6hY/SjAgJrQbYy5vWsW9cw3WYYNME1QCJJNY9V
mvxENfFufUzws651yTqtg5tP4K2tYAS0eag1Be9xT4ruGLESeMGMx56CmaKWc5xxiELyJl26VXof
65jI+4kg8wkdq3MdAz1uEnxixCwihvhkGUiFvTA64EWf/x0gnoCdBPQJEzmlVnBwXfdWV8ambEEy
jJk8meI9IhC14gr2MUiO4Ad1PZRvPXA/MlodQFziSlWKI4DnZT4dAy4MuOkh/XJhbTGVZhRb6KcD
bgxhuPo6E93QSW9kZdBxJGpl2CQlarQCIIprkFqaQiLBNPWOO2eh5dXd92/i7MNF5ADtC0Fw3emc
legFmwfyeR08nUiq+NhypBxsq75waDtTb2QEC5NzL5O6Sa3vzw0CbjctzYs0djqNphPaRNJn+gmT
WhUtkabKAeYBenDuTa0Ze79Rr0u3JXp8vPRGvu5Upgq9QpvIpvjJ1f/zjYyhjI0YNKujVHAvGr7M
+3JVeccoGV6MycpZVfGPsjB2kxE+sX/8v19wroLOgq7bsnxakeMxMNvIZzYbIvd9ut4l+rKkdC9M
1urXQzJFMGZG+gyU79XTp7avolQZM2YMM6LFIOD8z+I8Rp1l7aOBMECTOSvUaidoTTHrakY55PlZ
i8ZELaGIRxgeODk4o2DLO7XvAl08JzBzVJewgR55YEWw0/zyNHxutiGGQldoO5wpy9hmaYPwayOU
nc1G6uqNlOdHLuVVqhKkLV+c9c9eJ5XsLBY2aoan9yPmIlkm1S9n6G8lpQGJHOXHhrIpSEgbZU0c
/GjiHzrgl04CV9WxIzWLTZAigPl+YFjTE3A6HXCjaPLqikY4yck6JxoVwJNXRA4mY1w6gP5twA8Q
KAuolQHaL0xSWV3d+ewm2BLshV2tZPvVsvVDgrYm++g9rCtBQiAR26WQBRLUNJlNI19aQfpe1xs3
hnBvhlo92D3FjJzBIGv5Ua+jJ6HVD0meHUUvX+eA6onNw8tUvpa2sSg8CXUt+yVK1ZQgxWFUinsN
WlMuggk8/BFkNNt9O9EWmWpe4zG+bzUQMLlVbv1GA28hL+nwz13LAnhqPqcBx1yGvYzitJfBWqrX
PsNhFhkBrJ23zz9bJuGx01XOCyoqfvYjlC+tqvrZe29RYWX+w9t3urUv3WoqKSSsbEW5SYEt2VG7
6WhyzqcHouw69EH+4BhKU3KA+WFypUOhHMIyPYZe+bPxq/Uo6wcpYJdZd0zYRVk8wOK4G4k5Zlsq
rqLS/xn+UATIkSn0HdLjHQ4vJ4NFFk2cKSs2UUZL5nvL4LJzo7pqNXSP01ysWXxLhoAPXoro1LjF
SZB593VFP8uSLiwD5zYYiqxzjMTgLaZj3J+zYmw1hFUDEHGkWpkpfXrv9e5GDheKVzxm5XCUc7Q6
brwX2XBh1zxF1J2Oe4XJcNo006zVTvf7qsJTrWPfdkZXeQfX9gLs/8lS/EUh0ocwf2sUzdGc4cOc
jGUGwh3/Rc6s68zVjnZbP6QFQD07p+uXT5WqVdUjoFDddEm9B0uVqB/8Ml5//6yem12paSkm+332
Y1+O3S201b70sszpQhRtVrouGuo7SfdQRul6zKON3FlLzcehhUpzSHlz6Ehmndw8xDXqCMvHOuPf
xtb4M+z1l8SW30dYcKH9qCTDMarkC2eqs7dXUWhL0ovhTHe6+uqSCIPSrjIHO92uMLsS0dCTV+db
WQ72HputNO4XQ+itBtu4mCt05rDCa0+VZ1UxBHP1n2OLKa+rK8LrHInwlCuV0az0+jVPzYpESkMK
H3DWb/xRfs9j+Z069RJi2yrt3J2hNg9Y82cRWdqzBvi0Jqc339/Jc4dd3hzHGaIQadx+JjL9VrRO
3FIHOM+dHOvsBdzYchiNl9BguvR8a8b59FpOqS15hrEzPbHRe+/pwjs4c67izhC6aJscsOzTbWBu
kYeWpFSXiqF9mO5PZwrHq4CY1y+6aB9kOXrKEpMod3sX4CdD55GF2ktYje+15e2lVH9JgexLOq5Z
S7nwdJ5ZjhUNVY3QdNakL935Fr5lOlKHRgndcK7OPgyjOMQVAyjwir3dpJeawecGi0bMlmooqspx
72SwMDLcTK3G1KE6sCw91PDwTGaQV+e56T+E/sA/9hce5zMHd/r1sqFpdKB1VUwz1G9jIB+7vpRd
ilc4lp9HdIw93nCrvvGy9FLh2zp3t39/rdNVXgqjUNenQpmAj1UFLgZTBVIXJxwlOBY9KcmBjaxR
11a+XOzGPLMw4dhbmwBhhuMcy/phIvomurX06OeV5IzLmf4MqD6hk086CbileFzlSkOEriWvKyk/
YIn1QehrNcVaKBJba5s35eGTfIxEM6H9CJsv/9BTxRk09oVGC3YlHNeVr6yL1FqkWXs7BO+eai1E
laKkszY2HmxKLmqfOXU2rORCbPOy3YkE6Is0rMqx2kldcYgA+DQSVlMMoHF7k7TDWmtwqRXNrzCs
D23Fu/TSXZ9CMEnc8cGI6ZSogkijDJP2VWCBsIn7cZb/sNd+xPEs0wXMF1d+IcrmNapM8tibmTRo
wxUgbdHPW5mQHA0izbLAj/ZJuBR8lKWOShI3nr4x0QRZoVcskx6ltJwcc6RZVBYrcrDq7egNMSzU
lHXELEjyyRiB4AVWujaqQJG8YMMTjBOUVssq9DqEm3UHmw5QVDeEBESQQ9gkbBI1oQMGieWYXzFR
95Elwkowdj6JvivIQkjGqWDPCGF4cQt01qHQVimxQLaU78Ho4dFh1I92ugd1Ptdy9mOW3K+rlKXQ
gBoX4RduyQ4S0YfAHmQF1cF27a1hlx9tkO29Mt1LVY2WwkXzpGNpz35WtvKsxvgW0yh7Cvs1LMOZ
ZYK7pXHwbAFHcnNM3kCKhe/4Br8rcm9kQq0awAGabyxraT0Nid4s9mKwtrY5YCLlTU7zAJD0FfrW
lRbBPXT96y5oXjLL6+dpM6y+ny7PPj+KZSlMDhqylelQ/duzahZVUQ8mE5JaufPSZEb2u7shJ/EC
lZA+mItmFFs+4oV58NwmhfoHp1fEFGiVTl7W8AcYKt6Ai4z2jyKLXRol1PPTCzPR2eXIYIep0bGl
jShOXkdHHAS8XqRONwin6Ro8UZDgE9y6VFMy5HRAN/29KNWbgFicQrm8Uzg347OoWibXmCrs6cFR
5EmR5J1BRwEPR1ygOG3Qv3eSec0/7xAKcOizZ6433jP5L/wAxStIxGu5BJBsU3xsCOSp6/IuUonU
ss2tm6h0sAxgyS5BNB3kzFlCuLoVVq7jxel75tX3je9t4IpvxdACUyBtqjVKHAop1XyPoBAPA3FC
ePyQmQetAQMXMV02w9QjjKUrtYRW6g+T00kejlo6OulI4I5vXRGCvkt8GSH/u1pFCHNaDPjkes0s
Lbgv8n1pZ2jYdUwDcj0ep7uZQQbD/9VHczs0nzhKRYkJtGEAnxXuS3hLkHvZiby5UodwYerY+cwb
Ghy9ueKReOq14Y3NJpWsghCcAlWoKrHquRq2HlUGMI4KCOHYDVZEfpBCgEC9jvMPjFSASWXY3H0L
lh9hROfpRBrU+iHvu2I5oPm38toD7yBwaCtwKOg9Wq25qWRMlHFJFGyPx7YNn8Yoh76RTCJxPJ+B
ywtMWMHvn8Fz66WpcUQX6N0YqtMz+tszGMiVkaRRm0I/pMekPiZmvB06eRUpxNX8f73U6RGtzeEN
ZyAfHd+CpJjCF06psYNJvOpq6cLHOrtLNjlXoUtBjsZx7s/PJRdqnhV6yeeKnMonTc9LF36fLad9
e6gMr4pHvBhOdnDDFz7muV0PVRpKUmy1OIed7HrMEllBGjO99LR9IaAnCZaXut5ZvtgqOfeXv39/
Yc+/okElfwo2/VJtAE6NugWOoVOGJQaw8gBV5qi4w3MWlx81awhUp8X3L/k5dZxUOCjrUL+eWqmI
hU+u71jlUP1JUHDCPvavdEIOWzSOmC0FQaNyORtr86GCzUQWXBc/EL1bRFAcy4E9QtlNrb4Mj3m9
l1ioKsyu+EyTmh1pMK6I+SWUW8qgTpA8YiXGNkL0RqHLxRQ3rs3cMq/Gclx5bl5fWTbPW4crjawB
atvbFo7unGdlGwTwpWjeVleK+1DGGONqmHCJ0JwsUR97UdylUkr6NZVYBM1zv/ahCQspmqvkJ1Cb
7XAdT+7zogKahACQkLDsitNnegXH/zW0oU4YwPG+v6pnRy1jVqMVRGsaDeqfo7brXbLSfJE4XZF/
xMOTgDYSueMafN1O1Rd1Myd3eBwvFTLPDSB4QBQyKejqX04GVSsNfq6aiQOh+iMcuX1irI5DXB+T
SYPRl/ke7s/h+w97bvWn84TiXZ6+fO6uf5t5ZFFGCJIhH0YsIRm4GrKoXdAL6b7MjE1oK7dxVhym
/cn3r3tuxvvtdU/Pz+Gox21myAnG5n5lx4yx0K52nao8l1m7+/61xJkKNSnEJiIxjqXMCiel8rqz
CfQglMnR0vC+79uO4Gpj6VGNVcu4JsYl/2UQ5kb3aVwNso+X3YaZQd1Q4Ua7bmXNjMrRvPc4g35k
mv1t6Gl7WJV94gI41WJEfpLy7pl4sSodWJ5rvIZoJBeqiiyvJ3avgjHoh4BzjPGxbkCajNEDcyPs
XshTSz9ds6fFFo3bpMKtTXLb86e5xLRDmdgnbHdiF2W4kQqJ84YC/nrGyYuCccZeX0oPxGxUWEKo
O7vKymsNMu7qijQ9giGRUi1So3ttR70jBI5jj1IbK+ReO9f0IDl3wC/JNGEJrmFMRFeeCkM40vq9
Hvubad9clNqzzY64rxgbRCosPL9/1r2RGKz6EGbNjriHfGFF0raPjEUHfjaQ/F/SWA4Lw683ZMzW
O6P0SYvC/EpC74Ul5txDI6YAahoPPK2nos44zit0lzl19ZzTVaY9t+Aoall/NnJjS8P3uSai7MJM
r54bvAJNBm4Ii1bx6XjifOmRW8gEYcbWTgV4j+zWVedKdVVAwg2mdChlasFVgXBMNyTSMHF3fRCG
jhcmD2VDWzNXafsmpHao4a/UzV/Q2xNu1Y4TWiLawuKFl9AAVAebtYhbLMCKAQ3i++fijFNAx2OB
zkNluqFWefJceNIQo6mMYR65yRL9FA53mYp3Xyo7PeFTkb+VzwJMfdIAfz2SfML2hECYPWRUyD2M
iJKoV23DLFynD6Tqod/C6rQitQAnLvx2Ij3ip1ZbuqYGPD6HeFlLBFDE8hQNLZP7GrS+8/2H+pr4
DfoR0YAybaZsyj/TiPltRhPmYCe1qsVOr4aLgqI6KDX7UGdEWZRqv1SEm8+zBHR4oioHH74CZ/gU
e69HNkidRqsg4hgAtdL27Qvz0DkhBqJtWkfTLsH6Upj1emPM3ZbJNrf96yaIj1Jc7P0MY7ShY0Su
yTgp4XhXRn8A/njr9/WNQetr1rqcPOvKeuqWiZ9+1BE3Cko9MrfkYyCtwOr4FU1qbwmtQe2jS78u
XFP5zAyKNgKpAAI3GjunXU05dD2TslGCPrskSCnC79cMTBuuvCH5GY0IV7cfs2Dd+RvRgR7Iwmi8
ETLshs5/l4dCvaWBRnc7hhikuVM+Z1OgelOGozfyuAzxD/Ih00WX1rfQUeGekKwocmocqcnTYgSt
NA/hqpLbycM2QB037OCeyQpAZZpZThwJnbTdlLOUrW0ylYQczacuPHW+4Kb4GwBqQPpiChRtO3FN
3Q98ivfPVaH5aA2FtJCLHOWppN3bRvCcIkOaaY2uzLqcvZIt2deR+Gl1TMFm2Lx7hjx3DXYzaesg
ZJsX5hvE0g/P9Ta9B/vJC425p2X7aT1prUdiMN+mTWEda89VWR6UpnlX6fXRN39uA1Wh+88v1uT6
4LPn77p2LfKaBrm/hVrfzr2g+3XjytpOsBp4ehitqBZiSS8LIlOEtScOmeMjRECm2BbmV147Yzxx
Rwf5Lc2GnxfGwrmhgCBNkxGtcKg97aoNNBPiqtYSpw+zGCykNgPve594Vb/iPMf1CcS+1SVCPKf5
C59NlCgXlCVnNi0YBG105sa0op8WeIm7Lopk2qCJjNvXxfmTaYEYbkXBtUFO6oihWIz4SGcBrOVL
T/GZ2Z9SCT0dyrjsEE+r7yk99qZLgtSJGkIk8zR09AyGmQXofq4V2KsyzEjXtvFg8AwsE9cHHlo5
bp6R++zX9kpNw53bFOpaG6YIwFYAISSXSzbWbdO7N9Ay5wQmHQKb4FD2Fit2NewJy/KfVew//zB5
Vp+uy59ZTvCq59cnf/2v1Ue2OyYf1f+afup//td//flXfujfv3R+rI9//GWRIocZ9s1HOdx/VE1c
/7fJc/qf/7ff/I+Pz99yGPKPv/86vnPlgAjjVv5Z//Xvb63f//6LTsc06/yPjXR6hX9/e/oIf/91
A7ee/W9w5oc+jlX991+SLf4lC/RWqA/pTVKQ6j4+/10Y/yIjgmXQnrwtaVbW/t9/6fK/TPoYkBjp
ZCBSnfQX/P7pW5r5LxpoqK35DzIRLxxr//tz3/1zOvvnOp83uyLqPGlU8yTRyEHNgdBTo28qnyxZ
xPaERVN4/katmytb9/Y5QRJg41WoJr5ab4YoNlaUD8F28LfPL6YPiE+WAScOUb5ulXdQwNnm84ud
DUTJf/6RTBZAEPW4iwKaxboPaKyOTQek51stY5wUXlpeK6OBKSP5MOmQeEFa3shFNQtaQecmEf1V
yUGEHwdtCCze69V5S9/w1k0KCuymV9DN8Wdp2WEOFE1IbBTMK7sZH9pBiVb5OG6biSBrRqZYYx4n
0JmWEMyDeVH5BZl9U5qkiFGhq310G0ULfLabgn73swzKBhA1ZgAIJRE/nLo/qpx6PXT665FCrxY0
S7OKxMwci2SeBUD4VXuAf6Wo1GqavtuoBog0l0RFdDFsa2qPc6e/bkvOsB3d8iu76JaqFEyJahFM
KAJdY8Ea1Xr9SlHd297z8YFGGNlLDq19Ln9o6kFUCqAuGpCLShoiPBJ+OVMNbHwjwSM0GQogomHC
brR9zOUEUbtrlLi6h2WTbXMtj6hxh7/M0LqPClVd1xHxN60Od0uz7lBP3dk0H2oFEIRs5htv4i/r
RbVV1KZd2ZTg7BHnbxwsggVaMSI2hmxbpEE+N4fOvelc0t981XMXYQEMTbIUMpnqZCai6raUTBK4
lMksFvGOrZHrEbnRYUzDZhYoXbsJQBon2X2oNOOxUpd90X305GKv6QxkM8WscTyVkLhi2VjEWfxg
dGKe2wUK0rTSoT9CjBGeTziKyPrFaLnw4crQXSY1ZceAM97al0hS6/eDnfoOuhkOA5Z+EHRYNi6F
cL21b4iultZcmi0ZXWBPDe2DrRL7GheO+P/m7kyWG0eybfsrz+4cZeibwRtctiJISpQUoZBiAosu
AUfnaB3N198FKKqUlVXPyt70DhKJjhSDBODHz9lnbRy4AVI62k0oPqbDXHWi7UDnX4cXnLrzmDch
T/PUJs4U7CgbQkpckXaY43JicjWJfdYYjzNdGluZmsknX6MGM5XtFo8LrGhyeHZF12kLVH/nMiM+
Obp6Qz0CUw3F0Tb3wVwaLvEJAJkBOyF65UqmXrk8qnpMwrItf4r8cUpyWqwyfXqYB7tHGu58VjLg
05sOpf+h2EpLx7Bq7E40GWw7y2qeiBVASWFVm3TcZ34z8I07zvRUYfXV+/bPHF/Jr8gi2to50/sX
2hNICMw3IUpQP/GAPs3lG/6LsGXQWt4lWNseWvkUY3x4kHZ7F1jYgNcakkq0WxsTKkGaiOLgALs+
FsC+/IFfL8HRpNNBoNILEFH7MQ9G0p+ViCDE5NW9BBvV1Q2SjKnVjoPc4i/Rz/HNGt0DUePBtfsZ
rzHkm11pc4ebiX7sivSu8sxxW0uY9pVe70vMmrYD090qL7YgPuYtOcMTDOfsahriwRwrGoS2AqO1
+2L63LXafHSqBuWgfwcOOH62OP2a+uk9Xc9vHk7Z7dDXO0NDuIC9OEL1HixBoM54CX/XA20nZlkd
cRFttxdRoY4EN47Xt6MHp1h8FkPbb3rEJIe4aB8jo9917ryN42TAP1tCvyoVOHTqbGgQcBwonNuk
5vlBte0rYIgvqY3pcWvLCRNsfIwbqJOS96gc+b1JXWbobn6Yczw7Y/hscYnuRAv0bzQm4w+9jQq0
PXY0xPu2K/5IctR6QfUzyiYo8/7Ms0klxPcZIqNmJMtWTbS1mTpYXUxBoHg1aLgxuVV9WW9tW0t3
XUWQlXvDtaOJwplTulQAA8+z+2CJqDpKF+5V1rdIrjSJc1LwS9T2a1+nzcnEiHJDg8CDgXX2Nhln
nEtNvTpaAyxd2wb6xKMNJ0v3hAegdsDs69tkw070qhkultfe6YVUe11AjIytMx44FiMR7u4Ci8C6
xOTTz4rQbNBP0YZwWwD6tNSkni6P5N4rGsnig1nF0z1E2m5+8UaIWSiIDJpA/J8DGDQJXaI1ov6S
DPWt9uL6jpDzZ63Ej7T003MEqHojtVIdkumLBy1+30x+unP8kZUuot9//taIhvulAVPXGi4GHZqu
lrm3s6FJYrjL9OGPaZRyj2nEdWgD8PCYfOYpaFpVznRbjE19Ymh51O3nWuLv7A0vrshf6UPOnkmG
wHZyGDXtIWYuqw+/OkD2j2WqniImUzssX6ZNaQUYtNMJaRv6V9EgwMyuaYkUiErJiMVCMxbzro+M
0HDjLZ0RkKAinHgQWUEEq/iWOqV+FM6XuIjjZz0p72Tb8lQp7ici1KM+T8Z2DPQXq33sLXi8roA8
KQLgYmOMuDj4bkBsMsjfbWN/UMdJWM+6LMC/J6RkBNq4rqKtyYN7ihAD81BRG/tY1l+1CVCKhakg
+dghOuiqyjAnltY+ccfPEAJehY3q2BXktAanwdin/yrpztzTN/TWQT9Y0vrupjM8qPTgu0lVHTxr
LLn5XaZzBkVyIyFFNREJbgNDvNIygg+Ri1uhj38y8It232BVtaPZXm2doK5RamjwnzEwv0IDQpis
TszzrZs0BtwcSn5Wr8asuXSZH6Ye9NLKhADVqhAvFIJzBes2qxz3WBBswPJnpGj16MhY++DUICSr
BgKgLpNQN/OT1ls0hsRBBYoJWxBB9o88HSbRWBwcPKm/9Lp6tYTOENKWe90CskSZEQhtZv1IqLi5
jXOvtfDwfDM7lhUYa9PleV6V3snrtSfXV7eBywhOxVlvWm5j0UKIRsBtDxptPulDbKn4OuMXone7
vJu7MBBiojTo89SZ5tes4ua1TYWqJU6hvJbtK6MOvuekoXYjPAGaEnXSmfqM7RU9ziT4GpRvPgVP
VOEttd3Ia8sQ2zpno1M/K7t8OOjMng/KrU5wd75GzOXBJnoCx3Ljl+iIM7Bmv0s1PDUdbL5rSxrb
qcW114mLeU+jJVW9pS62yNJuho73mObkn0ejqA6zBy7OM/XovhnKed/hWbP1vDm7ZCmZ/oJYYZu8
aob1yqdcuMc47ApDi19ahxyiFxzt2LOOPXhatwHQUeEbu88KJw25vcAp6gN1Cjmf9LyMtg6j9a4t
gJQOvnWxC3Bafga3hBtJ22J4QEQ6mNmjrMzQAXqLOB9znsI40L4ZE4e67pEKbN8azl2rLOOOKcl9
GgjzrI9Rvhsc+2fjYy/iglaeHSKW3qED1jP3ZFGh/Lp6trMlDH2FgxHVVePE4M2VgWtVbcbYbwV+
SWh2Zyl89wILLGDR1wQwmvkrzqx2XxjuVzBQeOAyux/LbDjVlFHiEkxDSr/rocooftpwl0f8e/cW
uHf0nGBfJYDNeHl05gAtNb3Fhsv+OppcK8JuzqQpUyCtztcSk8H95LXqEzam+s7sGR7XzVqVpJhS
7sau1hlBguCW9gSnE94dHTcHxoTY7KS5fNYbuzwUnpgvA15ImzYPYHnZlTp67uLCMcin2oJxbGKP
mSlVv5AUCEe3cvYOEgOC4xZ7HQRnaUfA7jhJu8Uqu64fNX2ooOp7yQEil4WhzczEoE7PbundDOYY
20hrxB6WS4j1ibMpaKfnIpQvqi7c6xyJB6uYv1SajWeXodlnY9jF5q5exHn+YA57z3W0rbekTdDy
bAIZYTthZt+xsY6wD0kxZsbPgZK7ebaxmLsQiODTpPAbCgpsZ0AHWlCXfNHXVxcXsYe2vmA2WO+z
1jraASJbF2sy5hztF3Q1RNUFpVtMxk6NLp8lUhDaaS0g20N57jAmvwwZ/Nc2g3CAZUngZBtKmE+j
2b+RLD6Zifc2SQzKdFQLgDIhN0uUaOnAY3TEKzYOUutA9+NutkTCJ7028LHudQiJuT8XWyeeucww
Gp7jr0k1TWHTAd5lBsPE4bXx7fTYmgyrZqeOPBp/iKawH3OjODdFQKpklvgmjcWWbLobwhW4Q0LQ
etExidUPh1rOlXJDv42SFOanHT0jXf6ZB219GB3R4a/5pOKme0kctziKBCPIUT/0dTNe5jk95xp0
+imcbRBfWf8WOIV6YCqjz4G4enRqS7L2G2JXPHUbLNDq+VXxq32bUmtTj1n5R7zXU4X7wkIK1I3+
GNTzA35v3NMJeCoTV+oDmiaxm4MD7mpcSs7J0wcJT82MT9j0knDtwSrOEd2tsf/DdDXCLM2k+9zl
yVir9nNctbi1VWC3uEmTsglojeE6moMnL+lx5dAoUNUYdteef5K2MQGoaJ80PaUBfQxsOvecvUzl
XqRa+dNMsetRBrd2VddEuOWWH4c7mTnwPh6y+3EaLzEt4E1n5p86fLA2vcO/vzK0JrRgbGA9H51y
zYIRW+rEynwvGGXmuHnpsG/mHA/WDMiRPrUPlTs8Yy3CEAmC4qjr6hJlo4W2kGF1AjU9DvObVRW3
UTf7i7KVeRBmRzzb2tucRhgCqxa7HhtGOGPyPtZRxSft9GgqC3idnr8UXmMfXCb3o734CztUI0pP
nUZVuQeBdfaxL+Jhjwr6S2fhBJdEw3DScnPYBJDzfSw7HK/4I83qQ9Kk4moo9WAy2SbKzLRNn5rt
SUXqU5AZOIjYsJWTjDF+tBC1ExdcSnMgGKMnaWtZ0MuVBPxStb8qV3P3MiEFnHvPoufLTi3E3plv
YLRbkQEI6Iu51ni8jwPEby8W+4DnwGG0Xetg6Mq4+gDhOl3HqxuJeUfr7JjDi1wEZqIVXxq3wRRU
w49L083npIMj2WI/OWkeJs+LE1gK00540MJjPhs/m/rVCuNzO8b2CYq41cRn/HYx5q6YwoAN2LTU
PHLFw6QKeufYm9mTjc7DtCe4kaKF1aEJim94fS46cXnWszb0pl7f6BnKSSGNGuL9xMjXmRvXKT+b
UvyaTd6uwC6esZ2bfwQT6qff0ICmZBy6SzxwbZeSu00vAgM+YGUvIHNjaWl3J/BzJcFb7dHgq3v8
E8o4krQF6F8WQn9SxQT32B87dfOg+Z/EQF0vjfx+S5fLrXRNM6x1zQx5TpG1XrfpW7fCdW1dgHdE
+9mHPn7roCAf60bCb9USI1wXtQMjUS6LdZOHt7HVTZzOyiI3w2pZJPkA661rkntan9KjaSeAKfPg
5kYZNP7lr7XLR1gXEEfakI6cjw+hdzoIgtxE+eBFM8dYrGv/bpNc+kaWWnvylg+oF44ett43qZcG
zhJsrLuBwo37TDW/9AYCNiEIU+9pJnBaPuy6ZinxkBPmH0jhopxY92li3nLZx6d8+dIK+BHvXxIM
BntrmAbo4T71Q7frsXOCAZeGfXLrOpv8TGfau0nTO/yeyn3NgwcWKYt1LSA/977W8DOtZ3QEAObe
bCKxcweYhkSzXUjOpFu8UkH36XKgnKgWtU069KG1vG4E9krBqw/tKNDvGvRUsqRzbB6S34uxy3C2
/tipGFG4SnBkYa5705pswIrYU4SRrKEjGN7X1n0l0fpdaePyOEZD2LnG70WuqeaQ+eLTiLfyIfeM
p7h2ZUj2T2JpNxibql+8n9E6hB8LI9creG4swD0NO1/HJn6QrjgZQb0JOi2r7rCXrcO8h57pEaNz
QVcBvTZazS9U4mbml/37ppbpxo7SU72xlwxhWrhDmHEnngz3rY/jIdSNuITnC1TUkkOolsW635dZ
jMkXdaiNRI+GGqVcIuCpV2FAi3BY50HP9Zx1uC0WmAhcB7vpQZY6pP4rkdJ55fm0Qg3DvG3jqsNM
4O+L3By7EEglvmVj+bju5+/jLxZsU30eKPkYFoYpWt+GCGsTsngo5abJqI6x9EILIOo2rRJAHK3b
AUX++6Jc/mhrdyA81p03TJHb0KhjkJ7LG9bLB+gnBLXk/9jGqLOnacFD8dzIT9LhukvtAOAiRGHY
a1goDeiddaZJZQkkAnCKPCTdSzBQqMNUlGe6YX9VI4qcNBvIi8zuD7MmO+ul1mnItGuEyarfeAnY
Kih8c4Z7saNlSAok0l3lRG84QNM40UDMVM6hT43n2gq+TEU57ClOayJNjrJOb2JSI1PpursmEEC3
hev+TLVnOt/q/UhJaOs6/svkxBcrtfNDT7S+CSjvHYqJusOYH+nS2heYKeOPkd/nGmINzGrxMi0V
fkBMGu5Sm0K+64eaWaR7aUGT88eFzkoWFV/Org965hfIC+0mf5aVb+3iovuDkK4/9Q5RqZa9iEVi
5aY8L3F1ySecG2AbbN0lXU5lgEZZXLQQ4vQPqeRtKS1KspTyCrkGZVQ9gCdsSneTD2gxwRSOvfWz
Q0+ZdwHzCTfI+OTam61zXcjJ9bi1MOCMxminhhrf5MClpvyCRHLeOY2rbYKcCZcJx7d3Mw1jPO/U
BqkT+mljoPls3KtXNqcsVWicgFs1EnM0JLFUX2k3ztu6v7U9RjCa9blGHCtxKN+gxf4irfKT1mNN
51OXbsiVHQ0tcjaL8/rslHv5pgIgoZbnHfKwKJsvwsn7kNw9uQ3NPHmG8dZbjKoefUB7WY7mKR5e
0m5oPpHJ2rjmcMwCrCOCfFimnRgfxY63w+P8gMo23dYBNHjP6F+V4xPu1SSgOvcbBZv8u6v6t9KD
Aml4yfdu9uiAnrUAaRo/hhYvFupD+Z0vHNl2uvdz7xB00DE83P1iZf5UBd0i2BRBndjEcXSbI2/a
jT15T7hbR9gAW9y/283ojhikg2nNCpoobcobRDIy2JN+fygHcJ2ji99DpB8t6WXHwMbvqImb5JiP
8S8rc3HRIiCntrBk19TjXGszRfVsO9c9Mzu98lC05pfJTvFFa4PPzBCweRmZYi4CHdF+JVfwdRjx
h4mdpbWBDCOlEIYSem5uE4U2shytfmf5VEMmaNMNVget15CoIr+6hYJ4Loxb8zSb/MMhjFwJwd9m
y+8OboXHR9ErEqH1zqUL/WpZGeRokza55sqtxdXlAJydin7p3XmzC9QAZf9EI81MyDa+6EZhH2K1
SHmxFdMcHb2tx2XWprgqiZTAB8/AJCnfYn4Y5uHOTsaJfUg7nbQNM8bWT09NufjhTjO+X/VShCqi
T6AmcQ5waGIyPAq6hpNcubk2SymDHjuAJ/6UY7yA5wu10kMusFrzij59sm9VgQe45cVwkPm6ycVY
oV7732Jf6tglqpLpufNQoVDdOCmg+J5U3+RCWK7Tr5Pt4zBQ4VmAW02DAe5WJLnxaNAl4abZVxLb
+C/GEoeo6lT5Rnzm2UpPR3ckiNtj7ujutZGpXeJW2ONVIxJu1MlOR28nco1PCYUVpiY/NY3/Rwm+
LGoEE8/otUN+7B78XPvh2AX4YqX/0eDUMcyj8SLFMB8SM8h2xEaf3KWXkk5kMgVR1u895FGUmkd9
OynyzwGPYeLpaBOQ6EYOWlQPI6TJcgqrxP08ZJ150zE627eSKy+qauckcTBF4eN+K1v5uRxznECw
5shqqzjEfn1XO3ZJn4Oj8P0s7/qZBzve1xh3xf7eihlOxcATvE/Uwe+mi2k59zywcCESTG5Mq+dv
k5pkcnmf5C+OgvTtNvWLOafwvS0o6UHckZ8V88ugMEAAKU1mbXawtXLv5WSRojUPldVMd7khLrYI
XrJKNPBubPNooNYjH1Icp0lcVYYmqSH8tHMkacn0Pdba+ZhGY7bJlfuJwPOLDkaENNaIcoLxHyNO
+k3QWGP+dxWiadE3fekjuPJOlxsLG/AF4ALZZI/+Q0CPeRUYR2/yngfb2M+TfrTNxXiPegwTPqdi
qiy/yVx9qakcbIyEBkVPfRNyMJnXGk/tOGO4ZWqboob5X8h4uNCT/dAWMOfzra3cbTLNZahs8mLU
LQvS/PCW02XfemBdCK0uwyL3S/jP+Qt5zfSQzEQp66KuCU57Hro+kLSNM5XxnXDt+2HCLy5onvAh
HGB/bpt6CHPV9EdXEi6si0gnXFnX4LlEmDEbIjq02FpU494HHCgqk9JKr6nzFNnxEaXQ1jfmE269
8V6Qk6RMZ0dwIeIaOjPJVQBCoWe3410eZdciZ+AJggpFE8N4kCLW3JZDM4ZVbp8yHVdM0xZjiI0l
On8St7tcEr8ySLZEKASxLt27ZtrK07q/nqGRFfAoK99/rEnf7+ee8iR20kPUuQfdKhC2I3wMF01S
54iwMnsyhcXMrJRS1snzCYTctsZ8o3Pw6NQAHpm6Xu3xKi7O1uzn59noi7MdD2REmF7Fk6joIHC7
YFPH0tkCZeDeM1uYJTFhJzrKOlzX1sWQgtrZrKtlH8tQHlYUPS3aORJJy6A+bPyqersKJ597G0FU
xcxK9HuyZT9jPW1C2pfr0JGw59ZNpnqoTjV8eKbFUWf5ybxI/P61PDVjIZU2l3r08GkzAzwCGsy7
6DycSNiDCg+Y/G3F8qdwSSV3HgNu4+ug1+pRL4R2tGwkx2nk4A5LGPixsEpCxdYUpHLX1fUIjUKH
CG0OmJykOCddPFMoEfdlgof4ck1O+giFOhPNVStp2P3Tvs5tr8qYU25UZn7u3MWH0QRgulzdxvLS
dY16dHfqy5chda2QJ6cVFirmToAUt+gb7EBU7wtjmSLMsw3XMom6XWAV5GaWWURQMZ9Y19aFk2L/
agy427RDK86mwkevJE8tUoRLFvm8UGuPZdTGoaAPdONaYHLNCrNR0nqE9XZHy7MJ2Yi7nVB/XXii
Dw5mTCfMMq3rhP8LG/lkx7CObede9FZCGE4IVwquHWh0fegt/sTQcEgbLJoOCnYCY7S2k2Ff4TJi
uCjbzLJkzvOPBXrt/A67cSzokxx2Jy/ez0L7w1ZcOFqa1O+L4B9rVh3gZuFxjTpd4h9G0d9nFmim
d7VIjzl85lZ3uymZPYi/yF7uOtfeqmWOWCyzxcCxmM/E5HHXHyJ2MsQn84Sao208mKeUr8l8dANF
fELySo6MqE3pnGvLOHeUgEhQFqN2nGmvCuN0Jp8aVPSYdFTekParYz/Zd30reHZVi0dNUGIPxU8P
LSDm3nKWR17bRvYB2txj58+Uc+ig3xeRJPFrd3xYZd/5Zk/f1DIR0hxvrzL52iruMGu5NHThELcG
3gzlwSrDZYAPEWNJNOxs2mXTHa2gO3XLJE+xaxeBUtwMs82D0lrmgkFSC0aOnhlIO1MZSig8+Yqk
sNV/d03s62Y8NsxlFgrxsQrzDMgLgyDbY6zIeTaC70Lh8ODltThVpBVWCc5YAqV5X5XL9dm0IKKp
HsAa5MMl9evk5s1p/aQyJzm8tczu6rX8hCpDabehN4PrGcOlGQflmD8i9ck6Je7d+u50cnApravr
Qs/E+9+mVFWH68JsRz7ox7ZSVrulh+NR67OvSWwd3SHxjy2IX/45y9XFFWLM2FtpEA+Xh8uyr7Hd
Gmy4jfxh+RfbXo+/zvo9pFr7OtuGv0shNuvLweRSIsYJvbx3ww4nCTlk1vu9uX5ENdXAUqZFNL1M
yxuAMJh3fM6X9EhbT/HRXVIpy1ZEh6waC7X35kiGsHPLrZ1E9JJ4iltl+Vjr/bJurot5OTD0cCEU
9A3mI5wyokM+WJZ5CVrnniYw1CX8uqnnLL8K1MnKOmSCSaAacKIEXRG6Frd8geM6GfRXRjCcytwi
P1ZZ80jbbV5Xz1bvW3dB1t8bJRxvL6YlhjnNbiTXsumC5qqEfiOCIBnJk8vMOwDYKjeptsbThg5M
/IIMetMGLURrT/a6Uj8q8pqwQosnvzJf0859c3P/vq6MgG7+DHsIQE58284lT2cakdOU4VzvQqeS
ZxiEb06PMW3t6E+aY7ebwkOVMyVoDNriaxyY87ZXuN3kldiWyaK7JrOoLD871sL+3E9nq46uMmc6
aTr0RZj9fTrkXyUEfYobV4SOdBZm8gfp+PZJkatUGCg2YzI95ZF+1xGP+XHdbYkKAcJq3c7zdbpI
c/dKmv7mp9iNeo+GF437ysbGZ3TFw0jLLOFEV+79yd5bJhNjglQClW44VY38wR05w10kKDNFhNOA
jst1m5rN1m+RP1AtKM9T7bibwcIdt6x7jHZvjhfZP5KomShNLCUeSYyqIMz4g/4S29pDQOJiD+0r
O7lD94dBQ4VRJ+pxrFFct1ILDuvNSNK5v0tT8EVlgw7X9Y/rUyRoQLpu19VsjM1TPZ2QIfBcmzrj
wYC7egiSMqAZhN7wVcD4v1WiaegLdfb/rdD87/xbm9Em/K73XESd76/4Lc+kAflv9Fv5hGbg4mjZ
Qwb5rtA0PPNv9gJuRPFrLkJNBMG/ZZqe8TdkuJwOBcNB9b8QHX/LNB0OIefh6GK5oOOk8f8j04QB
SuPAR7Pd8nnIyTogFBeuvv4vDX4IEaai6HX7F4X5P5pxii/J7Ih7uI75LmiM+ZtA+kPHZvqzLntS
9YlhPTZpm55ovlZH2WCykwwjOS4173taYvfwKeUzBS+kG4KuYB/Pm3URL/3BfV44zCem6jmuK25E
x7/RX5zCwVcBk6VMV+H7yXD+w96mW3WeY7oWUJAcLLHIB5g2t7m8fiy8SsmrT5MdGQWhBdt2oA77
cXhdW89Z15TytEuE/e3yJuvu0owopxS4B8fasEO/abySwb2nTtD/MrLxTH2gf5uaEQv10XHv8xjv
d3zSC6YcnXi2dXqZa4+Yz5uX6EiXpBWAO1+Jsaq7SEafP3at+9fFxz5isj0quCBc92vIuS5D/6hZ
kq5onsrjuVwWbRaP53WTKy2/C5riX/YjyqjJH1egkNaz18X7thwzjq1vRMR8avKhvwMSyz4wgsur
ynI8lQ7ALhSHatOgxXmMF/GPPeH2WOR2cdZUj2F6kuEFiS2R+6+rkSiYW1RafgqI1zJqfKRh3LKg
mLuszYPkQUkRNz0vR9cDXS3xFHY6/6CDgt00WVO/CXjgu0ipmOd07L8iz4mLoHqjuyU+jqSmvaAf
gSPgHjxMjBGGIYJt2djt2U97+8UwkWoMVf02mqBuPWpWhGOcNgj9UUrbevJSl970f7y8jpW91egt
PTK/JBtXaoYIfb++vW8yz7Dv3UhbrCZdissl1ZmN7T9QGIy4QSrFFVFru9oO/AfPkMGDsywC14Bm
Zdjnj/19gjTKM+PHdde66Oc5eLDzjNQDucf390gC0l4yHgvIEulwoa99mUo76jKT3CX3wvX1lwPr
KR/7WkF6xUpaua88FKetZSdHo62/rFv9bNNvua7+dRsVK4cQwnvnPAcMAkvQYsrNW6yLsinMhOyf
+Xt73Sm6aR/VpKEUYvqndaHnuJWg0L0vyp5m/crozk0pHmvq8D+V0d7ThFh8syphgJgL4s9TW1g7
IT3zwayS+egiqzlH6VCdPYFW2ZFBf471Shs+J10fNfsIveR90uKwqNWTcTeqSdzeF3mZXcqcxsWP
Xcua5tfO1sniYP9xQKhA3H5S90p+v3Y5sYAxsE9LUMGpSfar7kBEpkbwSfEPeloXtsnv3LvAxT/2
oUm9BKlmXYt+7J4aO+8vuo8x9/KiiNiLaRNRxiRhfcP1Ki8Z2ZxlQ6QzlmZ/Wk2m1r5MQeXv48b6
fWRYziQnjpyN4BDmEiCITdPqyb0/xQXaV/ua9jz3iIeT+27Z78QG+yN09qQaia7ez+vn6PfxAlqU
VRjhpJLuqFFleGqhUz15u3X9fTGYlF9aVHV1nRlP6z5Ezy9NFoFTX3aNcVFekAm+fryoSxqH9Nw/
vWn0/gYyVg81dR5+xqS8LUKdmYL9NZrZet+FgPOADAQ/y+WM3GjLWzCZxce5H/tJ+7SHQtPU1uKe
DosZx6zZVgjEUzNA5ekUP0iyaVo+fydzXlMYLLIrWVROcH6PCv/5BCfdyeo/k63Wfs0/D7ILtsmE
FMB/DhjPv3YXSToCQPLNzi838Po7iqE6lbgGSqITYPbm5Sj46qL7jH6a2nhh44rXIVw5Vst33vv4
KY6m8xD3/GiGcuRJh2u/aZaD6z56FtHGMaWmzCmcq0E2qLCbzD/Bgv2ew/XbanpD1wLsSpMrNEfc
/Yii4LBurQtkhxDmik/vG5W46Mksbl2CcM/pwCfTH9lf1oMVyohtWTbUV5b30mucbVy5FMT88iHP
cZSz5knbg+hKUQ7Vtzgp0p+GLl6zrDc+U960DsyjvMNk+JciITlYDal+E6ntHZvcEmHUomQgS1zt
3UgvPxtlVaHdGDN66QQd6sgMQpN2uk2iFH6nPQtopUum04tOEwUENlV+X8zxZd1aT/NbctDMFKzD
1Hr20/tpp54uiE1iWsVNEoMfRzAHx6AT3me6Yx9QfqnvUYwrJVfXfJuh7Z/7II52Pjig79H9QKkG
1goJkDmvCH+6zP1PDVnmP/eD2VwK0FYdD66941o4ZSwdW39q+fRScyxIl8U/wTMZSC2aDDGSMT9a
8T5LTZKztaJrde7qm+tPxWGK6B+00rH4pFd0anmk6RCWpiNTISgK+PFFZ54n2plYlI7qQjN2tVTR
+ePAurbuW89bN/+y7+O1fznw707+2EeEaVIN8DAQMst9hcTmysRJO4Exjo6ZstWtAMu7TWzNfp28
/jmwBpsSARCb1orhJ2IORF+C5VwGBP5QilorHBrdp1CxbCeECGgTlr3vq+tet3Pao0nJ+/305cR1
f2AOIxXvPr+QjUuZwevtiRkt6rjUoraTWcGrj8RoMmT0S2i0PKu6OhWBC/EhGPT73OyxWkxVu21V
wWZX0LCwro55/ZBWbhau5627psiVqEhThrnMKxganO8j1eNLZ3GvzVh+UKpQ+O+mevaI1BVBdtXp
7CMqaGyJrYXSskefXM4xEx5Ov8u+9Txbq7W7Aqzh0pfxe9/g11rYp9Mimv37aaMqrnTFnCy+8p0J
HANteJYiysqsz1mD9+7ouud1YVs1Jekc3Vi5jPsfB9a1dV8retr1/t3hvqF3dzQTbfeX13Vm3FL7
bK1v9G42FzBSv+x8NO5Hv3devBzpnxWLT+imh2fIPHv0ZtpTpWvyUgXgoY0uMb67Hm7VsW9+8ebC
OdDQnJ8GWnKeGVx+rCegy/xVOQ4O4o7ADHWy9QNOmhrdu/7RrgbjO54riJDNYHhwM7+6MPogwF4O
5MeYzugY1RGZI8vdymiOr2iSMA12TXpqncQ8Da0Z3xMaJ8911N2ETPRrbUOYM5hfI/pXCepcDq4L
pTW3qTH067r1cUaNrPF5fdU/3mM9gzzP0jjAe3S4Xm7g9Jt7KKaUU/ws8sP31VQa1O0tn71/Wh1v
84AdrUdadl87vfZC1wCCexyi7qzE114AUlLf9xkN1qNuM+6QamjPSVZqTwPmzs5yFt0A9X/gbpkL
RuRPQ52nM9A5mDv6umMs8ILl+J+eWlGSjULL8vJXZgbqJk1VbQaoad+rLDmrrEEOlt0boqD+TG/6
Je08E+80aYddql2SVe8prJFGZLqaD+vohskTwiiakEKhShlQWh2mRX29tN+Rs/3T1P13G+P/KXue
6aLs2v/7X2sf/T9/fLrsF+wCBC8eun8leEwI84IZec9PbUivkEXly4hIrc9967WFNH4qh9jfuZZl
v6YwQzdK1UwomDB/qmVxmqPKfqVILe6EtPz9uhn18icevM0Naw/t0XPi5/dXI5s/2JBhjut7I9l7
bPWrTQGkHL6KEVVUXFSLkN7EKXtdfd/uvPZ/CDuvJbdxbQ0/EauYw61SK8eOvmE5DXPOfPrzEfJY
nt5z9q5yoYgFkJJbEgms9YedOIqMIofxlA/Vrs4aaZkNabtAoDJsT77TzCsD5H7YGLwJvdlEttGi
tdJG9i6ILevehP2EEhP9DtGZxZhD2m4TiWrM9PTTkdcJ6tp+x66goqqR9Rsny8sbv6EfYgJAT9Sl
oPBcxzG2Nm5WRquqd6qP2ABBAHrma1X50SrqucUZY62+jI4sr1IkIZZya/7ZRY8NjQVNuiWW7h1C
BeqNOBKNT6p4BnW7WX0aCEYv+R8iOeYkLfTp42fPq8k8eRB4+g/VbwXtNtnpQ4R2K7s0j0YALKA1
y0OfyCf8sbCGcGoaCzcpP1CBdk9dMRBL9TJUzeE+zaugvPleTE4YnqijyBty3kBWLlQE3AsMLWcn
N8lrm9nuRR879wLyKXoyPEQL2zizcJhPsXKLoJ0/iTPExNHz3rhhGztxhohjuTtdVQRST7fFVUVP
nCGumii+On9cxR9KbR4aRfAk5kEF3RZeRTK5MLbUTXCYvB9OfXEkms72jW1nsv6H/c5hQzFELjVj
jXp+uvrvP0LEZv/jYyDxpSuoiZLP+E8nHRVFZ4rhhvoDIZRyHrhFhGplfHWoMG2t3ItOopnIuKcw
0MI5mKV8JWJirjgqa0tbdorTQuzijMcAJNB60/rD+6c4Ur3RMe9un8LR9Oqqh1pdNvi7x2XEtEoC
zK3GmnR/dRG7N1oLj7ZBfOyP2PQ+kHMY12o9qSr+/o+Io7TyooPH/uYRf7yYBDDOThVpJwZFPNDr
ZOujAveUPBCOAtx4738+FBBIkOGgHz8fjo+5vpYV4Cm7CS75iIp+LeXSwswlZ9FA4TuYcgxXZDpC
DUsFeHgwwuYW9HAavdLeF1mFM2jXZLAy64G0d+bbezFikobci+5AfmpVdwBIopDMM8DZ7qVCLGl0
Ku9KBqo/WpmFy7w0yh9xgqYdkARlP3p2+pzH6k7E2UyHK7yv83XiB8qHal4HtS3fTbJUm1wppYWY
9S9XVdJiXPz3L64qBNj+ef9w0JqUMQdVeYZwP/vn0y/MkNLvKEz8IOnBJ2xSawImo9qHqCtXtVtG
EMfpTWxdGbx4Ei/JuMKJnYJ/jHThGm5OcQ/VgxzgxokkHEtQ9I4ek/vRc+5zqjxK9kPozmrcy55k
hDVRam2eAqWvj8rY2RdkAlj/UJZ1rNS5iFCKbxeMiCic6SmYA3VqclwqVwlQ8IWIiXnIKoP6M83m
ScS62NslPI/BPVIoTSHK7cTRoxExE1DUilu0dy+oWmoRT0xgTvm38/4YNgBariWHzWzg6p+v//++
3OPKRcUjcTAX/zbVqWtrG/M32o1yL+0zK5X24igIqtc2Mqj0/jPeT91HTCtZATuZPi1NyCM/zv80
r9O9fF52pgH27R8XyLLCbWfigpWXNgubdzv/IyiuaJIiWzvk0fzGQDkx6vQdKaoQ0tPOg2NTraSa
uBi0e1AJs0QLjPu8xxlk3y6uCwjlEXqcJq7p60+BeyO7K1PtSpulLNXda60aH9qU+o4A/NXkGb5i
cdPOSSJg/Ufm8tx78bI07eKLPdjUw4eSHUZTWHtINcYCcWnzwyFRI7b9ZuznM8mX41uvdtEaa8V6
nYaTtEnhnlR3BOpi5a9SVXmnPK4/qIoXr6EX5XvgjwM5V7qwQKxNggb+/D43adSnsoH6GE2jXbmB
KJ0EGUTztOnOWg+DcJBNqomGFNy6jJR2isXZD9lBVq8HllKgBuWCYL/amC5tWvCs5J216YnejNcc
PSkwrqW0FjED6ezzEMBQnk4QIZL9zSr1i2YBRXG8igHX0y5OnvkHMaPtobJ1pLiWngsFyHRCssQD
UMnF/Y7XGz0gAJcs0KAUbOW5U4pGjD7ujI8BPMNXBlTy7SOEQQMXedxQH6/0iInZOAv+ury7Vjbi
ue2NI89xYJ8oAU1P+Ht/eqIPChKynuIeHqHH41/5l9WAmPdYHHy63ONc/gTxr1fTlc7/H4sF7Z/K
PTpSZSiOG+jGo0OLzMhni0hJ8SQriy3tu6dJO8iUsY32bdQiyQpA+N53At8/VwVl5D7EQOAetAs7
P/RjubQmV7qZ72v+eZQRmxwGciPilDqCg1biJoZ4bBeeCj1pFykr8oUmmeFJxERjxo75VAXI6IkB
Yxq1IGk9tTDf/6dQm/YfWyyDzZU5/UP7j8riJ2EVCNFV6YRQ3fTSQwAhyPdx7qqAhsOfPSIj8gpT
0Xx/P/SctzqX4PmErvzdk9xnhLHNV8h78tLtDUjcjlUdWNLri6REe6OMCn9nNQrIncpsD2OvOc9m
Ar/Kl+33VMHerkVyDQaK77zXevM1dyvzHGdefPEc74O0/uW/P1GnGug/F+SGrUziNjbLQRQkP2dO
FSey1V6V0+8mDgjzMuzNK2wZkPa+eRY9CMAqUKdYmcfSUAA2NwHcK3y0YjTpsKSM1aScuTgOrKKJ
P4Xopbvrh8LdiaNc606tDHpC9Kh4mijDTFNEYwzVwgQTue28CQlPWW5bwPbY1VENEB5A38kPehYZ
ZCGebb/w5qge6DP4LT6Sv7bE6xqBt/dMGjKp0k4cidiI5NSmgYn4CD2miblN1MIJEUGpnK4VBO0R
2F7xwrLTWFl2gHtFWEiv9ZDIQO5cCBVTV9eUN1C4xkn0ZFAU/QinoZe1c1OMF1ag4fq/f0w4Df7H
5+TwhWRBJAvriM/JSldS5D4vDelbIIEYbVLpixa3OLVOjWv0MQWa8MzbREic3b98CGTADIOZXgIj
RJWz8ZJTZCTIQhYuggHosp0DG45gC0G8ab4aneSexLWU6YK23lBK0Mvj4zUMdFl7xO324noiLgXl
iwexCWG58dLkXsPH7zq7xjWUXYY0A4qWpnpF1wYcdNd2X7taWaMirP9lx91TigTtV7VDfNIzHO82
hGO9apXU3clAiJdtWeL9a2bHRzlIHwveKpj1P0tEpXl1gKDtRYlowMj2ECvFv54UNDXqfAEnYPCo
UfajiiTZfXOYXqUGpo3p6xD9+QqGVJwDo+vmeZHVgGDx90YW4hhEcn0VIX4Uw7LwtWgpukrrZCvS
KFBcFgVsub3ulj/TKM/OnYa4Wa/Zt45f1XtpViN8L573KV6Z74XfHNrWCW994uML1WENnU/xNumD
pT7Y8SZ1YVCFaG0vyNxlOx1lfBOT+sOj8WXzV7es+xc3asmx33zomDvy2L8a1dW1XdwgigAGvdI3
sREvRExMGWpUJX18Bp4imVxBGWbNm/q9tFrtTa6L4ZAUSCWIriTl/arUBgRcykB7K1kSzLo29Y6/
zsm8Qr8qnm8++Z1fHG2tgDTKf+N7BetazlGzSDJQsVK7B0qc3dBdvI5ymH4pBmRzjEDSt1ZXDy+A
H9YJNZcvuLcoS0lD5j0DtfYeAkMQ8xMf7+QxzHWWlJyOqMZ08keqcQ8lkdv8D9VLRcFA+9NvEF0v
FBCmZ6Bjq/BCP20+DK9DWaYps292xR5Oy23zpExNMfr9vE7kcCViXZOXFBPBSmL1ku8f83w773Zu
7O6LTqt3NsmfWWP1aK8OjfPWwogNW3X8GjoJMn3ILuz1zB22GhgpT1LLc2qYPJBSc2P5QXUWoVpH
G7M1KgUnm79jYsAYTX7AGD24LmeijIVyc5IpK+wy2QwmGrALygXdTvFtncIzOBLR9bw8hIUEYnh3
PxRR06xUF4co5v8RzXNqPiEGBmKgnkbvs6eznbIcZ3DIzR2afiRKJTe/6b0frKvIZuUwpPLVK01I
YaNVz43QQhyryvy9aFwm7occnRoKGeniERNH9jT6/8a0qIt2rvn8mCWmUiMbsLbFMNmH5kIJsrGW
klTICEbGFr5qpqtuEE20L+60eTORUQTDDkRlCg1WnJ0k1Fa0qSdCVZvGWwoTcOBUNzyrVsdjn40o
niDDR1HG3lr3tGLV5ObwgXz5DnGt4tmNI9T6fGwOxTQ+GGOWIjNx7FJXu7alfhVx0DDdxBzwNqKr
sqcLoQYaoQ2uv5k5YRbtQqOqZu3g+8/11LTKsgfdc7tH/ESbeXEPoBI9kVOUJvnON+odpmYlHwGN
pPPZxH4XbkfFLG+V78nbMlQq+C6M+mMLukEe8o3EwgFRFC84AlMpt1WPbBVKp81VHWVnxhbd/dZN
GL5ad3+aZvFGTbt86yoYOvJ0EvJQ1Rw1l3AVe0EDVr6M2BqKQwuTw+29kajDz8WhJrsuIEUsLMlh
F9pCNXSbKhRiJdiiyU+5l1YzW0rWoraTtlQcDXBO6K5S+JHh+20AwGxtUDlvLCJiZEWd+OD69ngj
hQvSnNSF56bGMqqlfqGPdrg1+tE6+3rt7BVD2ohegcvLWRzh/T535Mw82nFAVcLuV+hzueNM3HNt
6ITrWg0+xH3XSF3n14DoJ2O/GIdc3X26PweGdu0atFOSMMh5RiUYnThZd7FQAFh4pRq8xA6F3jpK
/A89M39YkZx/7+HWtXYCttTpLhAfIRxFdMy6dY+isQsz2YeuibRbi+6DiEmS4R6zVHkPRlye7wNS
46jHvGifkCWHyDSMNHai7EXXruMRdZepX1YmkHgrP9/nTaH7qOjz85Dvp4h5fMXO4lJ9FZ8ClNoX
ih/qsIXl9iYa8K0OsK+rCWvl5oYAkjsTEQsx5mV+dsiV9kX0Gjdtb0UZfkPaS54rGknP3Dbck2ic
IsTUFBjK8hGbqImnzgXdDFF1/4hbkTXtWtufvJJ0UuWCPSf38mQ+9IayEkExGf4hzDG02THsrjcA
QeL3QXPWtZFQ+yKpfMZA45sIh4EePUVJ3axEt+WLPsMzNDiZqWs/wyReiHhtWxm+uAEy9Iodv0e9
DzI+CrqVDSB/PJuZ8iWTIBhnOTeCtB+cc54mgMMUp/zqRpThge94F7BPwBa0zuX9tt1KHyA29+Ba
d6KJVFNDDvd3v5fGdO51BfJwUywRw16YN7vIVGssC6x408SqtCxQmDhbjpTMq1IKftTj3Orr/js1
Xnix0EKwsqpMKqsNz7Aotl5B5V/EzECVX8POsV8MZRhWUuzGQN7lT9fybIzBIQqcrW5Udl2sWMVK
HOKjok0IcKK9Dn0vb7yNrNvKzmy/NxafTOWYLfIHZgFVVKkXZtwF65ZN44vsBjXkyMhcsWwtXzJY
Lyvbr5SlGHWSjue+i6CuGLXsMtpUJvx40YVqK291BQy26PqtnO6blnWK6KZ8YFasm1dvLHxSc63/
08HTqXGBE89kl2SNbVtfQjf1EBSy09tYVdLScBWX30abbSXb99adModUoMQRLm5D7i8xHVSf9RTP
vtrKB3RF5V1TatIXSOJIimjeswk0/zxqw5L9dgi4XYo+XLNKDiqkjOdMDtql0egesoh6uqEEO+yQ
0a+TIdmLRqHedz8S3Uaxkn03NY8pkmv2S8VISX7V3rBS0nApA+/ciYbMd73T/ZBSV428wg47VelJ
KvVmrZEwOIkGHHmwadP66yMkjkapVFY6ehJrKUlQbNG14UuiOieAONFzbQXFTsS9KR7K0gnRiVvf
ltquA7KzKL3IhZ/mZ0cSytlRHMkQY45xO/waHaauiIlRB0r8vnPLERS9n0NHlY2jZvbVoaTkNZfy
qvjWltCVcjP5GLymXFVq0m6MvFBvueZ9VUdWwMBF175Tl9AAw/IojqA4WQs22SZ8ajYiM8lmWIzY
aDPPKw/BTdF9DIiTh8oo4CQP6ZMYELH7FQw1uFks0WDzVXuHxxgI3eAEvo56cwGRVnSHyuvuXZdU
PXysfA+Dzd1mKN3v6rwryAhZ0Rnhz44MtMxbZ7s8M5seDnVthYtICQzSLaH2ktpGQU4ymTTo/tGV
SrNbuei57pOvrg0hc1Yk2rOM3sdHq+n9PElBFOsIuKLOWes7QPvVzmmG4Cm25fwCXEODRWySAA+Q
HOaXG59aR39Ng1TeaFNPhILUi08wZ5FmaMJylRqUwvmzMJz4UbG0sWuao3p3sHGHuyIMOj7V+Det
gDQ3H34CtXA0m2clwPgnl+NsriZF+1FbsQRTPegPgWqON8QrDg52xB9qmiUwkVTAI9Pp4HcgV6fh
pZDCJ1G4J0FhYx5P3V401oSjF0diIBMV/sccPXb9RWoUS0Vq9Juqh6s2buu3mN/nLgFuhZCNX7+F
WpevOl+CQDON8lHCQS46ay9GZfQgUy2xn/W6cM8ozIJ0HeRDJrshUKzMPVOWDQ+ZSf166omQaNL0
Y+hN7YTWJdRwPBk2EYIkcpQGqHsl2cYtqupVRch5VicldmNTF2mHrzXGKEfRS111LctFeBU9W1p6
Vt/c5MREwAbipgZBfl8NnbmfanTtDPHbX30RDLAlmRVlNfmi/D1RDHzqNhbqKG6V/3E9Me3f5v7b
NeuCGqgMiYZ1SGycGtUL1loZ1LOAxEq0jFk3zwM9TJZy9DaYjfmjbvlZ6VqA5EpRnYoglj4qxyjn
o6Z51276tradPOyGGEMGN+uUFfakEdQi8ty9kiY7I6ccX3IX+eIZ4an0cNcT8cAPfsVTJT4ZrJOu
avu1TgL/XPSk3fK8L7+hT3a0QiwkDSh8az1lD1YN9vBakn8QExDrnu7+en8KhlDZm2OT8/vwqm+p
Ecx6sGlfEsnUlyWSyFsF2Zmr2cMyF6faYYhBX5LfEEbUNnpjwVHnO/4xZu1cTNBKyYVhOuYUI3Xr
mGuAqtPpXXUxSqzwtWeUNlERCsGCC0C4aAT+W0DFxdFj4NO8T10xuQj8CAswhJgflxJHn673eA2E
B1HXVMd8cpaOVkY29BC/h/rDxhO5hQFW4UuFAQsfE7Tc6AtJnnmL8AG5UG0Ew1EUSzEtyeq9QxLl
2TXjYJtqElpJ9VDu+g5L4gDJot2j206xyJYaFjjToejfJ/4+5RGDStihnDgpF/7LZB+h8HVpBJON
UDaDV8a3QHWU56YKv/u5kR70qYfupzGPOmNc1xKUIyngkeUjh59Yc5FQ4s9jLHAKcv9IOdk9hL3A
9O9JpklMkN1o8HbPID1OuPdDdAGqabI85qhMdYa/lVo4XPDUJgVVZEzE0RRDOKr4S9dytDQHZ48j
GduSqRHdR5N5AN9rtBWnWaL5NAuxNGM+oswIzK1B0SerrtG0RRrAEgHnq1GXmbpKLeksLiNngalX
+myWdgruSvqAxWXPCm3E8jGLlYOkRPJCypz0I8aa2Y9c88fQW6+aifRG6pnGUi8rdRfCYTo0QSEj
9DwAiswTSGpWAkLbVRBm0EzpZOrtr6bXdQT+2bU8mUrsncVALXX1SUaYe5o1IKZiIYVUdiuSdluU
R+Zp7ZUzzZOjn0qNFoET/9UG/s9AtqluSch/A28fDz7FuG05dsnTaHf5FWiiPx95QH9D54oZnMQa
6VznjvkuV6jUOqkxnBoTILnW60slKFe+61QLXxrrbwXisBPiOShsC4ZqERzNCdWnQMsZsjG76FLc
zVQ9VdELkU5+HbkvSh3oT4ass36NlPJFt91rlZr5l94yXkYUb68WTm1XGV+COdvbGDcMumJAKqt1
AifjKEKSlVC9pxBYa2/slsE9KPkPJareysSF7GJV9UrDl3MrjxHKwtP6HcPo9Lue7ewxKn4kbUGR
2lGiS+xKxYa3Xj05FMyf/TpE1nKaUg3mk1Yr3QdUDoTRC2tSRlftfcfjboHNZP1htMlavC4Jcb6o
rFGvOcIwyyp1u2Nvjr+aDHjXDlkb6BR/xx27D0kmhSD8IQpGaL3/PfkxZ+goF2RIviOlbFwCVw6f
kM71X1nqyQgH+PDKRdeukND2+U+I7qggpx668bgVXSNC6batZGdHMs1/NSbGcKFE5UGMBrX7TkLa
OnIrDV7ZBh/Rq23O9wtRaEcWN7qKExXNnLldnVyaoZ/fn9uYma3RHkIAbXpoi1jThVRNS/PwCIk4
IDkEdPZtbXobNnxhfUW/yX8CrvkVDz7go8UQIwUcj98BDo/rRq6SU1bwQykyjeLrgPNFFFXOj4Ei
M/Y4gFYKrTo2ZJK/BKmRzmX0Xa6uO20EJaC2pguN0SF58TRJ/V/IqstzbInDRTza7gItOLA8BVjr
3DHCq2icJt7IIKGO915Qkac10Usf4+g+wZaM8UkLkWuxkBWe+LMS2jEH0bj4qQ0zcTg47+0YrsbK
c18z1/J3XQWpTI9G5zVQB4jtkw6nOnXR/bXmfL2cjRgttfhHnur2UZxqxNhJyqTLSHzkVy027pNM
CKz7XIvGmTgn88x4jQQX+o21t3R1liYooyOCnA2OshpyC9Um7k4zLcRMlV1hUO2RVISVJoYyJ1Nm
Yr4mPoJkQE7FixN1XrEQOimN3W5DLbmIXmZ4Ndqcf8ZltRsM1n7E1DhG7Yu5mq9W92lgVv+4hoiL
UI9h1J5U1Qs2HkuxGaKKpS7bhhq6pSbBWz/G93gi92gMZ1m5cab4P+eLeIudzzPKwU8SrOJd0zag
yKcjNQFersZwdaSIZDkc5XGNwBs3pt+LTkOnuDF2xU6EbMt2zuIrW7poPpGsLfJCQryk7N7+3+Wd
GFBr42deKT7ron+sJx/LxibqFHLPTTyrzHeSJt0HGfB27Rqhs7Smrh90J/KjLITiUD14FaUeEdci
hy92OfL8ks30uWWdX7Lf8FTtRcIdGZIbYrZSIksfkSp9Kd3WuGiOFh1RWmAjMMVNXNtmbM1zElpO
u1QzHDg72XG3fPVIdP/mbVSKFc9jLLXWAujKekM6u4iDi57gfuShXK7GTkVmcyJ/JJahLscQVR4F
gSjAKMiP96VxC2MrXxhOWTzx5zVuJM3lXWFqk0aBpN/ElN8n9MA52SqHQDQdOXnu0RMcVSu4IH8B
/6PknoiayHModSgwVda2NUfSdmndu8fEwu8LYeRzbyD3AM5hm8ZxvWtRxGb9UB9Qb4tOolGnjVdk
WO9uhz6aCIXTBs2fGpOk1hzEZ0SBhhKeNLrYTEje4CzSrFG2yH4d7l2RK0RH5BDkpoqeICnFclS5
odqoo1InfGIR5N5EA6TzDd3+AlqB497GCNVPFu/Wspy6KN84ez2XvuhRjRCcl+crVlfDWczNgkmR
bmyk+9W0YMo7W6EBl7SQbpraqrfxe9/JZjmXhkyemXrQbvu6MyaDdXOjh69IGut/yS5cFceo3z2E
JhdWav5A1UpfqGHC9jqIaooYuomkbVhdylQvLzgR3ENp2rIfn2bUfW0dxaCYNoVsBNThduR4J04Q
OujA9t4ykfdBLi+4yaWcrVnQoCqhTkAPMXyfWSjjCHMfSYQ/zhSTDM/7EXUN4qCk1a7INlwSXR/e
R5mtPumjdiW68AW+xNy8zlUw3mcpNTk1uwZ2HrBRnBrWNHwZxxbg8O9Y6qX+hgppAY2x1qWZHI/I
NILt7UOWpR1SJW5v+jvRFc2Y4Z0KPiSbFVnOUlgElVjy/ZU4jMDgmHNxKM6sV9Q383WNkvI6Rs4Y
oUV49YVutT+ARnGgtt+QawAMUGrVqXabbuspPJ7czgRa2EpfKE20SNkiwxAplySWZRQsk8ZDidug
hB5Q7bfTEjEuVB67WduMZ62TOzQoU+2lhcGQIJZ2NlJZe0GFdY+BjXwWYx2MGzEmTzOnsbyMlPvY
f54nxpQJA/37PN3BPKT1I3TpkDqbowpBRW1wmw0o8+6Jx0B+yzQM0bMJzoSe10wnJxia6Hongf6t
Axc1G5pEPWNRmO06LFaWCniYLwVrs3zUvjXe9JEjhEstN4iOwEzVuRhQNH+OeEP0pez40ZSVr20D
o+YLWlg8Cqdrx2GHaYwUvPoKaRO1U7K1UkfSHhBTxKJXx0+zSIxtFbe/jnozW2N87K+1LJmAP9OU
x6g4epzm67kMn8wNjyzXZ32hme+epQ4IU0T9U+/E7nufKDM/1ZOvPKbqpapMYhbcnp/5M51xKgQd
77vxrAjH9tkt8fIro0ZeOYPUPkth1JM5RwtYjLZyBR+RLIOWTursSGnPu0aLrgb02md48iSCZX1E
KO3vK1UWePVs6k7OL9DTyl2JLNk+cRxt7rWhNM9Ft7L48KemtU0EOsThfeIURPz3VeGb9CTij6YY
vQtoO6j2efnKbb/6q5xyDjAbfrDkbWdt4MTPuYksveE3+b7qA3mn47Y4z6X+GJVWf2mtZLj0ccmS
CKCACInGwOhB9avmJHpksPvLfVSc4JesEFq5nj+uUTrcvuOi3z6uEaBAt3P88lWEEm4lRyXvAAlN
VGAA6taunejC9dQ8ujiavAVyHTxhIgOjWAyA65frlT6xh0VfNBU2PWDIC2wUuMDnq/7RR2j2Wqi6
DSHdwKcPEPFCsST5VVeBYZi10j65Xq28tijrAb3pjW0xKvFmmJLrngpSyU+DbBWnfvLiW874hHoL
2nVmGr+EKV5l+Bwh197J8UtrRP7eTLUSXcWp68NSUp3sRfQKCfSuU6A7PjpRsStDrdiJo0cjBTYl
EtEPqWXhFDHNRKa22IV1jQ553ihLU2qeXWTCZ4lXdy9BFSJQ2tvRXHRD04gxzkyxmpGT/iXzkWJw
dR0+6DTZ6nHra3vUbGLT6F66wDYOSEp8x0iwe0lJdxzDcHgVY3URaycnyM/ixMhztfPg+TsxFuuB
cSksaSXGsjy3rq6H0sB0FSfliVenP8VQr/vRi8LdyAuDYR5G69RK9GcxLx2aWViSERWvjXzOgjK7
vfCbCo2Gxkxf3G7YRAalStgC2cvo129y5lRHMWaHwIDVsI/2YpCfeYJzchluxahkBdlCZ0W9Ft2s
JU+Q9miu66FC3T+3d7iKBof8n82A6aDcKXsRHpsyJ0Otj7+mhQp5WCQcFo0XqNVCzEFvgDljPY7r
WC0vv7riRDEuzg6bUF65PorNZGScbW528pblADknHtlAeoxY26OZ06PBqRWo+2kOH9UU7IrSBXcq
Jtk4lOnySHKxU8fDoxl7Tz6oqLluQfhtlKknBkU8Gsh/wxB3yqdJyQlhM4ZTBRY7goRc5n5yFgTL
qmymBY30V5uDbqPkC1IXgeRF1pv4i02N7wEMb+/YR9HaTZ3ch5IivQaDNelx/J4jDiUpTPYWf+zM
GvpTZE3i+oGHTrEeVq9BwdO9dwyPfAzdUi2uYySHZ9HT0cgctXa4sXphq5HtI69AqqEssoWrUiAP
Rkmb7lj6xS+iYTUEqNmEqH2Fc5Y66QKhqWwV6Xzn5ohs9jNPpm527yulc/ITe9wnuqpfxHXsnAd4
qp3H6XpZGODIO7hAznkJEYJwNWIyV/8lQvf4GKNZ4uvVXLwJEUObEVpvi/en3+LnojidzqqJe2Q0
etXJG2GL6q52wCqqOpVTI+ISEhS+ImsHMVUvOozC+UvdY49p4qzfc0U8sYdijzZqMm/yYPjiYg8g
YSb+3gdWve4bp16FcPtE3HPN8d0ux3ptyEWzcnR0RFmo+Hu9CHGgKQodpfq2vQ5W0l19Ze3btX4R
EVYo6po8p4QpmuPG8zBFFkyyjWojeVZ7xQpVPyvs/++jAIIgHwUIDYuT/ST62QIlXpjoFL42fbHp
00S9YBgRQSw0Ia5wo1CSwH7xv4pgFdjNrUStXJyQ9qQrMrPeiTGT9f7JkYY3MeaRrj2oKp5VTR2o
V7s1Xr2x/KGiQ/QcFp55Q4G/kmqnnnO5F8lxpYM+jZlxZc3tKKvXYipSZ+MTYiUVNwtGk9F19r+v
ow6VuE4YsV7tAqjDlaKetGlnVEy7pTzVbkrYaQfR8+SaXFDdd0spY7OEOVx5nOaLwWyaL1fG5/nk
b7ulGHS1sTxag36yEh/QUuyGeOb1qDTm6EHlXa5feUjpV+QK8DsZnGyD/LtxxZTYOw15sBaDYpqv
9Pqi8kjHP84yulsGWe0izlFzrXkaowGV0emKYlavlFfbVcOD6LlSZuP5wwvr04xPLyy6XhjuozJ4
Mc1WOZUGlix4crivyKX85eDr+tPXnjNJi2FewzxWbHX8qAOvAa2iAT7iMbMqSmPcRZlLYk1iE5SB
kLwE1lDPO8s2Xt08WWPtgvxDn9yqqSm9Ds4JAuVPaRYnN8dmIaEGxl70xAyrwInccfR6I85yWkwZ
y8H5ZumWgRSwhRs4qGSM23Sr28AGzmdq5EfH1u7VTWK1JxARaCOXog1cxzso8oeYcQ9BvcQXajqj
oMoEMk7eKVNIxM2RzUkaFjgTZk17yjQsyMI4Kj7GSisXhawM26rS3DdEnO1EzT8QLnfXXVs3SyOI
CnKQMaSYaKy4hUoyGs55fs2mRndreeaPfr4RMU1RSPiyDWps7woBMLu6JGFBd2TtTIyJWTlCDxAz
ioPRtdpJmxojNdp5Z9SIRE/dCr/AE2IS2snyrQsbF3X7CBVaox8D5aJWrAtm4vQcqDg/+GTOLxpK
zY/RjIy9aHAVJdUlDrO24DDTvWGRsDvC4urvSVXf/JpOvddgBfp318djvacyu9Hd8Dv3DTwVPYqd
/TjuFdcP+AVn7Q3Cr0U5X3a/pqaF9aQm/WW0zkry5OLbYJraLKkT4zb4kYOprWXuQ61StgF6ShOs
2rv8H2fn0SSpzqXhX0QETphteltZWb56Q7TFe8+vnwdl3847Pd/MYjYEOhKkBaRzXoPkwiESPjgt
sTKG2v4MktTZaBHuHNrcxF0CQJsl3h3Ds/dRp/nrHPfJ5zxAkiKZPGMnMBt5Rxj0FYqheNSHLHqZ
qK7KcB0H0VEJsmEpm77huau0S83/8yCMLrOlmCrQWySnCy34ZgVCXxVNY3A1jP5ltgqnge+5qqJm
DqqmM4V4KkvvJMOVBi9hrBDkxSa7/Mhia1gUQ29RYB7CNyoxt6NRVCeNaKftY+Kkh4FizCepGBQ8
wAltkmL0P40xePR6MHkKt9ELafwSSR3iqN1oKy6MObnpB5/ltOkjUXwEuDwy0ZiiVZAPKL926PyC
tzypSKw/d6wY0TDVw6UyV7ernhTQ2BnRGeRs/MLjBTNOytxViAzy5DRiK4vj8NuWPQWetwbU+3Es
Kn8lhxmwf+C9VdnFRMnjOo7iQ562zON0jQQSUKb5Vdq103rlZ52gR2VbTbSWlfVu8j6pbPfkPuua
O+pULuRJp0IJV7gtmft6/CY6FXcwzRifI+yEdgW1yXwb6E6ww5OsOU2COkLcNu5WbQITWkPTNQ/N
bBEzRP2R5KqGIPgtlofnBplO/KWZOphdt2E+HO8Va1SOVZGjo9Wn7ktYjspFYNcqW7FhTi+z5snc
5aCueMxzROFJUMAmgqJ3yvGMpS4Ef9HDG5d/Vx58pI77veiE8sND5pFiBfaEDRMdp6/G7zCtkbEM
e/GGdgw+FwliwZU6ICEbDtXzpAwjUlolkhNzs4OZ/OjiljBqWkN62wCtmUFYWAeG5z0UutM9+0Cr
uJE/hUNPo0/LVWwgciD7lKAYzoFZQtKkM6hjRsTaj9gd41MMpWDD61LUig1M3TrWF1OZmpeiVfEL
n0Fg+lD+ytQxRT+AoprNBBcDU+JaN2wyFv3vWlUXO8MUYN4Gw/qsclKudf2Vq3hYJwF0cm6tv3Qv
GOHFICaMlkNlrGqEwrMoDpkEDfZBbqBvAMiUuwxkV3oClCPGAH/3/2vo/XijabEeubfl4bdm1ZAv
KDP9iqo3Au9F3H21VWAhuDfOwgROibYEQO3gErpK8FX30ZkvO9N9qUoY3yBh1AvpcW3rwo1Fga2q
j0pUBwv82ZJDlQrviuRUtw1crIvwv/CuMtbDhljyX8bjavaYgMHA/zBBfycrpnLbAnn+GCvrq4PC
0mMFheE5S41twA2C1SoWpPFkgUTmvmet24EkESiG9uTpde+cxwIYA04QK4HELUna0ntqAEns1EDP
d+BulKeg5xrCYq15NWINfXmjxkUOHur7VCBsqlsiPou5qbjKonTy8BXJHyCmnf0kw002uPu4SAOM
4av6nWe8Byjf6Hay13HFL2i57oPslCHZbPL+iEtl8zpg1LRzeywszb7VPsmIndvOE896pvlnO6hf
4sGxMRbH3BaQAy+uaxGWwoO71ucmGLtqV3kZBnRzE2KCclA8KuEIXIWv6OP6D1pAXl8Rn1kevKti
FC91nenYgab5uuYLeDG8GUlrV8GyqxXx4lCceDCL6DXpa7Tem37YKJVxaoXdPnczwjNDoAaAbxQf
xxkkipqUv58SjJRlrxwXNXgIMgG8ylY/6uhBpEAundK9AhJGRjZrrMcAKAD/23r4ruHn6nRZ+sUz
8Qxgbs/0RnfUh7YQOm4XjChQlVPy6HtD1mpZO9TjvQlUh13ZOt5fyDbVrY2x1/SA3cbJq+rsw460
ALRY3B6E4aUfPZYNPY+h19a2uoe+CKgh8EV8dInw1sxE9S0y89hZ+uRHEP3yFyiBWz/yLlgnJX/z
UIfmZpuG8hCB7DwMBY8Zrn/xovsazk9lUVzNJIh2qaEoZ7fXfm/UpHwSaHLs7/EG5GViDg0Spr0O
A2EYPpUpv7RgnH9hObuqLDX5jmb4vJgH7ATrMt50LetEdVD7ozXxwirC4E9NoXsLHeGWb3ahbyJd
jL8M3zuMZGO+1HpeLdXRd09CoHCrxFihqtCr30Ijiw5I84z4zNGsAowPwaxQpZubeowiR5B6YgM+
rXqjcJuvbM12duPca+kkjCyzJLkz9zIZgrfc8EsoJCfeJl1D/6yIr/JMRQsHIa/7F2A648to4HY6
H6Mberbzity6tMPwFUBX+8tz9qba1D8pBqd4aWrFqwWdZl2PZnZONZL7Ikiz7Uie96oCl1yOgci/
xk61g6PX/EoxMOhJtHyJAr9aZmE1XWM9hNStpM0hK4LxbKoxEt5eq78ac6nWgaz602qXzP+aX9wC
fqRWrL41CR5roKNz/nFw4hPIt9sB5YZH4YIA1jHWFTXfIzD+7qBkL4BGtXBf2k2FS0lTk9Ma7YgS
iRlXR7mRXfempYeAqhx0y/51TJbAqtBKV9nx+MgfqnlTgzlZaVXfrdCczB/ILwFhk91a7cT/6glZ
0zFjZ4zshdXy6rKSaIZ97vAsvm1E7jM7woy37BPwqnNHX3oAM7Ja/0Qwy9u3sllFkYMKIYDVeYgq
JmyGY6+j+KKFRyriWALL3dHX5t0pq7dY2TzcesrOC49d55XBRu7+a3zgXEYSLFcXf8aQ7Mj7pBrZ
mZoikLK5GTZ+vUOgmXSl1/nvaqsbK5Im00728qQu8cxp+7PspaiOcpeiPouxLJ/nUw6NprzJU4bt
hBfE3JSn7Kl+rWTTZ3pzO6Vsog6xFWZp77gG1UPdkK3yoWMhUqaGi3tM7vWzd5joK6TbZfu+kcfd
m3LvHmPCsqvd5kyFx0RM4LUpUgjhRuc8tr7tPDpwuRIrn073uDkgVJ8mYCbkCNa3zmMyoxIbMrFU
qP45VK/4anSrw3VmHjIcTIOiLPfneNsHrXOu5j3NiX7vyRhLpd+9f437T72AEpzb+fLEP3uoucax
bh+aAT4hSkQwZB3XNJGOn3dNc2LWIXdvA+RYinn6InAwJ5FNuank8XL3XwdRLrEPhSYahOntFKKA
Uu3CDqBumlT+44TnMZwNjWllBUynzFyKj386xtj2H6DPL+Wwe9yN0ZjlfgHcnlS1s5DdjamfQRX3
x/s4JdLDQx2OH4MQ9r7BBW1j1+pw0GN3OHQYniCVNrcxhBgPoZp75vrebxYZ/XKoDN7G39q66evg
AgGBovq0iNRL5mTTVz+3qjUutc0hCMP+WdeaDxn3qgIh8nGodaj5TPMS3fevaa0pj5mDghp/9mZV
1ZbCtCMw6h2lR2Tr/QHR2alsrCMoy9toeQiTS/cSFy+yQe2Po3qBQDUlrrOMyY2RgC0GwstdRUUS
vHPqOXk6s2QX+EGaJHlilysrUw5dH0NN9cdXTO2aa6Hq5TUp4je8n8cPNBNQJ9yUuLu/Nq+VZ3ev
tdcZ7Ou4v75KrPPvfctAeDL1pws0bWcZWbm+6Y1CZ32FUBSQpZ+V0donPUyGF/y6Cx7YrJ5CjFte
mOr6u5YZ+Er2KnWenOvJ/SY7k9LQmCIdwSUk7TKcqo1m+Bdj7EA0mqV7lpu0pci9EN7YbDsFn9Nb
+94v9+yy3eEgpR/aNlbbLU7q3qrIyK66UdEdRUeuAkcWpT3Ktj0H5d5fMSeRXltuw0QM+yvEXsD7
OEZ4ajrbv7RO/3sjcBVcDtFUbv7qgDCAzlXpqIt7B/k9/5KaWXTm/7L8Ky7P6QX584hWx162Bkvv
T5VHInnmBkm2z4QDxl6YOVytf2g/Mi5YpEFFuxOJGLM3GHcP3fYc2EP308mYPOefsTL019n1wD9q
VlnvzGGKFdjMiHUIr0U6P40KmAiIz5thn+f7zonnXdpyL0MpdWEk4UkPCu4+tmc8IOFlPpj65KMh
NK60TikerNFDiFgLM20VKVEG6H7uNZk/9J27qCf+KGCV+XTVGL6POn+jzETAXjYzT+QrxFvKPbjh
6N3Qop/6DG2SnbF44iqxXxnjPVJgfCw1JXwHy+gerA45QznIH8qK21Wpg27g/FzWOPjgCXuUg4fA
O1eUo6+OZVFPQ15BhutUVMjSWuHtTekmaznlyw36UGSfZWzFjxLSwBylvhKBwZM83pEOYND/iuTa
ZxR38SNg4fqGl/jfz3N7nVp83M/RD5DFoCsf2gw7zwWJ5uBYqd5oLQHQAw2bNzAbm1U2JdwnsqKF
rqi00SmFsHqSe40MYvfH4lxvAlZu8yDZH9Z683v8bZQ8IE6pqCN1BjT3r5PI7ttBkR3Ep/aAdYRz
jN223nat+0KCVzkG5iCqs9wN+8yHYUVw5ILkpgGpAbQfdsymAtGR/0GIISbmXsoxJDuCleXD4P5o
HC9azWlEDKznoqMsP/7noqTsAhDwuzypGMEGlzrcRNwBgRQIqqU+o0kr1uc3GbZb+093rfZK//Cn
OYToVC+kNpuG/lG9SuJh2ZciPg5a1Pjbu5JbY2DeM79AJKiyPPxp3s6AgtGAXE7aQ+qc+qv2aQlh
XOWmsvT2HJkBcPuAu1cX1Mo+tKuU3641rlmdmNe49GGMKHg83WMu9+BVHdsUXudTyY7crnCL0Kkw
3mOqan248dQc5ZlknPvqqgY/Do2IIw0tjx4Vu7q9ngzhO51Rnm2f5DGRDeG2a/R9yBoL8n4xnIyG
+1XnufiA9WW0yBDsaHnhPmKrVoJi1zxg9PyVUkTDwZ8PLOQguev5FB61yKnX99kYnoTq4d78a3J2
77hP2P7vIXVcNwsAXe1m6Fj4TOAb/NavLh5wZtSG543VP/qjGA4tj3kBMI1YmdtvZGDNvWzZcVVd
MkMrL7Zb/hhECar6T0iOGHXMOlsUfXejQIo47grljMrq7BHXje/JBJ1yaL3mCbtyCz8PxTu7Taft
TA2zDh0B5xM23/7WyJvqEWfLfhVh0fc6TSWLZrwS35J26DCqU8FHUSBxgGmy8dMhPRXlUctC96R7
Pp1IBf/ulCN0fYxOph4sVBbGaiKix3wuLEZhZD84VreWLblRuAscEqP50Y1+HAFDDftt4WLvCcPY
WtVWYs62pyXmzoGyNcfJeemUikVrph8bAaaQkvajGz5gdBIj/8gm5ml8bZDuTR27ucjWLe67B9aC
yokCxDRz7eovnhUK/G4YryZJcnUQX8Y6pxc70/ZVfwlBA0hCXQXb+9nVFCHQPqNwfo/ldaKsJyNJ
V/I08oRt2WL3HWl8ovlNiXkzZHGzL4IAi3H5FlzVYG5gaS9mPY3+EmN3A4PSbnt/z61lZI856dP/
/un6YURAJgU0P79tORwd9tunu4f+fML7O4hMh5JI5Fu720tmLDcAqjB9uL9mhAkYbHcqcPdX7ULF
W0OF+/0J5QmrMPv9CW/fVhg4SP3On+52bl34zHf4dHK0PL/8hDXCafc32c+fMG1uv9/ta+nxPqzi
4fenk0ertjgovgMqav4i5NF5mn2J9EpgrETo9vYpOy6GSolWwPDKZ3BHM99VLc6F1TpPlMqea912
PyHfoLGXeQAsNa98zzVcsi0lfch1Fz/vCSuBxs4v3JjEc6aTkQsmzFfLMKbqmZj6SdGMr7JTbkrA
GIZwx9v4qoM035AA3ch6aB8F7ckp4h/38a5G/pBnPhNOR121hsJcr5xl2tNhWNWRoz1hB6g/IYl1
coZGOUdzayxtvPoivlrZKYdZHpL1zLYDdDAZ4jUBchQOksfzOeRGb7DhSzu7+FfMi+uNa9n15fYq
Y1ST8/fwXJzPIY9q8AqlclWkB9kctLF+ANx8a8mjhgY5o9IqkSP9834D3NvDSXMeZShC8GGHmES+
vL9fNMN/5WpSH+WIpImCs63Xt9eUIbTdyYMOcUC17583Y3zGftfevhLA/sVWjVJg/MaXwT0bXpY9
1IoGgXX0w4vcE0kKdaqvip1s2iJByb3UQSCEZhOt/hrtxuqwr2A73k8gR8gNr+Bl4+9XuIetGA9R
988r3DuSsv39KjkkFPTjmQ+pHRrJapCugTKT2mbSsdGFYkCp9+M903nErCd3OFJ1dii3V+WD62KV
MKhBczVAF6yo51gvSoC3bmdkw4eose/UBmP8FuXNuXI675c7UavJgoE5YUdVmakZBoWOzvxEDb7b
pvazsX3lI0hdBz2yNnvV4fXgsOqaV6hLLE0NQ33g7WpbK+jso610zt7NnGo/KPxz8aKVNizMvDTv
OxfXeAKqVbSLWm41pvyN0aV72TMY7sw4yqgl4wiWjqdb1DbcxcCDYA2iIuMnaPiVs2VYN+T7FQ23
ZY3pybLM5nK2ds3i2nwq0R/ahnWxDystJGfq+hfVBQ8CvlhBgLJLlrGeNuepttSnSK1fZdzxY2MV
TRWu2EDU4FQaq6ywlU/wrNrG1T2LQjKHD/0511tEd3sz2HNpaGsZZoV47MtBfYmuYgocaGBWgo+y
68Kz3DBNJAlJxTc59gNeYHVdNHCU591JR7XCEdqh1/yc/CJG205XYPuXpa+uRfmsHTBHcGwreS0U
bBWsHHyHbHYtlKsoV3/J1qQ0Dgrp7lkeieaLeEIlfYk2Ms/ieeNkO5AlDca2NPq42KLc3lzlsWk0
vZp+qD7IFp8EJWIviE5yaNIDAmxJ1e9JHygvKevPPZdCoS7Mog7J1bMxBi1cqnZm4BUY/o5NKXwu
FK5rgMKCtJ8ciCviP93zQKudCuzWcvDGf+KFmBMNnRpzI53eYtxWgFWXyXunjDry/zz5ZdMoyHni
tu3j+mcm78wB3lSBUTd09emtFSs5SMvc5GJgdCZbjh7BZ7I0ZgLzIYkjKOcrHiiB+fyjxs2xtyfn
LHsn6t/gkPzXEXTVVRjNQ9Uk6bupOeFxarCBlQfl3ZRvLDAWG3mQKFQFlG/I4gGHlSPq/d7Gj6Fh
yk0kfXncEB+eZLbskUEDLCHZUaRgJr+qniPSWmPc6tc2NirUlsN4nfMNb2RnPzrehTrjrSVDVdv7
2KePXELz4S4l7aPW4BNqDAUFSIRQX5XWj1gmcCYSwe4+glwAgvmXJupvKDsA+wlnmrhpF484iIut
5U0zZ25Al1Dhke22Vv3c6Ka7QNq7+Frb0KfwqvcXWotZFNCl75ZX4umc5uorJr+UWkxdJ5Fturse
hai9q0wznqQI12jJ5q91wtKMP2X/nfza6namMovxLezMr7EJU8GCGP7cNmS9GlyVz4aaU7nDAG0X
qrZ3CWwjXzlanL6HlvIjtW3xMxmut/NgenVVsFr5bEXfAL7qlKuL6sPKmyZcmobkdcLW6gVj0eKl
q3GCim34c3Moqs1pAWsDZPXcWbZpuclJp69lL/fG+NThp83jid4CPeWX5ng/F/W4OasVNyfZb7tp
um4xRfWVz8xtu5exS1clAs7vrXA04BehsZBNoxD2xgraEunupn5nJYaVUzxAn5gHG6m3ofDRPWte
Wj1BrbqFBysNjlk+o6PnUUnONQd9ZNiOaiuOvdJgASuU/jzrU6zUOuiXpjUNZxmTG6AIwzmZNxOG
fyssnRgyH9Ej3TuCXaVHtnUVidZ7t4zJXuTgQE9l1lGtk2jZ9pP3UFu+fW5ye1iO+Nh+JQV38Adv
eismDBxyry63cDLDD9+c8JZInK8KhGZsyCe8djoteswo30Dr1e2vWTS+a5hP+FQ2MFjNenCNffh4
39iNd66Z6BwhM5YOVuJuvJ8UK8C0j3FJaP8e7IeoLptqdo4tqE0Li1TdohRNzfUv26wuNmXK1xOK
bHysETQ7TD1QHskOwJPyezWhrCSZAw0tID0Bak6wCkY3/K5abfgg2QFzXzOP/H8cJ89iimHvaFV4
USeoAkpNId4TsfsUiN59cmrgI46FPB+RUSXpg0xOs5J9MmZhoD64zXSRLQwO413do1wWYAKXLS2v
fkSmdzhH88lyT3c2E5jvUBfWU4DHChKaKQsTo7Ge9HxyrokNzIU+Gaktoaw9+OyYIteoNkaYshsQ
QM4aqGynqqJlFMXVm5Znv/dkDJpV+zwOxRIMRfjF7X8ZVl592IWFTSMEt7UMe354dO3WpNjL3Qrr
GKQM0j78Ek3qdyj73TWI2/xhNEZ7IcfXmYFURG73D/gppldPN3/KuHALj3lAaSFbw3XmOuVJxrm3
Nmhnpu0+Eqn/EZkU5+e3o/RKsk2QYNvKJu9O/Hl3fe9gdj+/CxRmjmVr/353HVOpZa/jSY2USlT2
+c/S1i5kZPOPKcrFyooH9ew1bnksMTTY9H0Yv04dEAXSKPlP2ODLuBnMS2vo6ao1DQ+pSx8TkHnv
vklbZcR+ND65VvvvuBxrqiZekk7w2nXmUUss/cMbSnTIsjg4l1oLPV7FrFZPPft90JOLFzraj8jI
n0DFpe+Gz8fqq1w5RsbUn1GngDlqBvUnWPm9z9z7h+YVX7DmMl/VSsk2TkHy3Qgb9aH3p3AWzfS+
xIq/lkORQ8LRyS3qlxz296YzWx9n+9C6oB41LHVt5CIezQ7x8dED1TaZ9t6I3B0LjFiKBb1PuOFi
fTsmX0QRfivS2vtGJuEhR6DjZ6lPa5XbfrBwuzOiJ3m0aC3kb2CMLKB+bMw8rX66gfqImVr7zejC
n1MXiJ1iuf1GxXnk2QO8lxfPyEXkz11VsgAdPW0jY91kVheIY7ss7/PbCOQK/aWbmKQxcJgb8/Ap
yCL3UoQCFPO8BxO/XrVJHq4bBzmRdYDiGL+Ae6x0itI8Xlk3ijJ+uvU2HrykyGnCdWwjXkS5u+U8
/xxyi/Gt3g6R5w+0XFtHQ9hsEqfD61VJlIvn9PoxGQHKYfJbfe2iN/DH9rekar0lYuPamR/MOpsI
LS+ruaMdv2NjHH+NrD5a+xXrAPxt48dC7ZFXiyP722QWMDLa4KPo424TOpG6VwqhPjkRLrRyxNBZ
LwYczNcwM/0d+qAO4D2rem1T7VkOQJIoXSDqB+SsrqutroQ6XwH1IqCYwOvqDxtM9k5J0mJTYQRj
t3HwhuK/vk9Mt187gyq+WGO7Cu1sfPeqYTZTxjdExiv1WzOEyWeLndu2BX601dzQ+pKkqfhiOGQU
hkS1t2XbJ59j8k32xXCcNyyrMfY1wul9NOqVjGuChWpUpzo5ryF4I6G8ky9BfsdehUq4NaxEWVYi
wOqMtcRR7hVz8x6THWZQ/Y8hPY608Clac/XXsQNI+wM69jhaIvEnN1UETrkMC/xd/8SytM8vvIlo
S6UAL6I/HcncgT+Bg862+PFXXG+g3AZ+c/4r7vl5dm5B/HexNS5rWMvLvu/fM1FX13JmLjpo+Bz/
hGC911fMaW4hqmwVSSRYsQrL2sActVWBo97Vz4WxbswBwZPOdTeFYRZnl5XeDlbscFQbfk/K4t7e
t9zimOZBt6tR+TwLD0WdJi6oYCi4+MVoIT8GUY0mgFf5z6nWoRAbMRmNdPUBGEB+qSxD3Vhah3Vx
JjwW1rfvQh13aCSwMrWs7CJjcs9LXHGAGfQgW4Yb+UgZpUF5rilIhUmfXW6xqEqxEEzVZBWMo/oM
Gdw/NBNG66lnjiVrvWAJALq/yl6RNOXKDrEHlU0jdvpTMebf8ipVn2uzah8QWzwlvqe8NXoUUtEV
8U42TVPrF1kRebfesJ+2pht7T1RP/ZdGb1dylDMxf6lM5vEqbEWAX2jNjGKiTth70SmozOYtNKtl
PBrIMdtkCieza9ey2TbxD7jx46OTdvE1Y+0pmgSQqGsa68IqG3QvOSjFrSqnYrJTc/xd7dkguXLI
AptJeG5nVdq4EeG54+Ev++TG75tq3epBtbYsbUoAQrePprDUrQ+CZJ+FXnqRG80s45VaWhjaGXl2
i4XNlMJW8gNcQC3gjPNgGZN7MDirndpS4LzHPCXwVqi9aAuQh8W0xruZ2siswZO6bXqIIDVtE9qP
HIecXde23KDcV1c3vF9hcuCB4fyMSu+X3g7qW1opE7CkOrg0ee3sUIQP0Vq0zIdeg79bGEX5pkVF
SH2j7H6C5RWG4f4yquglesFO2eQJNVq3TZPaKNR16bWMcyxN/3u8mzv/ipHbwHGlXSQi+FUKv9Yf
XPDMUDLUaW0CLDjnk6GBjYx+InA+ouoyjke5d9/YQku3Gp7d0mvNnT3eAuYhsB7n3cioXjqdCvHd
6E3GdQWevozdBv8ZJ3vvg4dKK9eJano7BTbaFrPVEbSRFb7rmqKgHaiKfVT74XsQp19Dy60vPLjD
d3Ougif1m+/ZA6nh9FkeMpW1fqBk2C/loIQVLMgv2B5kYXmmjDw2ph5mkRhs49WKTG2VxmN9STQ9
2WlqmYJfMKxTGSXJJqgG7QlrbMgB0Ek++8l+Isk+A/mZflG0Wngw2UOPaUhgGtUSumPzZNY8QdJS
U08aWrWHzFH83VSq06UIsnE1YmT61veskosP7jnpyRQFJYCo7hckuNR4Bbw1OfkzTcptoUIuZFtu
gORFIBzaCY/G+J8eeQ45XI65HSPbuoJia999jrWZXoNZ+lob+vw0ZOVFhqI5BAJBnKO+2cqQ3PSm
3l7IFSzkMfe43NNnTexbjBG3oX/OjzTY9nZCNSVPl8b1xQmy/CTHq1OobDwx1QCxDHcrSGwdpzIq
D03eu6Tg2+Ds1IaxAd8WP6KL76xYuIzP+SgaCsZGOT9zC8yZDEzJW3hnZmxqRxRbEDFIZ7UQrWri
jQxGWuaUt13HR6HZI5s2HtVRB4KmsZ7O/bZ+7voEJLjpkaxO1XSrtj3CiENh7se0KvfZnJmMUGTc
TG6VPBaKTGXr/oup5unSUuvyAx/hAJ1QUosdwqSwOTOmyuPWmxdRC4CF664vkRrzcntrO+NCzICP
rlTCAwtw/N7mph203gK+hHKKkrR7+zOstUEXOgOMmTwwfg/zasvDtIxhLmeTcXk2ax4GruXfw5iF
WOAEpuQUN021VRKH4n486s+hZVXXgDu41QSiXHo6pIAORYJD5Sb6s21l+i73BUz+ebCDuc1zBrVn
HmoWab7UwLrt5FBNbZJDqwDXlk3TbjC8dEt919uUhJANUp/TAGVN4Yr4rfBZ9bSTbn00EZNhfn7t
azwhJRE02g8l65hzJQhtk6tYOKS5ooVfbVlmYLoKnmZdx2l5VZTaXNYtVPMq6tBoalNShxQBvkIi
P+dBS94icnZ+lTu/qM+9ekNUfhapKJa2UppPBii5TYOO6tmKYmPfjqmxw4Khe5BnROonQ5TLQzW7
G4KvVc7slGfXnDu+nbFMQe/MZzQ7t1iOs0ihCSxqL9c4/2kV9FeMilh5CFJS25PYBZAUo9wcMhx2
xnSdoj+ESrdiFOk1bIr8tWzL17w39IfR67JX3mUOuFGQkZk7JyVH6s4xqoPstds6Qr9TdDvZS9Wj
RN3Js/Dn5FjSsGJTk+se6vYBDE0J/t1IPp1QPYnZdcWyWZ74nvuRmdYsNxq2D25UA8zsNI/leQMh
LC67RW3Yzc9p4/lK8bNKkgGACJJYatF/Qu1wT55S/d40bT2ukzwxFn91/NW0qprVFuRIGZ/CHO0Q
FwvBdDLdU9CQhkZ8nUVrJFjhl+HwgxkZgsxD/wvlwzcMxYMPN0UnGF5Rf4mSQexqeDlwXZziklIQ
XiGzbW0tc3SXPN742udNC8HgaGkOOnKDgb24DOa4omIsPcZUpoXH82sKF6Hpm6e+rr0Xz+/nC0Vv
MGakmXZuta5ageXFPBiXAGs7GSZyG3MzaF10nDFDvp3KLtz2IVDaV3noxKr4CcGjpT0PtZq2XzL1
CTcJ6wl4kf4Ur4qEhWduKIPx3qbcfuoV64YhWABJHnB+CBEdEKsiHvufaqE9Z1QZv3qdVS9023Lf
cDAbl3jups9qq4ZrhKePbmqjExiMaLZGU74fQOKgfKIp+bKpugNTDQc8O72abSZbRTjJKo+97Dmd
NyOVBSoNVxlRPf/k2tNepescBJZ71rVcTPh2Q59WLS9dARHq1ZXsr0YywnmHXnHdeueIvPyyNAdn
kQXqS2zDvrJqfveR8tPG8rJqKZWFpHBQNBNgm7yYreOBtapTjb9Kor/ZJh/PifWLbKmk0EFev+Cp
Wj9qaA4fqjyrVn5mi8+xy3/YqUivhVsrD8hDU/QWPdcRPg9zNvJKNbn+lgbtD8F39snDpcX7ElhA
ZLThEsXmR9zm+4ccEtM6dByQxK6NZabW1/vKh27toTc54haEwZA6nbhavmgTN0h8QHC8azp/Y7kg
LNF7C3+4/DBGpWi7WIuUHQnAb2OFsHlqIkBeoof+m8uCQmSmF/a7OZreFquTbGuVRXsNrOKceKOO
DZnB0r9Kv6sNyi4knYNHOyqvvRJE+2EIrSMi3ihCzhuRXPzia14Gjb/we/iiedj96vWNaqjbISzd
jyD3+nVjqNXRYQFx8XmLy6hlkmWg4LDBddu8VFPrL3tykbCFygilaDeIF00b29A+1YuhtdNXbbZY
RTwlW3h2UfCPGje56rwHaO1+c5wQZZUewhkPlGhrVSijeKro310LuFZlBt13X4zbyi8p3LXGf7F2
Xs1tI00X/kWoQg63zFGksr03KHtXRs4Zv/57MLQFrWr9hnq/m6mZnp4BRZEEpvv0OU9tqjtU6Un3
npnuah2yhcGCdGSI1GVdIzLdJb69jeAkP2Z91e9MWzq4Y5aulcE5jnHVLmSCHgRimn7TBpq5ydzm
i2+lNQrvdrCo0iH4Di/T1TYK6y3nywOVMxqw0KBvHKmuD1C/Hhzqm+9wmMTMqVC4Swdw6REwkN7z
w3vRQFCmHKUIVvrJFEkStGKJbazJ7SjnzhqUs9zlX3o7vxZmSjQ+K58oH48vEDvLz5mkvMBSaN2p
YV6dB6O8diFQnjwJw2PgvIVyk55kSCecsB/2ngUDCvD+TD9Jd25DpaJvJl87UBlbsOlQM01DaTAv
U2TrwVTb7q4xawrXJUBtuhQGq1Ju/KPqNGelbmw46yfE4QRM9B16PCL8FeU+GKkB+gJhFw3FWODp
hYsYO371Bw/96ap1h+ceNaVLEYfPtZJVdwRa+SaNHRm+rmpfZDsNFxRZJNsyaP+yyYTcIxOsnfve
orRR94MlTxvZid69mIQ0vrtvewu48hh9J6yPR6cYw94JonxxGweq1S+GSo0B1aXtOu/t4qXQwmaN
DGa+FUNTM7n9OAr8st5I/ZuTD8uupgyUKJuWHm9di1Pr0dWp9FtOoIpj5OkPpIKlpd8hu+g7h7Qa
rsUQGhc7AdXa1Wvd0f7iXFcs5LD+3ulGex3rhLRTBs1nGXwdS76HoaQuhyasfnT6Y2dbsPxEvnMq
SDMtYKFqV31E8UwTIkUeSI27QxqPgBNf52sCk+c1nXqkoa+JGhcUcWISk21GoVTX8VsphrKqJ3eS
Un6PQPVkKJ09lZHccg+CFkoMrcAbz4NNsIz73BOYz+4habIlZRDmU57JySIAJkDivP+oJjdOwzjS
uOv65rd/EpMTHmLC4faw1wau/q5ZZ8GUPQTxj8LN7UNfwP1oN+jbUHWT7AKdCivqM6lMLuEm48g9
bLRcKy6jXVoUW8oNMRzv6tRFtst4VD+mNnk5n6//jnsIybkMKgUID8cLpMzZ2g0C+aEZIwuVoU5+
yuP7suQBdJLrvW/bMNy1OorwoefUlyGYki9OXH5V3fQsF3zTo7hHbR04E1EubWlaSK5rjaHvGneU
d2ClUTLP1Bh2cKvYKya7Ae6ebhldQWaa51IKkteqXJpvdp48KgMyQVUmy8jWSOvOCPMfnPLufH4L
v3otr7DzowyKpqDZlUN9Z/NV2kaq3W17wx6usmV7Kzig1VeZBKVqJuGP1DyTyQI6zpf5ava19dXy
4TktWqV6IMHUbIq4zsC6lGCjCWPxzFVds0pvlmllRd+LrF/6WRm/yX6JCEIaxM8m0MBNC/XJcRw1
WFoMsLy+0ynk9IezWuv2k+04Cj/ZG6JcxbfANyjvtOXi4OqdBZ6we1O8iB9K2wKKb1QmQPgmPEJF
HK6J3Ax3iWPmi9YwvodK7j1RijjsFIhTt5CeOs+c0aGKTL0/obEAQJgmw8OQ6B1lP6W8KdO2eYUX
9SA8ArMeqVojPqd2VbZt+monW168hxPC3CvkH078LyNSf7V5gXrCWQUQ+a+bnqD7oAbDKSXsu+gD
x30ydJ1wUNkfJuxJp8EQXPSgBfs6PgcA9aioKet1aSBT7fFerkwUP/fcXKSXJhz9hd3apL+n2aqx
UZwx9CdZhnyUxAMPRTU30hJIhaa33b5piF6PtpJ+dWLrrQNpei2cUL9mmv8XYu0pBdDOIgdHvaSO
D4YFRzb3iEgN276N0gdPnSLXWVP9aUKelQSN8sYp562QA+u5gPpprSjRV3so8xV5T+eaTA2YZZhU
yR3tXFNSJfg9KmU1lmCWfLd0rsLRcUyg+SFJ7NmWS71J9JcflmkX4RYTV7rat71vm8Um4jrNpW87
gs2S56/tLE/PklchQDDGED+1WnwCdfGHBWDyHGjGOvOrRyiog6U6qqexco56QhzXcmzlnCPqvhwH
X1kZdd3vnLhS9+iQDJd8aoJdOhByAWUQ7HLPCVa62aiv5gCfftn3PyiGG/2OEzu0Vs8l8fZFVTvZ
uoMgiZ/L2BsPZBCWvi4ZCEXl2k4eALHFhakQq/GsnRtJ6ZKPPN9XJf7iOyo0MDYiMJqcD6eRYtVl
opGODk2tX3VGRIReHixK6pqmXUR18whZULITtrmhKuyXS2Wr3bqzOm3B08hZJ1XwalcdYRhLD14m
NspVmxjaNXJ8Z+NTnO0mxpaM1HiiwCjdeQaKN51awPgT1Oeu1JJHGBV4rkZlD+yV3u+FTUmAvsAu
CxxUsq8cBaw3RSUMNU5yZPaDp/GUjNrEN1mShoOvZ+MBPDbvjksGI6Co/9SAPeJBMPoiVaQdOopw
1y0EzLuk6O17GUFT2VJbDj0ozVP3Sqw04IzjB80y9pLgBGY43QcjAQsbmMeqsEZ1pfmOC7lL9+AR
DXcMkxT+GErmuQah6FKvdi9lXnbPs/RU7YxsxGjy1OSB3n02EQJA3NDnIQ8irmdUvgiiR/oTnx8T
jM4Shvf0ajeTknLzbFGMfCXymdyagrz0qoAhbD1MXmIiLCr3rs7/FAOkXeU1CdNoZVnleIVhyllo
St2TZdHG680mG+ZWjW0d/CsuYoLTgn4xgEhOlrwLo6VsIOBeS0156h2rODVN/LMXQ7UAQzc0jJBe
A1IWPrcuv0R8rmK53cTcCc+lgZ6xJBv5NlEcl6pKGj4Gzr6pLeL36Xg2SpMbQBLe14UU8fXnZ5En
WAsNXBi6ETahhKQ0rHthq+2MQGMFbWloqxyTKpckHVFdUH/bUU7TVVYMdw10QFcZZoOl5vrevc+r
3hKai8kWdrDme+PVBkx04ktXdcoKXkGd27SrH51cTbZ1qH9t/TY6++1fBMHLu7gZ8o1ju7DFBCgQ
VS6km6IHpzI0OaI7N7V11xf9QOgU+ZHelE2EJiz4qqX4qwvHyR8G8hYLQ5fqF37vlWUdut5jYZco
tYWlezFlPhRBBGlPEB3NBjVitTG4tUxD0XSQelAF6WR9thBTak/cOu1WUherV616CAQ5k2zGyPPw
Bt+4m2TCcXuqwkhfjBSVcOpVp1AfAm6CYEk0ha/wWOCbzUbxZO1G4FTWDfKrvQq/0EThJPw6dK3g
izZPUQaPQB568aqxFP1QB9TrO4C5nhTfrB44Ti/kPsmeYH5cA5OU7qcHdbeplFctdopTmQTubWjk
SbIMhy7cQOCCxkra9tIauVZpGwPTfaj07E9KJ8CIpV134LsWLDoyVfdGFoGXc+JxazgugKtSevHR
tnrohmSpN2X15A1D+ZQl9jWHTPgu96TyydE6Y9kOQ8MvLEPbVtwtKYpw5dbunZHl3bnNB/cuRV4e
fs7w1UvCch/Ifk7hhhe9mhGxSeKQwU7MRtRRg5EnVSZmXQnhqjSSHmVblx+4f+yEubfa9BT7Gcgm
DpoAJEcf8gYymIZWxSvqIcxnI44g8FbhDqeiynxOKmLfAM3klT0NjUFWtnnG7V2KLOM5oUoJSKgS
r8Va1Wm9LQzfzfq2tgE5zN1eg+EXZ57wqk02uh48aWwVtX0AaTv1X2KoIlK5hplf3gjntAOTrkM7
epuVvSgldOPn29vavndXEP7IW+GsUUyxKn3bvc3GZtWsLMrsd8JZDjpAT+2UhhXXHX1pqdd1tAU3
ujMsp7203mBtkmDMT3Z0zIjQPaH21Spy9zRV0jwlZf9Cfs45ZzAL7GB4gF1f67tLU8d7Stqdo6VJ
sLEIW618K0Yqs26mVuuiOx2kgivnagB1aaofyY4c7A59beGflkG84vwcINiOuomVdjziBeSJ5TBG
oI7cRaL0f6a50X7Lc19Fx1czLtSlh7sA3qiadNi1MaLnRkYqzHRS9UBMvV2GTu+9loSONxo8Bxsx
q1TIfsD2h7rINJvpQPqqrL16ga29NN+qIvF2qp9BWt4RtgsTs1xVUlFuQTNz37K9cTg4yFQY69Cw
fnXjqasrSaEuPzh86OqJkm+iqdrLMx4Qt/VeTP48ipaHlQQN0IvGp+3ejREimkaS0emX0BsexCgc
0+yuAJ0nRmCsjJOGQs8imPjUxxKSJ7vv4TufdkWgU9tM7Fqr0JS0y+DKPxtd2lsSJYezmQf+/BC7
gCknp9ke63Au+kNgLj9NZF4oLwo3Gbazs3AhHsFZx4Rr/v1ybsuB0SgV5Rlhgg313cNXezTd1Vg7
3WlQUvksq4S7GhXgYMgZ2R8gmwgmRSHRFJOskOjFmjHxYCAMO1ooCgmb8t6LsynJ3CJP+2lCOItZ
WHsR/Zh2FsvQ/PXgUYDIYj0Cor7tWhFbBvZEUqpZgGReRcOYHrIq+NlQG5geiHynB9GbJ2a/eeKT
33/gMm8P3AzCe7H/vE4MZ5/5Sv+By6et5rW/fZW/vdr8CmaXT9tXnvTr5f/2SvM2s8unbWaX/+79
+O02//pKYpl4P5R2QN/RDx6EaX4Z8/C3l/ityzzx6S3/77ea/4xPW/3TK/3k8k9X+2T7f3ylv93q
X79S2/NLng61DNHegUe7YPoaiuZfjD9MRZXPqpQc4W3VbdzoUfZxfFvwYdk/XkEYxVa3Xf6d/3zV
+VXLHSo063nm407/br9/d30OMxy9Oz3k6Xy+4m3Xz+/DR+v/et3bFT/+JeLq9TBejaJrN/NfO7+q
T7Z5+PmF/naJmPjw0uctxEw8/cs/2cTEf2D7D1z++61sp4Q6t9S+DZIRHBupnRgSAZsd4/dGzETD
UBxU7SrMwiJ6lVgw+5puGR7FdEkCae/EyLJpnfeQaY2+9CqD2qrakO6zIIZAre6fOAVDZDuN4pxK
whZ8yzQv1oyBbh7Ivv8Q88LuwhO1GUsYsYRNNFUPW4apAwKrIds/QRd9gdQjvhS2FO8720HwuaPO
1zajWwNDZXzOUxhIJy8tilCSE7OBJQFn8+TTzSam1Uh/awFQETlroJYRW+V+T51zrsrrm6MLq+Sq
MgIbnmSD+pJsRGKHkz04TMRUN36ElqsN341B/XxXXHSCBuTtQ6p7puEQWMWlUOLioiiNtvX0Aui6
WN1q1bBzC5ANH1ZbvQMwOW2+Qi7IjmJhZebIEhn1/byX2NrvtIqgpne87RckRXMK0xha3l+XFG5p
3/VnlQeLm5s+ckSz1J0jlz1FzOgFeZO6/U2sHnpkStQ/CNc3MvVX49BtDf5vR0C53smvJi1712CR
MIrl83QBTsSRHP2QdA2oCjsvKDpNYfrIrH1eWP5t4CiBAxpmsufAcSG4Inh1WyGM8zLJGqMlSY96
/WHNzbMaynUXJ+nx88JRGfx9E0r3n/YSQyMzz0S6jb1SGWjVxwitjXLn3QVN4t2JHmAvD93W0tu6
QGbJazM7Twi/zhmj80hl6eQ6r7xtpLUPth3FxE0D/SCakdDZAWVk/SB6CKYN+0RKFmIyeXcTQ1fX
vZSCE1ZkFEcjNistWkcGXobamA/xWFOod60kKXfC2iImtwZTqy3FxG12che9bpQJeaveSfjOHmSc
zI2UQ+kBXuOn7zwbKf4jIkMqAdu/TWpjpu901f42203whCp8WmlGlseVt2JmvpiDhiGoug4Kk+lV
v7+u2zClVI9SQ3stXoRheSrvSJnAsGW7B9EYWYZi/a2drV1kYs2oCSFaOPkmIFsQvh5QvhvjTvqw
gV7kBAziLpZuG94Wfdiw7OF6lWBoWKkwox/1qQnDvDmKoejNzScbdXrQxnIQW84T/9UG87LbNdTe
2WRQ26UcfMr+lHBERAFZTa6+7KfX0Eg5XYUISogJ4m0RGtSI1E5alfDS2gdKAcZ0IcZgT38aLcN/
QmhB3gg76DHnMK+YfUshbCm2EWtnn0/D3OupxnDq/ShHX6UmJZORGzC56WH0GABQ29sWQQOZT9hr
0Wo74UEBl8OZ2/Gv1gRjTzOq63IzLoFUWVD4T3CSdoKTNAOgnnzMTVKPU1cY62lG9GYfsaTqN1aP
fNPsKsz/NAwERGXeKZbHO7eth/vRMa56nXRPBQfuQ66r5Xoo4/SbpxuklABYETobIHmbUlBy5H4p
DICrUQH9WljX7kKqh70AGwsUsmjqynaXhuEk69kmYMspVXXrBPzWUkzc4Mmu44Zbzeaj/wH07NVt
tId58fvNsaGKuwpgzEXgyj04heMcOLnq6UJ0RQMXuwGEoELT/mYtKdPuC9XYaLMnZKcuMpyTD3kj
ZGKnRiy3izoAYElYIDerHsbQFEJ1efRqZHOC6q7M4X0WPdHkQ0K1baqD6nCrnxPRey/2ADnA5Kxv
hbOsachBRz6cqLVVXfo0fgldx4J8OAZyKsUDuiG/bCGprIuY8Kfe7+xJn77E73tE7RNhy/xUO3l0
hvs/OjeltaocQp+Qev00icmx6EbwJJWS7yGhPcmjPXQL4VN1IKjJe6IMnzoR9YHTXklbV8FWdOPG
eLMDNdt+sIlLhT9yeMFPoi8RMu17LYHoTncOydT0pgIj5TwWPXSC0SUxq91nu9Q6h3+y9YbvHiRE
n9B0n3xuuwqrGIs1omkHSk+WYqYoBnlHVrk1TOWq637+UhNv9mWA7Gbs689EPWqzyV88L5VRUO/A
9cvZi4KE/MXozEexIszt+FzmPDTmOtFas+GHRqfk+uinvnsUvaTL/xg829yIUTcU7tGrgCRzc//l
Er73ZlsHzBSBERf1iWl2nrgtFvuIHT9drqZaZ5XWycSJ/7d1s/PPtYGMCoUVbGQ/yLbFqHv3klzC
Ql848Reid1+NXld+IK7tGDqpX9sLH2Mrqr86bURKJ2z9Bz+0+c00Qulo1mZ8/LRPA+nX0e9K+G74
EJ8UubL2nZQTf4J2YFEjnnMKkJcYzg2sgJs2BHoJFsEsX8NIctYxbF0Li0A5CdMkWsM71pyaqSFZ
97GZbcJFkZV1VNrSfraLBfNQuAlbmmvmbowctNr+tqWRjx+vMK/XQtIRdZJcXcOgECpG3MGClXwr
hrGcJ3dOEt8BsI3yZZOiZuH5qG35Wg3PV48Cl6IF/QJSrY7E+d+aDL1e9F4NuL0XYirsFHisRTf3
ElRgC8JqH4xukZlrrQtBuTlVswmUSJlKDvxH0TQ6BBJo3d+LkVdAgDN7dJNbh0dgjb88eGoC/6gg
760UabUi7eidS0GSVNQxj+1u1q+FEepM/zwIQqR4chLG3/vMa2afaqJdEhNhqHk7GaweDEK59gxX
SOQq+XNboUT3a/BrppAKaZNSHUUxzPS7p3nZOoTKYSl+BudfxWyAGdefJmbb7Xd0mtAHl0D69LMq
mnmreWJeNm81O2cINhGvTVJ+1+vxkVr/fmGTcT+MEXoxamJ55FopKYottymWFVwlfqM+9NMkxBj2
slFAZgvfXjKNY1BNereZ1hakVYKjXarBRcwGOf+RNIHGXAwtMvN3utdPQkLyYzmsW+pjKpB0QBYm
uXM701ZuY/r7FKGLU2LBwsWZKI9Wogux+FAt7AxkJ2Wo5aYe0r5aFJr80/U2Py8VvS6YOBgGzipi
SJSdaqYeEF4kZQ821cZ3bq0pTwNJz6UWWfoe1JTy5JeWDdu956I4nUMVJuvd0pyyrwaSr3tDK/4s
RtnmuDrZwDR6gMCacj9OeVjR6J6i74O6/lOMmilnK3wDSnf+0Xfac14uemJfJZPKPSxd8bGPuoL6
dZ6nFN6Hi14CmBG2VqFas3ZcZzsWmXSXU6e7HuoWtbney5d9lSiHUTRxBcApm+QEF8LwYWqaz+D6
OHhJ+7MnXD54a1HwJc3kcgd6pzyoMsSS72qDQnJQDLMgO5IW8Y/CVAtVwiohdWbK6UTB/0ufUDiX
JpVzUq8CPUay8MOKXsmPhml5x9sGYmbeZUyhu169v4yhrUiUj168NIL8jVRq/kgGqniUpPgPcv3t
SZ9Gimz0OyCTSFlNHnmhFo9Z0KygPh+vwl8pRoSIe0qkxKRkmNW9WhO6n5aLRa4bKwCO0Pq+XcCO
k3OSGtT2a3m+7AiVLMzIyY7CGRTBuFcHKoXE9VGIkPeDTVoS4mqr1V6bqtTOlgQ8VgwtD1LlsaYq
RwwLx6oWsh5Z59ST5Nefa9pW0c5SAs+4Wzja67yGh9jwqqqo/flwWgZW/D0Bg3PJpoYUpnLx1cRY
95N66WwTE4meoZMQofIjhqIRLr4ePPagEw+zSfSoGe1NgjPzPuQO7YObQvn7frmbp0qtuds7YF2n
lyCa3tJhUE/9bedK9dHg7JnDNqDWR7Uvd2bnDTtbqWvoaTHFqqlRtSLGoiustzViuVmRRASKW1Rr
fwT/3NTZPyzIZGo+o0DaKQ1HCNHEreeCuprGlSypNyPlLj+nZ8dPtnFa0ZiN83OxmNa1WN0q4PI/
b23Ejp2g7fm3bXNKX3baAH8jvCDxKkJx5ovSOB13Wh2RTtPLvij2M6TI1gtEZ+W5CpEMtPo4/ZK6
Q762PcrLOWJD9FzKCyuTlZUzIfORgk6PxoTcFD1hGwGiAyueZkSTvffEEJo0ph0jhpanm268WbeX
eWY+wUvdXBU/aa+qYrirrkPxZraZcuGdq9zdClNH0SUssxOlqzbY/V4YRRNCDLE1AXRMPNfNdW7M
x7B2syvoTIujokERZ1aVDoB7LliEpnxODNBslJiuQug1dznZ6pem4h2qQgPJ4UmJmfpfqqvdpj7q
07CrQbBSIeyexKxp+9+6wRnuxFIQsJekVIurmLP1fNvoZvwg5gKpXoDAiZ8UR3GeO+SHYXhxTOkp
gCnvCmCzOmYuiNRplEBtcOs1TowIgdJWezHRG155dUq72cGkxfPI5DxPNL60lxW9QfACN+ELjs3b
NB7AlNlX7I6IXBH5/m31bc4vgWNImrKWPM/dOJ0PD0HsZRfRyAbSUGONgK4YImj8c6LKK6hpZNnb
zM7pNIvkRLfyoxzqufddol7JLp6vOuuuyREIep8QK4yOqF0oWZAx6dLGhGl7z3XMfaqgGjORU8qT
gB6yXGgFC1rLeTxPI1wI4aUYD3Vd7Cqd4mU/GrcZ+X9Ynrz26moqn7epp0XnEA3ACznln5bQzbop
6sM/SDhME21el1QwACYlWrx2pZg6/dCBJxAC2n3n1NZ1mBqqclEBLomOxUpgXf3EsK6G4lrbuo+s
xWzTFUk5UeF0FCaxVPhCY7OoU9UHo8huYlLxvOB2mdk2X8ZpqThu4aY5Or7V7inMpjg9zsdXk0fu
VaI3xCOnoQ0bFWX7+n3fStVjpFtbT1ZHsCatd4xBmC4DMdStaB03XrUTs0HRfwvdKVUPOue54NMr
vOBWgfieAyGiFWxdVEq6gZYj2IrhGBagKBXfOYuhUoL4lNLXVPObO+5U8W0R+iwwD8PUsBZeuWZI
i7IEzy+GqQVhp4rgtl7wsTXzDKUF6ID2VW6lW350tUeSDfySQyTwV2BCvw0h/nc4AvulhdT35ZOv
Dk8AWiz4pjEq7zw+rijedVa1PGrHdmpETzQBUlRHq/DdAg50ZiTgVotWi2oINxlGZfWgOXX42kW1
Ez7laVO/5nLzpjTBxraK4j7vZPWJsnTgkWXFk2Lga089aI+VZ3TuVswGOud9VEs0ABg4Dyh/HyMX
mFQ0OZfEEK+UgB/EpFgfFn/GNqchYfHz8KtXSjBcT95SDrH/CLG8bBjyKuar9iAaiq9kw3/ojDZ/
oJhzJJYkQ3Y5ulG8tGOOq6muQ4z67l+32VbzDeNOtdQ3N0GQrO+U+NJl/FLyOAk7PmjESzM1YqJP
U3Pv9clzbRa/TNOCNLXzc2mGy5t/Y3qH0B/PjaAoncjnRW9u6n+wDYnx7/zmZWHI5z+T6n6lx14E
VtqFcWfQqRieak7VyldhDKIRvTYnT7IQ40/TYEGDnR+4J2G/7SCWfPKbbR98crg6Nnwf3hS5UHnI
4MIfrjQvEb3PrybViQ31PNYtfusodpz3Fn6aLxnrgl8VmLrRCFh2NqzSfGqjfGNM3NJiDLVJAHgY
QONs63oNDaMP42lhI4xizdyUthUe8ryT7gEOGo9tlf4pZUZ3EiNCruqGs5mxavncPCIcsguirD+l
ja2gkkOlxmCGKvqmqXoRNtG0qQHJpa1mazHMpRHsbtGOe2K2fP6b0n8BDR1QoaY0aAVm6UZ3huYc
RZVDnUrgHaSJ+ZVNCVwDEPLH0gOD7vkX0TNU7jaZ0sCO/PcJVMaIHrvGq7CbYxJCQzG5KPGPqiOR
JPZIMtuHHKJX+ZmTTBRkqQ29bSx8y4GEgftnjDDJManj7Gj14X2gG8k2fDcJe2GWfr743O2paMfK
G31bLeY/OL3vJmy/3zJ3nV+717m3BeRkr5XOSc9VHLQQLVBpkFNjsgjM1n9LgXlSRPSD/8wXDW6s
11HJ6pWr2PEly2AShNxP3Q1moVxMntFWZtvkS0r3HZIP9XjydeDZm9KnlMiqrH71wSi6otE8AOpt
rbnAtcBsg+1Wx9M8PUBx3ywal7cJ3eRv80QAPSxKbGheykn2wN2Wn2PoSMWISgn9WGXjVzESTZfr
04emK9dqNWQPwiYHEMGUo82XG5OLaDap2mAt5vTJBP2Juh0lrVnOtiSp7cXQAlafN+qj766Cdvlt
V8rBDpTJhQuxh7ClDtyybtyHG2Hj4ShYFmpQ7+AZuWT5gMQHMksPrWP2Z3gzz+E0oky+eBhg4d9A
mjauxFA0xPDfAMqHRCdxiyvDubhkvMUiYaqptt7CbNAuS4ihqRPuB5BkLtKMfa5eYtDxej4Gd/U0
EnbVN/Ujzw4HMbLlUQelqA7F1kJyayGMt6aS1YurIhWmNTDNCZvfydqdPoSLKinDtelIxV2QG2Rn
oebdxZai3fF32wCeLeW5NUmgyK3u/zXkyjKBDIVi7lY/pHqQffMLCldtWKkgO5KkdTQW1kmHoeTg
VLK+tQiKXFvqIVdQsMivRhZ8J8NV/rDCLYoa3obfmXJrUT13bRzVXGaFh81sGmeR8Wx+amrnIGZN
KYLxPh74iKM1au5ksJD7GImblaaW5omy+TcoFXwKKBQkvSfT3Mw2E472XSY31JvjIexSP+QtXNa/
llG7+b9s909XFbbpFXLuUtceSPlySl/WU9NMmVfRUGy0CgH8nmaT8PDUQdk0qsw/dPIVNrFeDCkE
fQDvbuzFaN6XKpkULpBtRrnUoQFWPsksJ09FG1Msav0Blb1zqciwDVVa7DJVDu7Srqb619DMe6JB
KE85LuRK6JAukMUw/uiN5rGL+ARLfbU0OnKcnPKPN37VD1Srojs4ibouC51SmYlZVdUMGtGbGuEy
TuyszRS1Dsbkx6jmw4VfNGiue7/9TrHKoaCs8tWD3GhLfXm7KwI3RMZG/m7wGdultgX9TmZlLz0F
SFvHHoe1GFZ93a4Rakq3YuiOXbiSDS3ci6GjTuRXCF0cB34qXzyYrCg3gnqrkGXpjP4zuOYU+rVC
ttXnXkl/Dssp3iqGTuS4UJG1P2fFMLnm+nrw5Ld2HB2YX00Z1aFYB+tbpxHo6I4TjKmgWMIfs0qk
Vj6LkWgSP5mILNS3sNPSZN1be9Uk0E/YQKMcRtZuvelhncKYoiMJRKGZmNCRcrjN8lXTKVGavOPS
UNe52sE9+z7tFIaWr8SOt22prF0MqSuta6Rilm3cZgcjStAJRC52NYI//y4bkDCozh/S2BnrUfGD
Q1Pa6aMWad8R8Uy2ueeB02m87Cwa2+3rU2dfxGCoiqJZzZOa5ClLo0RiqW+Kbgeh4YubFhQTOqW6
cFRLuqsnwRCyAd4ljWFbMhTtgz0vUk9fdDbkk0HdEDfATayCgbbdjy1Kl6Qvwq+NCkeladjf6s7j
Rhfl8MS31GU0Xd3CGZE536AJ+qbkbfmoa0N04FFJWUPx3H2LeDyONeebTqSOTG0ug4VVlQd9tN/E
Os4B3L4pO7nvqXgkH9Ho3HcD40ZJJvePumIqf1BRinYnEJG9ODqKJuEo5Fs5t6npNCmaoKDsU64L
BMJTy4ZpOB+tc+6YK3EItcNJri31lopby5cqCuVLVrlIbXrKXoxEIybDyF101MadZ7umqvqpybWx
QKpSrpwXc9TGs+kGw6KVERUcIZlbO2pvb8UwkYznVs2WqLGiiTHR1uhK6POuqf5J9KLRT6qF6Hqe
HVWLeUq2aw4tpQIynCUfHH92kf1b6LXpwOY49qdwajyiMOmq1LovVmY2WzGB+paL9EmQvZp6SsVh
XvoV/+sO9JDo+hPtTjiJWkw3nNOtmZh8buObU0PKTUHrC0KsCTMtUNEVfG4Kx0/fQmMUXmqJUDF6
rqO6qyftngq4PHf1UNvViao+y637cxbqu/AwdCjD8ZxgL6il876PVrQtQ13/AcP+vgobgnyQNHB8
dPdmZWVXEciP1WJcyF7qH8XQU3x/XchQk9mR9Vz1I/pI0fiH6dr5Jq57go+OVX6Z7FmhDn9QMgst
Kx9h0jvLAoTUIZP74ItuR5AZO9VTM8ACmQTtmzDbSedvc61fGMnO5Ix2gLkbpuapp/99OEh9N8kX
Mn3r3tx94FZIh0Oe+77m0z43bwV5gXQx7+k51r1FHcS2TK3uJHlZh+A9UlZGp1watMx1xHyxidlI
7ruTaLIyfZJ6z9pGVWi6Z2GDGgQMjZqXC7ECkElAeHratUjHaKeQ/8kRf0Xrm5qkPO420XsxF/9A
a1yIWSMIv2aV3OzGWlGpaphWBH5NJig3A6r03h1FFRiUPiYAs28cY6MIasuWB5qch5CyJomxlcrI
3OTwmcF2rSryyvPqH3lOKF+KC3QCqXuhsuKX2Dt/K7LvTfdzQgjA32wTQ8anCTu1KH79P8LOa7tt
ZAvTr3JWXw/WIIdZc+aCpJhEUVmWfINl2W7kWEAhPP18KLotu0/Pmb5AoyJlhkLV3n/4mEb1Vi7x
F+P43+f/p2k+6i728T9HlA7KKvx2+WuS5a9JFnto1fvjb3Vi8yGyS2tlaKLZEGOo7nAYK++85Q58
AQQm91bVqMsc4yLXDq73S9cg7ybOQ/vLkJ8zjM1UsIyF/ZUaqaa2fV2eJ2JZqsouZIzjhWMTRk7i
dDunThSsDJ6rN7U/XBmqqMYVdV6RztTtrR5BG4fmJ/tTAiL04y9Trw7f12PBn+XuoyHoenktCDpe
/gxbX0zAtA1Gzt59QdipDwiUmk7j3+cisG/AvRxVm75UVYOHUIc1sTtaiqqhq/vhqjWCYGOm7MPX
nODClaB9cYP2Ln34UG9dxHtOahZWhf4eN5uPdrB/3QFVlxvPz/Z+0jvnzqlynq8FKVBD6EB0UDY4
p7PtnNWdH7XWIeq6x0s/NSQa8m9lWM77gv8sAt+M8PhJ7DthJSt3mVX1+5hqwYVOXl0dLy9poJWR
wMraDEu2cZB9BAWvrveqiNc5RsAOVCRV9AukPtr+EcMA/xp/Ce9y+VtRNag6GaTJtp7iFOVBsH9W
OuQr/G3aezzm2vskJedl1yaMr2FqeZu5wDP5tU515inYbfIBtQ5VVP3U2C5l72ETYL6M/dt8QsTd
rhZwsQ1cz6/tSv64BL13PbBpgAKP0hJkqr8aFsvyBiME5DidVFTtFu1yNCeQGWyMJtqoGX65VdOq
3qolREGEHxrWSLOOeRTmm1hi1gWe8F0anKBME2QbHNzS66HQN5cyLFT/dOk1BREKFm78/kuLowZV
y3hUzzl+wxNkG56zX7HbULueYRWyv+LiZLWGDTNZPwR9TOOYjXVySuC5oj5vHdMi30bEOPepB61q
rhvnSM7W3Uf28KBZAyxrVJFX1iy7LQeo6XNGFAH+6fRqRmgi8A3ptm0uL/Wl286X+qEwf6lX/Wfg
JJf+dt5rN7gqIskyIp80NM25Xdx184zjcVdPyXFevHcHD2sBAwO9rVjMdi0OLnt+UfFGtUZIs55C
N+MBtYxtysm907Vk3y99sT7wj34UviBhOt8LV1or0aLagxbcCsVu64tl9NhjRDJBztyG4moKc5Wn
QXaWSZ0/4rh026Am/gbMqty6kdAQWAvqtwAmM/GjGrIfHu0k/HFNLG6gaLY3SFdjINRgAjT47aUq
cmMEisjktzdGqxFLK4Bnq86qj2pQRXWpPXjsYYQjTxQvmi8fHdWdtkg6V8PXj+lVtZrko26Ik8+9
95aP1bxtLREZ22Z2IS1qHNc2GJE2a9ZRwTZqaXLSrDmNvcUqXgRpviWAVKz+YxRYqvRoBdbmMoma
79LJzuQnQ7PafWqlyfnj4lagqIdp/VGDPFJyRscSr4Q5cZ4ISUYHVffRRd2J2p/XoWFom48GY/IZ
RtQ02jmygHe4vNilUt1WLcgO1Js2Vm7/+ldYHqG4vu6/+G02HKNwksdA935cVJ0qqoaP4i9d0kbL
V7+Uf06jzaG9DrHVWqvWj8H/z7m85YW1ro73eDYfkPaYd8noxat2kdDqUPZHCsCvN7UWWNdlHCC9
paS2MkSjbjLyO+vJSQj2hu2k43LJGL3iQ5lm81p1QX4gQVkJA6Yoqp39mHseu8dWexsG4wBzDjVu
PR5Jfi3a5Ut9MzffrQyljiSNzXPd2UcR99tBk8dUONV7XPiCp6SlPSep3WxGoQ13ru4kOw9tjWsf
64l1n0811nYm4vdd96UQXvps1Zp3V0EkLpF7ew7JxzxV0VE1qQvSD0CadYFvIL3ZV9wLYa/w3P3a
4BX8lFkmz09LW6uSg5nRkzfyI/OzfjOx19541srVkuwxinv5mI1FuvGLsNvlhSsf9apKb1gBX1Sj
uoxR+Nlnt3hSJeQ4vJ2w4W6mOmGhNZP5y2SBF/+YbBZ5vyMQfDP1HQm/uWIPs4j4SBSywZwsRZRP
rrzO3DU5akBJog08hP9y4lHGOEYuEHZ2wJd+NDSi/oLNi4fEMlEArYjJMo3ZnUJagTK8bboiu1Mg
rKVNLCXVFqXprdBzfTV17Do8p6tJF2b6Cqx+/eBVdvXAXhqyRDmXO1VUDVYFTzhNvbOqEo5sT2bn
PV36L4MibbFLjTj05JNM8/Vgd+9pEPXXqguZDP+2m931xwBD79Y6i+RJGPYq89gEZ3UiHaSC8/AQ
FNpt2kYahyWAn2csy+S5GAT5fz2HtBIi5bmzPDgLeBS1uzA0LN7EUKwbJyZFtjxMczND2zjF9mcp
qYtqrJYeH93+e90kceEbBeTeTLuqXB91Qs7UPnIjV1Na+NfjGDe3eJQ0a1xai6///x4Fc4y/z9Eb
DZ4kVhXtmyzvHsWkvYb8jadqKbVlH+/nYTTWmmaLR6sau8csfzXtPHtQNQ4eIzgZOsNWtSVT4J3t
EZ2kSHT3eWoCa27sM2dTnLkLKd8HHtmxo6WvnRdYWxFYyaHKdPfcsxi4gx9etzzmWui63I5zoF35
NQBIXN995DBnzJbmznyekF66FE3pms+9DL1fih+tqvM/jS2J/e3RvC1mszupS6CjfMBDt0LK8a86
daf3KF4QCg7JgpQLwHMqsNXVUZbcXCr7BU2a9t6+cK35ONeoYytR9h4HJJ5J3pM0Zm0/yR6ofmkm
b3pjrRH9jN8BTgIHS/xn00uxSKzB4GQSYVcrOTuDZp4zFGQgN/EzORVRfXVpdNPOO7iR/imG0kCq
J3ypBEtE4M79TmJgs6mC2XpqYltck/6QK1U0EQe/S0SGSU+r9WvL+mSYdf+o2loEFjKtic+qZNRT
vfbPc8JSfocGjn89ZVq2BgCAvcjkTjeyma01dkvxu2d5W3ZKzifZ1aiKmChkuZMWv9SLIdjSQY3M
FmOSdkTRSY1ka528z42zLSfP+TQMQ72T2VUcIf09gxhuvyUNPodTZ2gvrhzeW6fNblVJN19E3+nP
QOr6e5JrN3le4fzdh2QyzTxaq6JZDsUOKLB7BU7vtYAff2hat5xB2WvzvgZ1beaEhvTl4sQjmlM/
78YCpQwOA8NWNaiLUefupZ+H4Mc1omHrj/G5IImC/VEvUIAI461X4qI1+j0n43bKzkGvm6yYufGA
UvOwzmrh86bP0Up4rY0clzWuaz+qrt2+afzLbRHW1bXhO4SgvRpFRu1rb6HOTcCtwmpoBAY+8ZSq
rAFbnL4bHs1w8Qwv7PRrHoZrQo/9n0Uq72zEqN7miR+MbTX1XRdk9V4OLjFCozDPVtrom9ggYY9m
9xc1aPIPNSpE3z1nKFaxXrbPpcRovfVCuWojHMDJD0oURfnNiclu913m9k/EJBavMbDtqrWt4ogk
j/1VNXpVFDzyxqgmdcHu/AX/7uBGlSxX+GvLH0CcLVMjXfyPc6nGRpv93+dKMDyxLSO4sZfBaq7U
fIrywt6osJt0+hx3o6T7Ea/7pSxHzV8XPYpDYtlbdybaHzN6MHu0Ipyn3Ei9bSPL7Kpb9toybZG+
1ViB5VLUR2s+E7Um70tJM2rzcczu1UA1mefUBxw8Bp55tGMQ1MDWKoJrNZdujf/8StFzHSU8eqwo
vFwis3OAjsZZsu2l6FeqJZDNj2ZVvPTRC2EcwHkcPganNSeLCP2glTFZLKMtGLdr08XbDBgrucCc
9XWpChfZcz02pgRbJm4vvYsEcK1mpMcZiTzdN94cPQZm3PXhdoiq6bM1oz31V3XfoLSrqnXvH6t/
660mKZeY3m+9VXWcpt+CCm3jUfflnpOTs8tQo3+yp+irdNvpKyIhDxoCRC+2mTqQqxwd5mbL8aef
55XqgczidpABbM4wrgG095+s1BjXFhn4G3aTKK/qWlfdqHIPbnxYdKGC4Stba2y7KvvPMqrP+Mr4
b4PZ4nbUENX2iKfuWnR2jp7otZOUgXk1V4N4Qth8QFdOjF+r1loWHvtPAkM7VIdXfRnMTxJgC/ok
Ohiv5V1zWuAe/1CPh9pNZ9f6U+SjBTs4zo/+CUZRH/0/6pf+cukfevRX86s39Pf+H68bMc/f+qu/
5/f+/zC/+vvb5e/3pupqJIHyZAXO99jqh689KtBzluMP469g0iUI/jvlnpCB+RX/9G9jantHRG4l
G07H2aMelG5DP5w+o9eGFFurffJMNI+bpR7z4ukzijxr+2d9CdHuUr/0n31b7omedKsCw5VrYWdt
u8oLzb1uBsvDwEOaG9WiLqrho6juWmEx5G/NVdof+3gc9x/1kzE4RMpi/RHXZXSZisx8q6V49smq
/onebqF56I3187Af8ahZj8iwbPM6aJH244KfVntSRXWnLtpAujyyO4ESCo8kDYpWPXc36pLVQXeT
LBdVDJ3RWSPx0m0+6lq7J46typE2p1vLjuaVGqeGqIapRlUWTmeLvL+nv8nZwuqtjZ4r30lOcvCM
S/2UInEy5i52mjqOJJwN7LMckH/J8uLYeD0u6jlorl1QYtyNdrt2ItALb86Dijxbi/5dOT+OCceb
oOK45U2PuIPMjz7eBVBKJeaLSx20mwljVzYciQvNzzXvILdNj90YIIELLAPl46Bt1tHowyjIzbNq
dZOFZwVK7Mqw4vmxR4hrOQ2zmezWlm4Fr2k8fTLQJfwzz+48lAyjleuCj5gXniCy+ld9zr7FrIAd
SL3/bMJwG3Y4z8VnJKCWI6Y1YOWLEte4170YZICBsJve1EdVGgmN3Kq75lbIZrzcazxjN46Z856N
AIHg8MMaKiKo5w3MxJu2rMdq18qJLTOCemuSk+ONA22rRAsKpR9LvoeiWo/1ZKN3W2tXkV4kx8wY
5gfhpEjOIiy3H3UnuPK7WGz9EcdYQ4vGly5bBB+7Mj6YaT++TH5qrDgAlvgw0Do3GU8UDPDsIhlx
KWl4Yvy8YAL5o8j5KD1qQYMePVpAZ2hQ8ll4/Zq9CFmT1GDZyCI8cZYiPHtE72S5SUeLf5LlLeqa
FVhiQvBXbi3M11pbPMRFFtyScGuvbdAleENpEr5kHG+ZvFs1HeyI0vfNe3Vhc39r6QZShhHaZZd6
ZAdsrb4TILfvqxxiSmLOyG7/NcROmoG4Yfz6UTUj0rnXLQLaH9OQJ8XYhifjZahAmHKdz325MUKM
kFvAODfZbFqfkOJvIr37VDlmdPYR81ypaj0zcdCw3VcDVUvy/f4WC3ZwUxkBxY1mLnBlvTy0WRto
mz5tOSNVpb2dpVHc+llUXi4FVicYQyOB7QJFOVcgK3e6hQ+bI/rptoikC/vG8D4j0byt7aj6Xg3d
a9Ua44vt6cOVZqbihMPbcKq6qtkMZt89yaYIN6TIk70wkvmF+AIwmqiFfDEY00vs9581sCbQBCnp
kcP+phge7bKzn3SwU3y880uJM89dPAcPqlOzfGXgPBgrL0Fp2Sz7naaP2bax0e+D+zI+WzI4aTx3
v7g+OpjWCDgnSXCdhJKJLt04dF+aCQpd5eX+/Yiy2PVggAOYQGp/aQi+WYFXf0J5P99HXpTsROd0
b0vKSHXApRcN3KmUx1aa5qOZNC89cdddRCxg3y7Cr11gGE8L4mibtV5yxPQXEiRiVmvMvsz3Ufuz
MbXpG4BSVj/44g9x4CV7q06svS9C/b6L0PZGeGz+Bn4IAS3taxv5ObgbYd5FHrbVQnpYzgJ1KCuR
XgeLgrS6hNOsn8D+FNtpgVZ81F3ufESm/Y4v1KXFWTrGBm+xZ9lUej/n4b1xMULFXq2py/EYzR6h
xb/fqrK6mLY9HnVoJP/ZSe80nbRzNIxHJ22YBQBjDEYIqQQdkJmVGPIctYlzX7ejvEuDL6ltYaue
F3F5iqbwQbV5Qefcx7XU920JJnWAUpCuMye2r2TlGuSwlnKEyuyapblC9o3ugY3GY+3vigaVv6k2
jf3ckpKGzO6xDzbI+IgZ/DcGlrK/EyIB9q8PZ1VC8La/q12fCHOZmVeqTl0WPQW8CowzRiZMpeq6
0HwtDK07Xno4r2YRHYlQzGiJSrhbFVgLvGMW/GNjevdk79PbXA8wmYn9+8JqvPuycLojntrJShUj
bzRvcVMkhCf9+YswhuNognTRgmzed5ptb9l06G8AEJE/1Q5i1O6JPMn70Wuyo++YwSoKoz/tOlu2
fIuHtfPoNuxNOvJmqxEF5WczS/ONCBvB6+cYAYASvPEEGxbPg7KuF61/3ce6IGNbydtwsStAInZ6
7HtQgpOtFa9RhG2z5yFU57qoC8Dzvq9Dkb3j4hetZGFj7DEgqZb5wsQMIgWa4cniCblYvLD61Lvv
CfxdTSPwQ2jjxrZrBGwMgAd7tzSta8mm9xBJ3kZfX9YI3e329jxkN9C/WYrcMbvFapHHIqeA+2kx
M2mien7E3kwnPIIh2+j5Dtoro/GKf0IG45AftYeQbRd7zTdbnw51uYjwhw6M4X7G4qCIp5UrDe95
drHHTfqWQ3XUwpA2s00govYVBBLOEFaF+LDlta91vuIsFL1OuludkBLJ16pX7sH5tnIf25FlEJIv
Gz8vkUU1hTw7Imz5TbstVqiN9uLHAaTIgOhEZcpHJ9LW+nSKnbPM6wTPmrE8mlgofbXq8pujO+mb
bgBfTFIfX1nDJe+a5zNAWRepiyJqz8qux0S033P9prZW+iDkrb/QyBSTVjFuwWJK5PDlg7/QcVXV
kEWos+TSPAZ+Xj/OcBePmEzLVdNmcj+Cidtij6TfZl2SoF9hnFUJpCzAlOWCcmG3y9An5gkZ2elV
Yw3mSqsL9wE5FnM1jW74WfbNLS4QfrTiUesugra86k1SZjBHmjLZllbFk3KwMg1wVI6nq5l6EDM6
74YwlTVvIghX7BP706XYyNDcdg6CTD5paT6GNN36maHrRz0T+GwhM7rKzbC5UZdiSd60vPPjpTIr
96jX2CfVqBc26iPEyK4aBzOP3AcV0tlRes6tYutqSN9P4MD4GVf2XSoD6y6uZHOGYIiq619VYrnr
UJgMx8m7/qgfM81eu0LWWyPJInSiMezcX6ZjRQS7MzmXqdTEWI72J9EOfxpiRlt/jKvvxVkMfvdd
y5x+ZfvN9Oi3c8C/1B6OnGyDzdBV7+wAXFw0SCFLvYzJhEGxU8WPhkuR5FUWiPLmb/Wj3eubFF3t
jer2cakqQhh2eadqbL+o/c04Gf3atIPyagyPuhnJB3WJfd7a0JT6QRVRKjdQ/EWJZxTyQeNb+IDM
ZbmLfB93+WWUqkNNE/a6kQZH1W/oIL5kc7i9DFi6VWZcbsUcThs1amht+dC2+guWpNVJVY0+XrNS
pGc1COxehdtIvK/JUJyNgUDcZOBcabUDwVhk+Vk9zTctKqKt7VrRkbCy8WDMyLuqHqMn3olu6Y9C
99tD64hhG3Z4BetVehBV7ViYvJjhueng+/eBc0KVBAlXvAQ2jr2IVGFNuEEGtj0Qt/RfXR4uSe3Z
L3FipKcBDNq6Dl3/1YoFS6HeppyyK+fFCbE/Kfx43VUg5g3Dzw6isIwT+LRkl6bpcFt1XX2F2qj+
QLTeXdtCpC9NkxjoyxTo0rvTZw1DiK9Cpoc6syyebf60S8I5hFfCpY9ZnINyMjndEI13Q4T18+kt
dHJ/3c3BfN1k0ntOcvcqrmfq0V/ZGTO6qU5pjW+lSVRaIusaEonAhdwiBbIMnypgYXE91rd9Pbf3
YTx8UcNr33Q3hYMsu0n2OkuKG4LN1iEIgJr39SjPlueVVzFuu09OYzhQWMvki3Bxj1ZHnnY4JHJw
/0Tk4Nlxs+otqapmrQvDfCjHKdqqGQeOHpcZPXRbz1oxYD41utVTM44O0H4j+eLE8sbMTA5RzFiC
qvhmkPGavi7eM5YZ+29uYvF5DK51sorYfowHYBhD7r0NFlAWDfWBg42K9KMe5ZwiESiYa73E0Ku8
oOii0u6vWTn6tULRgWrt11P5HvpNggFV6K9bozX3UUBxkDliScOAazLxGjDUnb1LNCzCVeuYcUKL
gWSvVavVQGr3oBbi7edca4Hpb9Asjt7z+IqHv/He9EaHaVehn5xE5LeTZpcLVW18WhBmdWUeWuFO
z5z162NkpvGVApb9Xp8s9QqI9nt9zX7hn+pVf22sWzKShbPX8zTaFoERY0Fvpc+xtLRdn6F/4IVp
9jyYWn10TcwvVWtl5Brnjokn0tIaBCZu6mN+MxtLEqcT7wruYWsyPw4DMgUf6A9VR76TdPxP9Ic2
2vlR1SmAiGoQDnkBATjUsxA6DnBou/FnizSylppvjc/KLkwXy5P6rcPx+qVdBPQJAqJwtnTNvzvZ
tq9ANapIgT319lndmcsdgv63ozbnR1X1UV+Vbrcbfo5SDSTEfwwNO+eXUWY8f2tnYe9Nw0hv+yLz
NhV0n41To7Ku6tQlgtqwN+sAVytIPLeilT0bXLh/8LzstZwzyb/w5xDcwXZB0/vXl35qrjCENNkt
xJVfKjU9dDfeDN6hd0SibaRdtfsWodtVHogYw83lFTJeQc2t5rmMXl7BrqW3KUKDuJPVB/fubMC0
M8b2W2B9r6t0fHfq0lrzNhS3pJadY4xB2NbEbvc2NjIHjzThXWlFwMnSkOWLq0vYOY3Z78elWDot
0suZ3x5VK2IOEihTPJwmPSlfnL74HKSDe4bTXb7YKUd5flXHLuZro+e8qpj1+g0MH/JGsZ2eUy0o
HmEO3ap6x68qEBqQhmccld68od5MgVu+YPtuX9dD8mN4WCAxlqCifrbc/B+HR4Ba3ty5ugxHhN2+
jrzAXHuFBRrDSsJ1FhDtyayJs4Dfp59E/xogavTctUK7i3IS6YWffuqt2D8S4unwtKmzTyOn1q3u
CdBSfCarQHPFzpxCHOasNj6PHe7sI/rQezFhkaRFk9x0ce28zIn7Z53jTtHk91CT2WIvJAz4GqvU
rc6+ZY8n5bSr/HiXKr7v2HE4f1n0/qxqGzwLhyINgbC2/aHNm4cUdWp9Byeg+6WId0x/wCrqoen1
6hxnLQzDMCg2lm2jgLhciqL/nCOXcphkg3Hg1KXFrYHi+Dr1vH6riqqfvjQUk0kSsbXKywTt2G4C
KweFJ63paQyJIqSWeMWBsCFDPjkb0EhLQAHBbTS585uRh9qL0+WrzMm6V9ty9WM4+tpajYois18X
DjbRqlV/nZD3eyXQkpyKHCc1ON4du/e02EwirI8i0d0NYc14K3Oe4GgMSBceIycwz77cVgh1CwC5
J/BDREkk2f8sFsXBWmRyNuy9/VU3tDzf0ShbE31Mn/0uA5mFV+r3QoDUC91vKTAEwsbe/GiV2NCO
ox1d2w58NqQikivNg3PvtBV+RTPhZrLp6CM67wOrMKnBCGlLbBN2Y1h7B7jb7lkkQbMJptx8bU3n
Vr2QncT7DC4k1nA8SGt9BmpQhemtunNF803TYo9E4G/1TdsFGNjjLl4Q+tyPGgdOqTvyJF0xnNRd
X6Y/7rzB0a71BKg4HT6q/9YVd/Th0trLRVfFrQlMZqTNsj4u9gFWVpe02cAHdNOY6atqrBe4SJWs
ptzPn1Tyy9PsL2yVyhvVhH9AuTHxt9ipRrYg+WWuJgm0YzGSTo4zM7rDxM7ZYNQEtCmBza7qwuWO
uPuVppuki3EpvNQ3oSn2kuztSvX4GJAnSEsF3tiA0vxrkqTgT/ETRH6Wl1H1alQmfXsTZNiRq4Zf
ZucF7dsk1et7jhL9syj9m2SSIEGWkm8Uz5qeBGdV8kT1LSwWTY6pkM8eju54TdbzyVmKNXjmVWP7
A9AJRuqI1qzNKJDHXszyOZPxtC7wyTuosUS8sZZM7Xmvxo46C/Y0xPbu8jcYKIyEEtcENdYnybXt
LT3fqtYhCx2gj4u/XoMFZ1u4WCjKoX4J3XQ/66b32bU1d5MDfoA8FNdP8AfvLvWocmwyzvMnfSy7
B982v6h6NU8yCdQ5g26+c0u417Kb/c9jbxustl17GydZcHZNxyUMYaAh2BXjRozYSjZ+PNzBwhzu
tIWe3/KYnPUAyNnPesd04g2JS4cdGj1UQ+QYmFWUKLAsVVGtawHCrtNtiVnJtaor7CxdsWI6m+bQ
pYC/DXbxV01gToeMxObTUM33XTvgE9QRC5w8IZ9cDzIiDgGnYSldqmLUTFo0Z1Upha+Gl3k+XKvi
FKblVZTH0zbMwCD6fe9uS8Xc0eOwX9XLLebxW7uV8bKFoa5f2D0GuN5606UxIJwFh2vM2a4I5mNZ
e9pbx5LqFOzIOVrvERnl2wUi8q0rgj0matUzDwlxjULs4rBLPRpBXydcb3Tj0RnKKt5Md3HTGNcJ
2+xrC56M3xMhN1m0V84wtg+lVgb7eErH3Zjm01Nhjl8J/btfU5d1BL2ET1Vt51sf5MWRYHpyhwQu
cjJu5n71ywdXH/v3zsTi1wvd/BwYgAKEAPWqeYV9jTaCWIXse1jmKKpLmA329RKYAe6/VP5yG6ha
q2+KLflhNB+X9s4xsnWwHDXZ3q8xJAhPxK9tfzN4erJJNM3b9EXnnXHw7jnzpPxa4rrZS8vywNfQ
EDkCwKh0RkiKLNZ7VUlGy780O3EM2SRw5WpEqWvTG+id6JY7P+Cd6+wWYyksvKauYDUev2Pu0mLT
kM4PUcCBE5GVsyqpAWQP9c24HFV1re4LNrb9uslFe6e6hDzDDnNluCsLNeAHZ7lEJuIbUZkFB1W0
ZJSfY30P4/kOyj1h/fbFQX0hWkGcf9D5k9/iKMuwS0qqRx3uypVeYDFQo8py8MI5PnBais55kOCH
ROzlMY4abcUPv/ssm/zHjCY5kL9mFOhm7YK51K+wCjX3tpGhadG24StCzN9b12rvYpgE2D0GL6p6
snTCK8Uc7PylV+1ZO8dMjCdO2zOm76bDZ029RB93M4LlPuJMJV7LYqP+n+SnYXQtjrzQ6byqhoud
j78WcbfUViSh3HUxzRgtDXZ7SjUIp9tpuZWLFZC6CKPx8A6hT40ASrdSlR99LJR7d05d6OukJOyo
nIENc9qXHYmqlN/kygGj+Tx5uUkeaIYHHFXR1dB2/kvnLt+g6hPGYsE5GpI/LyVAm3vBbm8T2331
aWqKjqU1LA9RqCUbPwzlVmvAXZsBTl2F5EkVDnLHV7Z6LRE96ZfArQ0FZpPVGfafCNHeO5GXrbA2
m7/0IEl5ghX5vZllOenTCLbiT6lGdacEFy+qjJcWDtrscsPtRz+ZDsU6cQtrXeLNN/TlcDctl7zx
iaNH9fe+QANElVS9FSWwSJuJvSj6y5duQd42t7Xzqnp9VHcTGxzHrIr9R0NTE8BKPQCMajb1ekKX
BnhXq8y+1EN0ZbM0nHMx4nPVT8lDCZZnbbqgUKcWAMMQV81nw+heML1MvpcW2VCzZ9UNjF3ZGzVH
QDs6mr7AVEpzvltTbL0GzRQTwSnGJ3PIxk1ZN/adRAJma4pU3PQmjBJzsBdC5yA3H3h5GY/92q8D
KHokzMiwDLG4Uc0CPijOMMN3wQFx1xAORoqnyrCJq+7n3sVHxwDGVWo1sffMxPwNo0k+7aQ79uDx
XmHmqe4pcZZDJkW8bsVQ7VmlkF0Uqb2JlwVXXboureNLOXPasl1ZAib5H//6n//nf38d/1f0vboj
lBJV5b/KvrirkrIT//7D9f/4V32pPnz79x+2Z7DbJD8cWHpgeo5h67R//fKQADr89x/G//DZGQ8h
jrbvucHuZixZn9TF8ZFWNDVxiKp2vNEcyx42RmWMN0aVnkVQdoePvqper81nvqjE7v2Qz8VpdIhn
o/eEJ0q+J4Gcb1SxNxzzusV8h7ecVpAJ4a0VpidVGkToPUF7B290abXYWSJ5easaKnOEWtVU6Jr5
CHXZMr/qO6t+jfzEP/hz3m1UEa3Bct36RXoa7bp+7TcgqovXzCIZlM9Gvlad9EzKTUAo9GCXyXPp
l+e5G9s7ww7rfRBVcmVYFfRxVVk2PnS1ODypEiHV9q41tOmqFEG28Zuivas8+eW/fy7qff/75+Ij
8+n7tmH6nmf+/rlMNWoohGa79w7lHDB11X09tfJ+0KpnZQpvlWCKytlxt8piPpX6i+rFaSLnMM2J
IDLK7/XCmVEXRxo9nj7Zd6B57T0fOfVp1h9/9nKWSMnPKj1ybVR59X5dR+n4kqNbMYekC1QJbDBk
lOQl7vL+oZx9yLz0ibRQnFPHJipy99/fDNf7jy+pZ/imGVi+YRq+pS9f4l++pCagx1lyVHyfW9Ft
DbsvtjZ7wwNhzPw5Hapb3071L6VfkGDpnYR4dpzexkGurVRD7dvPaOuGj9CN06MsgukqGxts9tru
EfNRLCvnPH6QXZofLsV4SR2o/IFOQHbXaynGM3Hew8H82aJyDBN67tmAVdlHxkHd/V/OzmNHbiRb
w09EgC5otul9ljfaEFJLTe89n/5+jNRMSdUDNXB7EQjLbGUWyYhzfqMrhn3+WCtXfVz0l8msl58r
Z3z0ewNwVqQD+XsHynEsstE/2jDN81s7MLCx5NvaylFrnvIxD4G84LbClSs+hpMozawlpvP+vzxF
dH1+TPz+5+oatmYI3Z4Pz45h/f4L1apWo2cOubtTwnLTp6qLexD6P44LoZIwA+dSrNEukVd1p6Jx
Iel3efNm13p4NJIuuw9FlN1rCe6fSe+ae9l3KzqYH35QYEg6z5N9iNumxC66diub7Whl932hOwRR
k2Yzyg/3vIKkbl52ayghHjIY0JRj08iaxVAp6DIbMdUSRD0hUqdexrZWnNykgAfzS7VBcHgXTd6d
p9ag3aOMb7xPxI570zpNQxlvh94Ir3mU6Gtgo/19xB2xwogxfvI7QlSc0r0XpeihmA2T8p4EwTdF
BXyu6M4JvenpCS7WQ2VqzW4CGEWYs43vdGKdd7IGV+Y7F0CZ8b9deYPIYdSkL6Y7Dc5tQVH6MDNT
cKEf65sOWqFHGC5UuBvzWfBtsvIy/kpYBWKyjciSr5b20hQ9Pr+6gPY712J7QqpdVuspdG+dsgnQ
3Dw0f4uY3K+/BKsdz+HAZO02ARBmWfjxznRGZU9yM0bBWqmNpeYEWABAoj8hge+dEqXpjsSbIcDT
kv2WX7GH/qUKqHmNGvt0+JiTu2zaVrJt6da3yPTrrZc3+1AtgudAbYuVIPZ+yifTubjkh5fGHOxu
09lQMhFvvGLyDdlDc48hN/lRryVfWVnjDaYvkfmD52PR50DlnIH8Y+cSZ62BG8lBwLfRta/g+wtv
KpZmlY6LUY2wv5onG41LmjULv4Dxbk6T26sX0JI/iyzDgIazrr3lnDrpi7pL1UukActDtn0j51na
D3VsgqvdxM55zLBmHzwr+OL2sD7iUXDc6GpxZw/ouLm5EX6puhzikeck4GNM5ZE008XsPO+ZmEy3
cKMDOaLxoniV6q87vCNJawIjc8viaijwBpCkxTo7ncqj7MvAcqJ1qRVXIhXPfYF2RMUJ1F9zxCOw
A7ZzNyJS7K8LwaZNycBFyHVyiay5QQSRJuFf83GtyUEQPuFmWSdBwhcbgS1bm5MXrGy2y2ut0Xlz
oxp/geWQH4VXWdfa1q3rGIGm+/ObwzQ+P5cMQ1c109VUw9RgcJu/P5eGyksbv7fF18Hz1sbso6DN
BZG3lmM/NYG4nQc27T+dpTMEq4r0+C99cnYLOuwY54qJ2si8WrZlLRiQlVenlOTTZCAt2LQbot8J
R0grvlQBjz1ZdEMW4Zch68gqqCpCPMySbb9yYRX53VGukf23KUCIntGz8lHUqTV1kYsMPpuB0fWf
vye5nfjt+W1YtuE6wnJcTTcduU385Q0rygh3Y8UqvipmlC1tokLbvCzwFgXI9N4JFOzQtXvJHac9
Ek9Gv2DudyKUEtVCTNdkUrw7X5jf+8Ia8anl/MJ2oj4IfVBfo7JYyP7AM8Id0dBiI5tahkUoCI4n
onbGyQyG6nbZUivYkDdqeplEkG4SXesxXkjCje74Ds/e2H7tkTeKZ1Dsp/7UX5pFm3/xx9hZ9xgD
7RN0F19DNb8BjCO0Sm/9uJm3rwnxZAn0/TQ/o18Cht1QidBxOIaVkz/OeclVkYXmRjaVscmvsFJ3
MfGuAuFlHYZ30OX7qM2LRwyyybA09Y9xVLT1n38t5x/7Id61Nokwwe8ldNIYv/9VV2VtOGQxg69d
0OIEreWvk1V791Fa2pc+r/pFI9r+fWgD8AO+a8FWdrRnNHI2WGL376Ibkq3T6uFWmGmzrgOQLgb4
kqM2Fw6ZtaNsyprsC4ROrsa2D5EeZ3fsd5B0UbltSryQ7xALxC524OHSl2px8rSxPxWYZTw3o7gG
VTRdESXKn11d/CDf0ZxlK5iDlE0R1EfZTNuwX1au3e+reWXpc1TzJ8PeytEQ3PjaSKt647t6eghm
yBkYyPbUzXwia9aOb5dN3dcnUHtALWWPHPuYVfY6MuIOp4WsRmmqjfrvPPStOb+X6hb5MWKbD7zH
il0c1QRTEpUQRqwy1Yi7eWrd+Dvbg5xZu6N9tpFymxbCzO1zXpmXKhfjvpwH5Kjs1xrL/pcfXv6w
v96mOjFKoam2oZoc1rTPG+EeKequd33jy6j71Sq3ChC1QulvRcwfPGok7kteRdaGI0V0tkrHuk8n
hHdtBBZlizx4chWdCRyUI/BsKtWtc88MF1kNrmbskTKTBVpR2cWxefb7jamwGcVz3EF1ilDLcOnY
Eu///Ef9j0e1LgyVP2dDhQlrGIb2aQsZm6J0DC3Svtia91pDaj43PGV+KYYedT74jhobuclepIhL
n0GN9Csz89y7MtXzTczxHiMlNEhFlnuH0gmtgwqEZtcl03T2uqHaFFgz30E/6xe9MTbHItSIxZtF
vQN0DUoomdaOl3p7E/zeQdYKNeputey/tf81+tH3MY/EWvwvr7R/3Py6cC3d0UzHEO58eP/0SmMD
N3FmH6svUZr+yLIr4XnvPESRdQlnLI/E5wg9jVcoHonVR5+sxa2jnzQMtm4LSjRqFrIaTTOI2CjH
jbyAnCwHULKZox/ecSRpPf6EencoDJTBGKC14vTnG/xbVtWhnqWaxmTdEwMFdwBhVAfQAzdMr6+2
1DGZ++yw1c63KaC+bk1jnuKjubJAa3ZEBrbO7qo6fdIdYR6k2RBOxNmdr4pmJxDRhYBFUxZybp7G
t7kpeH9nIcqg3fnKsOkjvYbu67Taoh3KM0h550ugJtjTO4DxiJDYHGLFm9n47hert5slzAXURbTe
uasSxFj1eQCxIcLBeZBdQdb412LyEN2cB7KRPV7jjZiBiyA/t4M6h4cYiKbi1QQQ+efbxJb3wW/P
AIs9jQuw1bYdQIjG58gAkpWJhpbtF2sAOV7WIcEv3AXWkdLbL6Xp9StR19YumJtKD4ZbNZrsLEd5
dePeS1R4LIR4ythiyu7RAjvFy+0baqD2S6uB/3ByU13KQVfHhsXjVqGYR538Puj7J9yJyosohX0W
fqgvW5SVvwFzh1FljG9TXYD6wzVln4V+8VQp1auc0ClZvbDasblH7jE+Bv6UrBNvUL424UJOyPXM
XRVuMB69InPxifd49c+Xxk/viXOA9cQuxtgNhoIbmSReOqlF2M/v+X2ROdqqWlTfj3MB/ednX5WZ
1b0skEr5tU9O/lirRF19m/fRp0coJbGn+O1an69f2qCCOE7qZM8fbVu9BHBC3hMDe6G4HLJ9Xiv2
Wx+hG1/b710Dhy7p1Aq1Js96t0vswKEssoHvwJVgMILIGf3QK6Em1Jl112UDmtcJ1FDXLfddQeIP
oZCE28TwsYuG7h9Bn6vG/sjGow9e3Lx5dHSwL3pev7gQBM6T2TiPwNmMde8i7hbiRvw4+lWHzR2+
RxHSFUs2LiDMh/Yq5w4TDl5JpXiwVpnrayTDqnxKFnL0VuTN0nSj6T7h4HgSg2Zs9f8KpUi9k0/y
Jx8iKxhpT1usmO8+uuSCT+s/NT9droXRtyqFbi3kWimz8nG9FMuxg1pgaZTbzbrrc+NOFFpDgoOP
NebaMPfJUbVw9Vvtz/NyNMM3rkqOzZsx7paEu8uqn3vPRmuZtwFi09rJlQh5OerMs2WtGHzAKcyL
yRFNBiSIib0YKGo1updF7jWIGXhhupzRNLe+RpjT3s5muPA8r50LtWnht8T69WNpZLfKRZ/aZR+N
+hp1o2fTccd7W53qpdZ39VY2ZTFkWrvoOyfdd00x3cs+LQUerEB6ki3ZX4zuPneK8fzR1YoI/fw2
ussM0dyJ7IenkSquExyNCLWOb9h6/SDf6N+5imY+DFpwaUZ7eBOlZYCmQb0Jh5RfZ/UxTxqolZcx
LcDlwxhcRqORlsvEv3hImz24qjI81n5EtIGU4dbvpuFRL0fjNPMPHbfLSuKTeECBcwEpyNwuVxzI
KLyctPhR5x2BLv94z3G5eFSHtF1bWq+vZXN04/A+G8ulbN1mjKW2NH1d2cJYJsToE0tA2MuuNoZn
GsdQ79j99dkOm0h7J0yrr/dyQBZJD+xz4wpj1rLqq4WcLUcaWz0HSVE+aC7i2WUj+nNsO9rFawEk
ASItvyUIkKXIOr7maZptM/QUd0LNi2esv+7lhC+h7tuHwK6VEDU6eB1uY54HxxmIPY3DFQpseoEM
sLjN0NjJHJXYPH3MkNP8IsNFzWpAJpuqw2a5cogiBFiTD2KYv7OkOmo+IvJBSjOxGm+fZb2xRq2h
RFmTgI49eOk3AwGdMraG7xgVASzGUvOhm3zkcdLG2nmROvLsdezblIR7zrXsvyySypJdcZdl6bjn
fZyiWPHawvTCpG9AALDOfxbu3PzoK1KTn3EmWm5AuLmLgFzuG1Z9S6kckFY2unsqQMyozO1roPJa
looB05g82Gmpn4qeb3kqehSfUW38MjkzZUlThkuqEtIzMRPRTQ6pIL+XRaOVX+ANgT4K3BwuTdu+
Q821kqz8MgHy33r1VGxlM9EPxeABDxvGcjeNZr2Ri5GEXObw3F57RUHeyYvHtewP6nDXRJp4Lia1
OyS9KVbyMlplX9SEcKGX9UgHtOhOJsIyYQt6w7uJjfGitKVB0TTeY+T+RfZrPtht8N3S2GB4i4dj
ME/XG0XduRj2reWsQhVXs7ZI+YKAPhtWoaDY2Q/vo2iQACgXMX5ryz52xLOltvZiaOrprfHrGLen
cPwqIh/eeqV/N6JsR5rEB4Sp/J3DjYwI6FxLTuzBgjT3ps/T6kfsp/fK0Bn3kx9mMKbFcJcBm19C
mPA2cazP2r5K6+1GvcnZ6w1BvfaiZFGhn3h1hZJ5C0ODIVjxlW7izEclP3rXA9XlhFVWytnrNeU8
2OiAxXp5lF0f/bKm9l7PP4oN56cBMzCU9cSHbavBwqFriq9OEiLbYyre85gZCYhmV7lz88K/54Tj
LAwoHGRi6bP8PrsIPbgnRXmKVKM/GoNmXtXGF1f8QuJZlm0tu2SRArTBpmVoD6QiiWC3bBlcVQue
+xjALdCXGBRJGz6j1GFf467kecWg5cXDo2/8yMswfC5UvVo5Y4rnkTs052EuCj1C3iGrdqqXNWfV
sSnmmhyU00rTKJYCEt9a9n2aVyYDtpfWE6Qd7VTp6nTs3bTEQKeOnqaBNLgP+OJHiG9GY3o/OhGE
Cw/pKfKt/rT2QYzdFkHgKzdRoi0EUOmjrSMcq8FI6xCsNLqdYjZ3tyaq8uZprFGHWdhrE77dc5Nh
YFAV3CaRSKvnEqLgGmOwYOv4VvmcGchZ8lS3cYuhqZcmRqJOjujl3Axt294FaEkvZdNpu/LABjO6
NVFUdI/wEsEfzZPTyVLPeuF/T/QnL57Ur0DB/4qAaL4Pdekt/ErYT0ml16vcsYJ72H/5JuoH9Two
5UCQf1QPyciPlFgFEiv4+SwtVW/vYNjGO5X/9pY2NhdIeWLlV6PGIbv7rmlB/ze3hlIlyd8RO7tF
jDXCSxmOwboqgAj/7WR6uoqthDtAjSz31Jf6DptFboDCtF6yMjMOhTeOd3OrbAq+KT/InkEBJwtF
MyZETNX02fZNING+Uh3kqKtlaC6iaw8knlG9G3pU7txpI5tkjaNtT0BvPY1Z+owelblIWyU+uXkd
XHVd+5uHYfcaBmm+K+DZrC2EKV/93NUI+xUqqiyMul1w0oMmf2gyniDCR9hm7rZLszrCZpYP1O61
Qe92XQy1upWj/LGgcp9UCfgsLtn3qwqY0ouJjN7V7s1fPhdSYLqWa4x22OjYM1pqVz/gOJYDTS6x
7Iqt8OIjtbhyqrR+RS79FWYSf59RvyTj7X5zJg+g1rxIwD3ZDoHAKnxeFDggtQxsjV+nILktspx+
6VSF883vUwQq7Kh+8OdPSvXg108CBFe/ZpX/aim+8iMtu18+CVbvblKsBc9SAUp0TsbLFL0sqrTZ
/Mshb4515DJZf8vKk0bTTdUicAYA6Z9xnjbzikBR4VPYUWAg/NnGR73K9JdUj94nP6qvCP/pL4ER
g2Ctq6ehZOvTj95KToKLja0xUOvbkqAZD5EJqkg2Z8DkFhU6gx+OSziD0q/QJjF28opIRIKyKGKS
dPPoGEbXGAuaO41T+YHoT3jJcy/bBQk+C+zWEP4QU3jy3SRfBBFHyjwcYJemA85YifUkZ/jDK5pv
3aMcD7Ad4bObi2yFGq+idFSTw+gGL07tWgimGJzGVWvrVYYyAwmdE9xS6EFzs1ayaBfHUQTeiKab
lAPymq69k02zsWCGFo1+DJzxkQfxi+5Y2YMdd9lDzJEDJCaZjK7gXlj6ETdvmKVHOQpipD3/+RfU
jM+ZhzkT6rqqIFZjwRISn8JZkc3TpKydnhPeMG4JEE4G2duJB6OXIo7VYKYdnVuhmkeryvij4t8K
0c4j0WyN4s7LvumqEz0UVR4/lJhY751YNKQRI4jlLlqiKsLE21oNlfWYF92b2vFiblOjufq1g9pK
Me0TRe/epq6fdpMAxhkgDvdWGihvTITALpaJQw748Nty6CHN3qm5dfr5akULQ9Z1rPLcY0/yMgLP
lsvrYsoPBVl0DLiYVs5wisxMq1MK+vTV+fmZrlvHR8fNzKWc5QsE/TSejkd5DTSRSGqOK8WJhuVA
JPBOR2HursB8wefxdvnocgWYGGNAtE32ycLDimdjoq57W4qcs3YyS+tVxUT35OOvuMuNFL23ufbR
979qf55nR+7P67n/rX26Shy6Ygt0mlyrel93ireNgjBcckCb5lPadK+lQbIRbZevPvp8rZ1WXasZ
a7lMDnSmXi7N1O62H322cBBMG/VyI/rpOzhw5DFrTXDn+epeGISxJtGjVF2HzgP67/nSyoL2Xe/E
E/ixABCOsqYDApPqlBej7Oovf/77/kfC3zA4I5BWs2ChE7aV478kjDKLQ06oN8E7QjVhfLDsXW1k
TxC8mh+W027FWGtfVN8Ry0C3jWuJpv6+CiZrC9k/P+Wo3y9ygIMLEFb8kc+Fgqz/yopBgsqmXjeX
P/8vG5+zJobtCtsguGkZjumY4lPgzNJUPwzISn2ZxmEVuVMNRITCTAo8n2272XFMjhe96v3sUwcb
i2/87BZ6anbvdlYfofYBN9egWJFGgDyVpv27D15/kYpUPfdohj0qY3q1UrV/Lyp+IB1LmV0arKBN
F36mn8emIrQ5mPhr5wkvect1NGwTGZE1WciJIBV6fKvC/F+gGobz6cHEP9yxLUSULdskK0qe8ffk
ESx6kBjZbD9g8cAUSZmfyM/4s5E3VXsuUt3PT14B55wA9v5Tv2zKGR9zZV8icrRaExOvv/kin+Z9
ND/W5i7EHVhNEZqwZv9gIG5+DIT7DnGAGEhtjhg02L7YOGbN6DwFJuhygDl/J7tAaw17nqQT2rQM
yov0KjZOtROaO+Tohge1KHvENO5ElHNJpeNv069aVFvmBfIiilcGC+AT/lFeBIbZeImxjpODom7j
tVf0pkyUHBNihGw5gTHEcyFrTW3mC2SW2/WngSxFq30hJ1rcKktdQ0i2agsbOb14WgZG2D3ZiTVe
+EIe2rRD3WsuyuEdxlT8eBu3CI2ySa5PcgwQi55lzSlP8LyxygYtVz/Q8Gww1FOilT9rsk8W8Tz6
abLsk6N1Y9p74aNO009+cVTdluDDmNwLrSiIi/+nkIOTg+D9JjfH4ijbH8NqhKQxSYOBJK2L364y
KRtjfvNqc6GCX4m0Nr0483sYGE18nprs2t9ew4DkN5i1tuAU5tHZzQcJzoxMIqgKeZGuTNV70W7k
mJwVplO1R3V1ZKMyv8v/16dq3bgPPfPnp0bpoC6dQQDZSKcJBV0MGhMk995rED+w0gr3CnHTucpm
r4/Ku94TxTcQYDh1g55d06z5ir+wcUFV3rzImuWZnABxybDKwuSYOAHCkQMR53xsJOpyLZsfhVxR
oev60aWSfFi0WoxMStMrZ4BAiLHpmbMJVEs5y76PIrD8YOkXYXIgehwf0fDCAXCuyaJWvDFfyCpZ
q2SDNuo1aoPkFPkZClhOka0dfoZVFRXVOkVmA1UJ9KAJcg0Q39q//TJHP6Pvsse6IW7dj7q6vjXr
tr13sQ3SDdPLlyKrCL2URYcfHZMDt28vWTSdCP4kZ58cHrKnwll4jWm8DoNurVtRT1vZzDEHXJjT
GF/LoPZfKnYsmpuYr8k0dhCWf1tldXcpJBm2m01EXECvv3E3H0bAfa+elVfbvOf4k+dBgaJl+CAn
oPQ2LuzAs+6G0O2OosiREB7c4hto0PkCTqE4qwzg1BFhIf2uHc1pIQeAit0TKWmeO88vUJdBUDbO
QK+Hjn6QE0SJJrVC0KVz8FMtlnHqmd1T73Jo9dBo4+RcbWYSztdhhXAiIKsYAhtbZmPnhbr5YtZA
s+bhyIlBc1ucV9K+stZOIIbDDC6G94X0nBIox1Iqzg3qKrMRz5LEDL+I90FdpPBy3eY45P5PwoY+
dN/JJxT3eKCNl6osSU8BwXyvzWmthY1yRW9hfBhd4koFGNJdnOnDg47K4n1rnuSY7Kk0uwCdFFhL
2SR2cW+apnXAUzHY16FhbGJVy9/GrN7I78Ia2m4ZNFN9SZOSFN4oxO3rRYh5lWV59q4Z3NS48qj7
IRjKR4Hhk1yZaTESaIWAk1ADVFJM3127wxh8gatx+yF0D5G93kGj08Cr46omZba0KoQRlA7Jy8xE
27Qu4clBbi3dW2WUFZyEbpX/Do3q/2fOPz+C62R1W83bgo+PUHxd/MtrWf/nWxlnKkMF5GrahuV+
fisL4TduarXDs2lOzjVO2iv2HeW71uKP2aHRspXNDNkOq9IJmFVkBpd9Swhy7Fde7itdzNdjF8sM
QTxIgkoEJP4/NcW0XXYZY7SVtdtoaf1LahKZkt+PrfPOirSkZWOQC4TI+Hzm4exQlwUY6iez6hHe
RHVXrQxtZ5uIccraR5/7P/rkPDe/4hq6GJWUrBSaMck+JDh96KaSyGPieodOL/ZjNkXGVhs8ezO2
vHlubdxpNugZo4kyJO9d2yQro67sQ+kiKCrqx8hWEnZlVrYPgzDl8UwzGrvvuC9qd1CZDEh/4Xc5
iwhAujYcnMxks/KebCAtrwWwyk1XO5V1SYasRGsuLF71lv1HHTT4P87NsMhXvuFVT346mffcf+z5
ZoDOaOO8lLs4bgac9JzYS7YBSk7XnizvyfaGjWyNceteZa1qHRWVMfz0Yhv56YXsVKz0HQUtb/8x
Wa4nSrVR56W3uXJt0vI2lp3dgOt46BuwZA3N2/qhWrJX6YtXQsA2SIAiOch/SeS6D2QuTYK3Yffc
NRkRXv5FFn4FSzjlA4pbmS3eizT8GkRT+lc4Re9mlZts+wePP1AHBCjmkE/zhJD3xHMoSh51vQtk
bt4u3apyD6WPMb+sNrb10jT4n/jYWFVaW3jLj60UCqV4LsCO206tmW6ccCr37MedJ9LE94YRGl8L
4cUoJvrGxTCC4uKXNS+heaANpkvBjfXsqpm/t8Oq25Q9D5w6+kuOk3oO1lOCJb3ZqLM3g9evDbb/
lyRhX9FrbvFVd6NXWF4dsn66OJDIVVayn299GWEP/DZrqW771q63duEqbwHiNXJCgn/UWu+N6oC+
evSUhQRo5guqvlktnXFyzrCHjWtddKRk5oHWI+GLkpVyr3u1d5zStFxZqXDvoh6GC7qkL3WV18iX
Ff6z4GxQ+Nr42tl2cRorE/2kMRtfoXmEmyY0MhD5jIYFwqoK1k8XOVrBebLN7BWVpeFSYZvAkYRZ
cThN29FXEENqw+m1idp4qWJ/c5SLbNdft0i3PSl1r9zZGU6y8oPhvextN+hWchGmi8mq8Rxrj6RZ
fa4itFmmcQLYUc+npjAynj+a+ET9bJaFVx0JLf3alKNhRchBrm1md6Ww9AnppuQeXZPEvwi8Q+h3
4meVV183+1OX3kGDxq2s/zEmVyieWBuxpYIJ2ceZ54m3cqgrJDsQnAOoSsg+JkHT6dY+yWdpOq9Q
8ZWyo2MxeuIxnpyHW3/iWkTdQBI7zeDds5v+IftrtiTLtEYQANJScpc2RbMIZqiJMmLXkgaOebWm
sr+Ak8UPIkJWt2sB1iDOu7azxj7cqvjV2AfZ9kjGbLHdRCOHlyxiOOY5G5GxrEusem59ZWmdQ3VS
Dr+Aa+Y+X7sfgbR7PCzYvoJy66LwW9X7D3bkhT+6vtziVJwHiyL9lmIQHi2K9srJWASLPI5QtPCn
H/XoXa3K6b/hvvN9qnLtXZ/MAVUwBO4Gwt4LVOKR2fVsG0nBhBMEBDaX95DqoafZOQS55qqcJGu1
0eAV5TjpUvYpFZSZhRJwjVRegwxCuEW/8285/LHO6bEeC4IpX3deOixcZM7hmsb+WrFK88IZV4XN
qmn7zI3aM7gtZOJEUD8qAXtlZ6q6LyjFXT0ftOJCWflZ193YTeFMapLMJsli8v1UOwYTyJ+Z/9SM
WFNYRpovumqwAaBREOyDJlLgWef6ERsRyKw6l79DQa07+EH9ps3+bLJwZyZx66dnDOKVo+ySU60A
UUgPndPVx1w7wHlQE8EuiSqx0vXRv+ppM+FeZY040yXmuYnUbq27efaEL5YO99bwvxkDEJiaPfSi
i4tVjKzPX/kQzwp8mvnshogfyitVvvbzSvls0GpYir61lEqcCW3lIgzOztxI2Iae035KEHbry3BT
28rsi8CInZgRPET8OZcgIYmaRM2OSnoa5lqklenJL6pml+NAeKsF/+37NJr7db9WofKDDlAPLrFR
2DdzNbBU9aAICtmUhTCczFrfJqFsKHSMNpjqxJa2zLUivOuQ3kwcI3kF8qMfHLOtV7oF1Rm9DJTB
AqID0NXSOycx8GGdB9BDK1a92zqH0g/clyppl4llDnikQJHI+m7cyCa4rz1OcuIJb5+IdDEEsAT1
7RY/V75qdt95WHtfMG0Pl2k+C5QpRrXJkjA7IcsLlhnZ3W05+d295k7jMghgr6sJyQdjjjD5c6yp
6UNz72TV60eXrDllb67C2c1QxfBHi1PnhCO5w6Ef3hxKc2Kpz03ZJ4upYOeygHOIRaSDOB+KQfcV
AbClRj4MId0CKQXZnub2UPugmGSbt/h/2n5avZpqhuZXpr6p4IfTSs3+5oCIaGcmOC8BNAhi03oA
K2xtAqcIj5ad+ufWmRNOSlM9t3mG+gXKvj/ab0kS539nOhjSqtKdZ4XHHsCBpDn7faUfcjuNt0nZ
lg+cOpH4SMvkW4fhplyldcXVH3laAdzzljxat3+O/Onid3oSWULTtXWVsLArhKHy5/R7zIsYZdA5
auH9JfJZ/mAy/GNKrA8OzN967dff0nhav4kWmesIg/VlHJ5HHWs8rYZWrAgtvLb6sMcJCcu/0jPY
keWXMKrqfeuuDLsIt2mRBw9B9pDEzTU3fPOgKsI4EC3A0CUvkmXYtSBgTEgZnJrMVa6OqH4Nicqj
g8vBoEXjc9O+aqZirpoR/Tbids0W+gnhZKOCUtME2FpoB2sG39gq7CkEpd90DXGtzHiLfoCcNe6m
/BkzOhekDwrGOvlNnKOc7KRqnrZNq/ZZcSeMinwSmHDtxY5sarqEWKkc7eiRoAeq3npfX8WIE5fX
QUcKUZE+KqpNyh2F1EWGT+smBZm66j38qZwgWXpCyzdQ3dRN7yXGZhJ/taae7TtCLWub+PhSIGS6
IQI+LO2qYO8t2r03hckOLi5YmQncUCzyBRK9EDrxUFNC/pfrnBxPLNBwTsvFoIbTY49odKTg3jgG
vPOh96Iposf2GhyTsgZ4V2xGw9EXcdCTuo+bcqUiyIbzA1oySq9/jXMk+zorK9eZ72ULRSnTVerr
xUMEGhBIgX5GxFo/N3DBYi1scWQIlijcDAcAx+4RB0OEz2uIZOQMg8cY0uQyGXRCjvi6AUIsqz06
fCv0MEnmR81+QscesYZiYQ1EDKKp/StVS+MEfOabHxhbO2DPZJV5lC28biwPRMP9xk9PqWG+DJFl
HPxGtVexQL6XXYu/jDS3wTvSqsmxPHGqS0+Q+dNTyUN6DBB9bWFkVJFXPAZm8SREkx5ESKraM4+E
r6/IYllvPHv3gYO5O77jTpCdc8OKXisl2Wp232NqFdbLnHTkvQmYrqvMRRLYoB+KAAM4HPRgykaL
ruuac2sdJmAQ61nNc4Op77lNnOkc5ABUFJusOBS2U+HhMqvCXNvYgykORRm95KnXn72RoGyMZoaj
Vd6uHfV7h/Pogkeys0e2FFFofXjUoqq9yEK3UU4cygwLvqACdFWqxtEYa6Byhn0qyMZee5Aoq9EK
kO//P+7Oo0lObNv3X+VGz+nHxhPxzh1Akr6yrKRWTQiZEt57Pv37Qekopeo+3fdO34TAQ5Kw99pr
/Y2JDS1gW3fwZ6eVb4LK0t9D03SsMDxVZLGPUiaNh8nuP2bwx280ZQQbrfI3qgBcXUXFWJgRPeBG
8JObvkYgwZ8tZTcSyW4yxXQjSf0iD5WnRArdyzSON3Ke3bVwF3GnB18LSR55jEltN0neYYSehR4J
C3uXBmaxQUR5Y4zBJ0NR+39o1sSvOQNaNagAqi50wOBQFP5EuiSzZhcJfLSvGfJaRxQAjRP4kQ2u
5jEWQSnqTFiH+E4OS9Uheejjw51isK1Y8AV1y/37RtYWvwz+17vBJRzBVtsWlD7fMslHIOdKz+v9
1SYmRoWjq7GTLl56K1woNFO7mTU7cYwY3RBrtL6pUvKla9vx3A32fCg0a1fJJhE0Saw9kcp49KUQ
+FMbmVsRVqicz2gbdn34B4gk+dLM4SVpTAHUoI9usk5Jdx2+ELq3DsYxTvwgFZHvKGX8FHXVI22q
7QXlkOGvleq7WlY/RCm2g7GGhphmJGiYLenuuLM7HheSOF1lyJ4I+kOWNYob6nLvToGocY4yIbUs
i7VhpF4zmKcAIhIuBJmTjXgTIhv5zW6jcKdH7UclnxH6K4uHwtLsoxKI4xBJjyhVxe8T3iFHWPbn
rEC6Tp06+QRKRNvnAc1ZIaXxTveV+hQHXr2gbLvumz5pt7ydcLLq1JsG1ExrP+nOity2IDxtLATk
8tRWXXuTZpgDG0HRuajnJk4iWxFZC3GHlL9ENSHCN7OZ5m9///+LP/WxvInL+wg6XVNM03rTxxbo
dpqVHuRfc1Me7/raLjF78rXBpcrw2IQKQXpJjldZ3s6yKsJ73Yr/gR8jfk1Are+gbuoQxcmjYYr0
FhuPNl9u2rWdfwWIp3woJhCGuCmZvQRFrTUl0hDQ+FFV80qfJ6v1evkNJxlzFxLj4RyUnIWcJMcE
3EkX9RM8enq7v39Myp8+k6VYCqiDb0WlBvm2cCoksxnhyc5fRZF+wQatPQN3SJFjywJgnUirrNVc
JalvQEbsGLIEh3ASo0cOGLzwUFjbSFc+o+Tf3Yy4y6KlMkmnFBJ+POXyZhh65TwP+Gj+/W2LN7k9
Hi1S3TJMSksR9lI8fINnEAnjL4BA5teo5vuQE/2T3Q3KBqc+VDX8oDrkpgGmZG7f66FHtvuA2rj6
XFjjgb4OFizGffTa5XCR+tIhXWkfG3NKndhCzB/1f1fwWhE7WuIpqoTsTWGxR1BJ3rRNcBIWYg0+
nn9Gk20wHDEOYzA3G1KN1m6wSI4NbYowSYbBJm5Giy52+sGXxnxrDsgXhxR3TxV4S6/yfaRLgqg/
m8ZEAYS6KxxfPDy7Im6cKp4+5xrFwBAKoZtIU+dNwWhuC90KGbgV/aaJ+wr64GRvg07dhoVe36tD
m0HKT01vxOhq62taTBduE97pwUA6bG4hiKnVptaC1vVLIj07/gSTLmyqz5Km6TdVSkAmSfjdCgun
zQr+u2PG0UTyyH+CW2YfBi361hEoQfNZg81xOqBZW+7LpgV+S5piRxcrjojORqjsfpFVfHBR1FDr
HiOqog0PxlKc0hifYhcZYckYaodmCEZvQPPLtQ09f7SRMd/bffeioz2YEQUoYi9gkN2VDaHdLYgd
BkQyQNOjP51tpUz2YTUIZ+q1aCa9kLt6lboTXuF3qinhw1oh/jjIdpg7pPql+yj/I9eo+GPdILIT
BpUEU7nYBMM31Lmzx6bQjL3WN7PbkrOVdXGHIvziCwT9rpjb5h96qjcMmtdXWUNPwiRfbaNT94ZB
1cm+zXdp+l+NOgoJP/rcSUzJ3iZAdrZCjjqqtH1/MQy9v2iBwBAzDk5FCmeetmU7av1jvzj0QfV7
yvhT/v5LU37Ffq13RwIdho9QKN6b2htyp5CVtM6qMn4ZMVPEBQOb3kEu7nlPCmzep2GvmBiPlZRO
3JJ06zYVjaMOgJNX5f1yRsgqnvDhUNOtKoxmC0aBTF/UZveFnNuePIfKdl6GJ3kyRPz9qeppmY5t
XhF+aGly/uHn/Km9Myku6DaAA2Eo5p8EZlRlmOdkHJKXIepugQ2LR2EDd69BGLs+PeVm6ur0rkUN
DZxE7wplgpEmLOG2Og22pOLq3TSieB6tDgRtYqqAIOP+0Rye7ML6PAVT+RRQ8/8nsIj9NprhwasK
lRhVtWyNhuTXEaMhoiZrsCx4kQKEb2YkFYfCfNemMaEC8qVbY1RGJ5T84gBnh/IQsNhH1IbvzNQ+
5sLQD+tgqpfVG6kZwevlB2XALavoGO8I/CmcAHSl2Q7NjSrKQ0zicCesYBEsgViDYpp9rIdZdlS/
2WEN9GUCKfZRTSyAK219E2d+vSM3nDxlfU3ajMa07cYPf//PvUGwrS+ipTF4s2RdAetqv8HLzFmH
csKYxC9WpjSenRgBPbgP7bux7tWoTE7GKAwPrtTLJGEU1Y1HaWr0UzbWHuwlBIiH8EYd5fqsZ2GJ
vrX4w8S4/k61pAOOhb3Uau8h++IGCVljA3oxcqom7V2SKmifxEF1mXP/uZM72mifQRU813c+vJ5T
3aFF/ve/lffnT/83+B+CFsXiJTWE8aZNqIdMb6wgz19SXZc3IGmHC2xgG6PtPjAPEWHmbRYlG3Ay
+Y09B49aG37zq1lxE1nRt6lmBzfrpLBJ7aLcg9iDDrISulXcdck9La9/KK3mIxbM41ki3Wu1mRdJ
9QVD5RGhCtKjsBsvGvd2pyE4FPFu7W0twNM+lbS7kXLfJck/RuaBfjrFzRIfB1QNclt19NKC7iqr
7yqj83xq9GqiiROm5GD5215GaReXsA7cTA49vjTpGsl77f0gDt0O0xCnCfKl+MEQa37Qs9yZNEPC
1CRDKgWCzi2yD/m5XVSPgsyusLBHEBwsDTemd9J7aUqrDSWKW/CLxUUZn9p2jvYMOQPy9Aak7iwv
cRnuUxcguOLO6jtCQiCezfDSGd3Jrmq8fOh8EAN3KComtylhtDMDaPViHE+cbNHhN/Qaq+IqvxCz
2yfLKKITRazCaRNN34vQH4+TNX0bo06h6pCLo784uvpK/hJ2FVIX5DEdTAPGc4lLh1/hS9mi7TfS
sm91oi4ociQ8ZMR9llSopi8ZuL43HaxnTmNfIyoWp+8NrcbTcnHgVSxybmCG4MaIUxNOzY3Wf6NA
396mBEMOMiIHtN6GnebXyXuA/ke/JkdcTJ+tVArOtODVdgxQ9a6B1jnxhHYEuXH5pC8TGNIODq3l
OfDLz2gUvdTwwPei0C8IO2sPWteNexM11QFd2lslAlI56tmXvKtvNANV+tYK7gZ8tu4QS3UbkT3g
HFF8MwO6duNCbt/8kIvZcCZKD6dcVi6jLpTHSYS7ySqTu4ExJppnU7unWSK/PYQDFkIhTFrwensj
IvWPPCmxRZnZXkxkcgLxPt0EHamq2bKbuwD/s3+I6M0/jSpMQ+iqTmdo2gK84Zt2uMeZkrdO614M
7GPcJJyI4jJ4WZbd0YYSAd1aVsUL2WwVvNxLJw4QPDFEsAkxZtwZ0fwlGyN9lyYIzsc6wuPPZD1M
B5ks+5DES4aKkRPd+RmHSMggSOHRxAU3cDOcxMgH3F98w1FUaNLBMFkbEUzI92fDdJab5yTN9yqg
zwckAgoMBPPuBg0SfRsX4tuqmgNrZId3iXrQR2pAyJclH7OmTzdQx+hFupBhCNcaskjfwolRdpAH
4IYGUXEaENVKFr/PvKm7xy5WhDv3TxmVL3TXxtiTcySUwjl/GS2QRsbYt7vAp6CULK+wX0eXPu6n
m8jQ79q5rF/HMP/nF9W4ZlWR+1IgKwYYrH2z+N+7l+LyKXtp/u9y1I+9/vvXRQ76ftLNp/bTLwte
3kbtdN+91NPDS9Ol7b9F65Y9/6cb/+tlPcvTVL7867dPX7Mo30RNW0df2t++b1rg9Ay2loHgD1m8
5QrfNy8/4V+/XV6G/7p5GaMvxV8c9vKpaf/1m8TI9nfchwwdfrFsgH0lbEPj73WT/bsMGEKzZUvT
UKphU17Ubfiv31RzOQixBo4ybZy6eH0bHEeXTeJ3aNwQ+KnwmaSmiTD+/Qi+6/a9PvK/1vGz7F8D
Fl0Ga66RtcErQhcGwnFvht9VrKXzEOTxuamo11SgjBwIbPMuScdzbBk9PuaSXOMWYFeyiy2MCllw
sSoGvEphqvKqUP+iZYgQqzoIuXrEDtwYXiegAEjHKJaGIvv0nAmlOmL0XR3tnA6bqzCbW3YvvHW2
8/P6dfu6mJh+5UoJgn1NHxRHRPyAkKsVeg3dsI0tNT+uE4GSCv3VslzaJhCN7KuFOPPRFtn3iflj
bl0H2D3wJiFhdBP52XHW9eyIUnZ2LEDjAxJaZlv43k6eoZrYSlV+7CZYwXgkAYj7sbjO2QK5Vn+a
9xEVlWOwTLDgAYH4Y6J3WrjrNHD6gYJ3bdN+n0TL4iDp0naOmvO6vvR1HGgQJXQBZqVLfQQJIMcA
oMN8UTwQr9f0NyqlE63XyuPrrNkpwwG8ql7WUH0RI62OlVZ+n6yLcYRKsIikb7VkdQMdIIzzuTH7
zaRL8XgyrWKThj6tte9v5rL/2mbTndSpBCFzvozDsps27G7rWA62dAA7K6fXN6Ukd+ougnU84lsb
UoxEOmovrOypC2kCy7C+DCLRdxPOg3IZB3cQkaq2Ps1475y0Za7LgmLXC/HJTxLPxJXFq9F1ANWZ
EL0nc+YV1BYjVaF43xSHIOa/Wv+bGMoWHuqVP9/kgOTW/y+YZyoCDUm59k4rBmMjcK4nuO5i3/G1
SXML2Xhpixy7XD/qjrzP3XGds3/MXdepoHZhUf3Ysu5zXbwet66TbV9NnSrtvXrqyv11v384zdvN
62kDJVyw3cs9vm5PTnhH1z/dq77e3Jt7WBf/9+tqAPOg92b/9YrrCSjlfX8015Ou63DNnncSit6F
uX1zqddH8OYxvVkcUWt35K5pN+vB4SDKHd5Ix3T5UqLl+1on+Y/FpAnhtFyX1811HgOAXo9Zt7zu
dD2SrMJuas0Q8kBbOX912jfrrpcvCbSTvzzkus/1bvK2ah2SzRiKLve+bvir/a6Xk4LO3taJfb6u
uh56XXf9bdd1CSaaZI0n3vDlmSiG+a6o82AbMgo6SgWTksKz7HWCJrJWpG52384qVlQyygqA9gqx
VYyqkT1ZBMKFsxa46zmuZ3uzuJ4rMfFtAyjIxWw+tpRcF7MIkGv71kcbdbn0Xx23rns9eN1nvZHX
M1yXr0e/WVdko3LAAqI4DANCE6X/jK83A4Nja/TlMbLTEajbsoyP0DhTfPt1Vp/8gjdsaUbfbiph
V6gRTqY06hGDqGQhOWNREAHlbJZGvl+21GuX8NNOwbrruk1eOo7rrusiGg3IRyeY+gA+O6bLxNIt
tAqWCfaTtNBCoq4+T839um7db52DH1uQ1fxxyHrwdfF6GtIh388ayvpisaTopHd5Ohna88d1bp3o
hd0jeDvn7k8b2kXZJwHwDXi8PdJC/zz5q3Ut6VsSJ063PJNx7QeXOWX5Ttd1ybx8N+uWQIz7UuvF
jnjVTp3I0DrGVxZGoHl0ebvz63HrWml9rZHr38ZKim5mRvywTrre5+7LoHcX97yjsXRu6yRSlkZx
WVw3iARBbKcsPsj4OB5kKWyoozNRTJmEdh4rlqfbwR/j8qhUKkBu2ajSkSL+4BEGR44mVBDgA42T
TtrgOGh0D9fJuo6c7Wc5H4Wn4a16HFHXxKyOSY4+LsILuGIGZXtMQIMf17m4hTHKgOwwdZZ+ROpA
P+JXN+0MiqGhnA2y6/dKvaX2+VD7BbDVuJDc9T9f/99p+ZNTZCMxlFteiW59d/SlE0xPuAlFHK8q
Na23Ubo+OvMp4gs8ovXB+JqFunpu7jDV0o52Z6PIu8yFOlqc69xkdIWHGRauj1k+za5q0zwA1FoU
wSu+a3msWQ5RUB00OYZaXjV7RGiAHuCF+MiDKo66Kumgr00TCnmtzp5NrtOLMvR1klBGJkXqCkwu
0QJNIRF7kUXFFCo5iuv57CzkUa9eojpcxYjekiV6W5chsv175bq8blknOQgu0pFKqmA9NVKcXJev
23/aaT3JugweE09apb15vQ66TWs9oHFmSX20xJBtRwn3Nlc2aU5UApvXCQBqBquDuhfZniGhflCW
7etEXSKvda5R44yAa1lej7zug54CW97sft2nBoFGNUv2XQPM73GdzF1Em7rO8pZhDVMu4e5fbp+M
AD3HAoPQN/use/8P1q27vF5lPcSPhq9In9Xe9XLr3PWnQhTXHY3xtLv+qPVpXX/um8X1hyYS4kT3
7dIrXCdi6YSui8HSg/hLjwLlYauis8ALu3QtxdqbXXdc50YTGWVoLP8+5rr59bQRmoz7NyvNZnmq
by677vMf1xnE8OCu1K0hB4Wj1Lzp66QNMCt6Xf5pdt2US+L7Tm/3bHSdv/I/b//pTG93/Wn5dfan
c5NB5quTOrKdy6X/tH3dFVus4tCIrz9d469n//pK15tOJvE02WW8/ekO1tnrLj+dYt3ydnld+dPh
r9t/uh013UF2yY6xlCg/TUBTf1/MitjTKmnar3tc118PMDUZteY5fb6uAjOpHGGukJtZZ9ctYE/E
6yWKiRFiFmFzzvB2nYw4nh/nZZLEWgewY5ldV66b0xbdVee65zoXpiShJ5ReyJn+2Azbh8Hyuv2n
0yl5Rp80lKUMGY/ZdfvrldbluJ6f5tJOtzCnbOFdD1/nfjrn9ZbWs6+b+bsfJJFTh8pGyaMQ9379
Vq5fxLqoBYbI96/fBejeUgbcwBe17iVnpbnxI6IQutP8OPRI5EByWwbFwxLrXCdW3oaunXdY3o4V
em++LdpjXLTfJ1I/g4pZl7M50dGDWzbZLzUsrONoL+PZdHlxtSU8w5auPF4Xs3Ebx0fdsvLdJHXN
sbHCZ2IfMggTgizw7V/wyPuK+YebFtVuTIpgo4vHICvqY9H1f5gwMk9RM+HrK7TncNJsbx1bk956
LuyT3aqZVy+/bh2+XyfrCH+O6tBDvAlCDK5TJwoImzoJCHDDRD0aKp250Zpusng6S3K3GzTjXcpv
0fXx1GjtVpYJwnhhRJ2lnmVA2JD0TVwnt9ex65qKWEex1MQHrzK0wLGHXhzXLNT/t3k2IWxSX/85
z3YTfQmj4FP+S5bt9aDvWTZL+R27A8RIEcvUwUmolGm+Z9ls+XdEqQSZLVy7ZNS1SIB9z7Jp1u8g
ZahQUa0zFkQUd/E9y6aJ30mGyappacKElWTq/5ssG4m0X8pEOtAolB4oipEKl8FDvNW5r0ZpbHHn
ESfJF4+rPqk/9xBDsCGHVvp5xOHwKHfYJ1HqQn9ciebbGgeSkz2Ly7rUicI6Zql9P6W1dg9y+g+U
lPGBWpZAhGLLKtA8FmVAMk5+yZXmvgAGeg7zWnUR6kaePvcjWh+IlVOYAT4ydKepCngeGUZGOD6J
vVrl1cM49h/LNEGrx+gfmroBWF7nFF9iZCwloAoEPws0Y8huedZ3TSuNDwA4oq1B4rABhlyDxegy
/9TG436lF2gK4qK+jGpKENwLZA02E3LlTqSjKEHmMfxktNUe3bBhi+6hvJlGkT9WSYykrG+hOTjm
2qEF7+/Y+MTfzzKmZHg/3eH/Iz1msf5J1Rv5fuy1+hThGmca1RejCIZHvJyG3Yzm3CYGj18A5H0O
5EVZqYsSYBJ672iZUW/B9J0wAJacNG0MbwIz/5jB5QQKaJ+tbgzBNCbZwQcHtOfvI8hefJ6sqW9R
wW10VxNxeLa0/paCulvn7XQQrdRfCsRpSpx1XibRmeDUGvvRwvuiUxQyXn1C5WxBIhYKNplDHeKk
05MCC6KmPxut8Whg1LVTcJB3Sxrr23wxVjYzA7L9tC/QbThTMz7ifKMDMO9RKmT3S2xueimo7yLl
Wz4LifJ8jFQYbhKNy687yAgd3WFo58OSD+6tQU5ukI14mGGhPuhDu0PIs71oFdAOidTlBl9NPOxT
sev1OL4JWwm/xTn22tauTv7EWDmt3gdZW0BSIHgO5fIBXuXg6oiBAO1IrNOYmCDPR1M59BaaukCD
PAsJaFebZHHX2OPgDn1s7cycoeOk3naiHF6bwF8qDT/707zBOPLBkT0Hq0GK3EL6mIL8r3V4egqk
LusZ2SEDnGdPnLnJfOjC7UgdvYtusCgJEcSIHtswAGEWNR/RVmiwXCJPhR6k/w/1KEW8wWcsdwQO
Spjk2QFS27QEv96RRIRaMioKTnYQDgcKS/FW1wEwpeXw0CWZdpB7qEpN1SRIzhqky2Xp3i/1Uw3T
q7LV+kMRV4brV8Jr08y6q1J7diO84p8HbTjjU+BkGqoSJv+bw9gkeLK/kN+bNppkT6e+izOXKoDG
WDcxdnls+V7c6E7X9pLbtxwBJ/rGSI1NhVrqtu04MDDKfhPYdu0ECkhgtVxE+0yJSqXezbfmFN/0
XbYnb2Yeqr6HIl3eIuJgnCigRSSXMKaP62C8aPKhVVH/IyrQN7IvAbWWwptam+OnoGvPVBHNE34X
VBDlvvWSRKgHitk3oNaDG0rvMPTKJcFUhu1NVucL4Px5sIPpwapVT6/l94kSa2c0/TAApt491/4u
RF3S1ePB2to2NqZxqTzJgLmS3NXiUT6IYHgYkUfbh60dOkEMgwsN+QMAu2zfD98yX213Vdy9E7XB
xx2JBrlyCQyXHV5AyvEZm3KxuLKdQRLbyIt/zLAK8KIBAT0ttdtNm4lPttU0TpGjW5J03QfTwHYU
jbDkEA/VhipoepAYpOKti45RCERfAjLiTXN20ppcQqRs8ctN1P4+NzuvARjPLRWY5hW1h0aTF8fk
LPRqGHHH6FClNOH5lV3VYZElHEX0X017KNxoySi0IRI6ItA8hWKGK0vmOUTQ4tTX6d4ym+YUJtam
6fXkIHRekK6tPyIwKe8kQyZGCwxkV6iEbyjNSww4IKEDcJPcePlGal3Cq7HmcB86YRgNTj/F27bX
QIq2k12cKg3X1rFRfHdqFuff0vbaxqgcLdS0kzJPT/ym29n0HzWjpyysRf1NI+DHzpW1QSpcXPBf
4ZYIRymQyQRhLRA0W0PNnzLlTijv+2rS3Zavw5Un+LxmTXmqhvWvFDBuQlneI0Jin3XfvIc4m6DZ
piYA7jIEJn3bOgd6dFsLW6Lu/q7SeQdSe4oRbfc/rWBKBsTQ06lwiwEv2MR/lDrJd0G4gwMvF8Uk
O3nQczc0QCHmNqBte+zLTa7Wwu06q9+NWuXBan5qCK0fLDOmYkIP4DfSdDMFsZdryPtKmtE5Y6k/
rjqAc7fFiFE9NKryRaqU0h1nfmcS+U/wXN9j4JABasp3taRFXhUD/59qgIyjK5pqvEs1vGimJL+U
cS1tfEW2PT+P3isC1+IeSD7laiXZwJAZPTOcE6eZADJQMdoWLTxCPGY7R+qjfKcpxAJoPrit5Sfb
LIdy09BLVWOtPwZ1Wu8rqUHGIb0nJmm8XMh4kkKy9KZptInOi3dBP33GSaHea2pwF9c2Yv2VHO0i
qrljhL1tpaXPtqT1vGu0PNVcP4eyBUkvlBSXRNL7PrffNZ2OkWA5Z7sxh9cCiyPaFbV+kmNpBG2W
7+N0VoA5PyFMBcs/dgH+tYsBJ0LEphMghumMQCM2NrLSsYEB/CBH5yKkshKmkr4bSu0LahjaRf2C
t0pBzJAB2x62mi6+DdECUWh8V2/Cr1ETQSdbPkZYn3ehUe9FHkekfIZo10Whu7ZxZaLxMWgEGY2p
on6GXNXURvsUaTU3w83sqA31czEM8R7vIaMErlXL7XOZFUA7wWyBWMktJ+6VXQLa3sWCWD3Ey5er
aNNxUowZMQ1IZP6QAzl50KExbDu5QXF91C/tkJvb9Yskle2iql5cTLOmGEBAVTdmve+hRRRzUd73
te++0iymEg1WiIpQrAKjZvYFZk5zyTqEJ1AC3vtKefFJe9/ZcoBuv4XEcxkMDWqtAlqjCgSm21Tc
m+PPGYOiynjGaxZ9Ml9NHgwAxVo5NSe0pryiACLZ2uXkmlkWOpXUo51j2E/wfYx9XmZbNZ3Nc1Vs
qipSNmYsoQKxyBkhiE4GfsYmfICCeUqs+IAos3wCdKjD2Te/DQPfX9gm80bDfOYEj+nFoDXeJ6NV
eZoYsa6wAxP5K/YgKoEX5iPgki6SUmoXfE3sJL+vkkjANC0+yj6w21rt7gszaU85jckFkwrlFHUz
VciyFWdGD4cUOfZDK+uOaFobMhBIe2kAGJNfEjmKD40M4T1Lj02KweugTcUJ/ydta6jpJ2nupi1o
0srpZjO4MwP7ZopkAjKM7M7wY4YJDXg6o1tQRtMGKIe1meSKz4SSMar6OeoVGXw42IuXQQ6rG7Lp
mgsp71PXasoGkkPj9W2reDrC9yegYWcIfZhn9TCMdJ6YK/fTsG18uKNQHOkgtBGLX6C2kJn4GDWp
0g9mXaeuFCMDkvtjf5bi4R4KhAk2m6UhkSDaL0w1upp809LFPqZKuNfnWd5Xeh8hIU91OgtGsL9+
spF72nIRjIe4U/z7oHGh1O1Uy/I/ZGWnujh2Z9t2lG9lWR7gzSi2N+sWEjll6vVT0FFDZVjSNy2/
O9DQEn0ugXp6xdLARktT2wVx6RkzOQWbT+kgOlShsxnNSQtXTA3x+KEBEI3QYQJXqqOLr6HthRh0
tNZLktJvJ4oknhpG3GTFh3NKSEvcUn8VGLFYKJ1eEDp44nbifZ5EL2Mgt3c9mEw1gRDfjUa2C4Lq
HSL1xi7S2t7VcBDfDVWDNNvyt0eDEl3mYXyfDJhL0RTJeKMG4C0vbSUdiqm61dTkWySr5R6GN8IH
GnKyMu6aYXhBQozOYBZfAiM9YZdV7dRQATehHvkIN9zo6E3Lw53ieJuaufRA16UZk7jktXwn0+zu
kaFMNyR/UKcJU/SZ7Owjelr1qYqM+zmscjQBMQu3xk7ziqxDKxsTnki3x4dIBqa50qdUtB/I/hh4
CQf1VsEw5F1jKuT2h02EPPwdEE1gbUYcgWGvcuSDmXS5/LWIY3ZfhGjMOphOYbsJkj5baDE6vT/w
PWXuD11b1a6EhBntML9kP1ajTgEup7pj6MX5dQBZR+b8kKfbCLKCC/gQ860Iz+1qnrtNRDS4kXO/
cSZo/p6P2vQex0LEYSwl2Pc+QLoaO9xyaNuNWcJrVsoxRifSwCYtS19837AR8uoHdkVBDmKTdqD0
B31ZaR076sqP61uZBcF0hwXFGbH1W7usSvyMA0TFRr3cKvr4OWSEhIRDXWypuSrbwSbyLrWp3JZm
9UFhdOcOEaQAomvqflEh3D43tE/cGbfXlsMGhJ6+6Ywk24G0UlxUw8LtrA5Hc2n6W6vB0bkrK3ht
yaGwBxiOvErhOPj0W2pxKnJ13qDq3u58CHS86fPelrLPvmw3F+T8O1BxlxogoZxUiBYQmje98QC4
IvYsKT0Fkv1l7BT5qNXRixYVnxniaqexqcy9UBg39JblxSUKOWMdL1Kxg7G1EQt9HmYMXxBacgPg
73RyfMqsN3Z1O4HC9DHIyFUJFARMWC9QDmrfi3PfKZ/FRJQTaDbaToridYhYO1E+zFCJbHVjRn61
6UPNIptGbAVZAm1Qwxgc7ABSYEXWva8hRKihO7xrFi84/dmiZbsMuXhQSURIAqnD1KcQLmOJiohc
8V5HR9T1c7l25hr1wHF8VtrUU++L1rD2UwaqqRiVi10TamTSXqD26kwCVeOoJvygr1CPX0wxype0
D8KNZlfGJjdo25VuxjSO4No3go9VZtWPSas8tta067oqPQfTYJ5VHpbHAF9BWTSAIRwj9WoGsdg1
mvaNfyU6VmUiNlmhhpugPmizWJRuctVRGuAt+FXdd3AeSb8artK3uhsby1dgGzNJBhoAG7V3TL7V
s95NtdNo5kkk8XRp9z2egjdYKGYYTdrqXq6l5oxV6k3R+QnWK+YnHyHMezhh2Q4fWQaJkKBvwKv1
26Qitg60u7ZIbCdqyH2igY1ZbBZp74lyH9MJ2Q+lBjfYXogBkrOFiAA73k4C4bZQT6Y7mUSOMKv0
WCK84YY5Cma8m4z/0xs0m1F8A2q+yezxpFcwVsADNa/RXK74JmaAQJ99OMC6wcgBZYfWaYndERmj
MG9OjQ2FVMKWwAKTvExmEEKaltz6ITSfOlZmr2sL1zILXJdyBrUA578mCl8SmeuIBEoBdyiUHoYc
D9KhBrnULLZAUbkkvmYbZ7klebMo6zOgEAepmHq8KkCy+hYlIGk0wlM0xtFpnatEtvF7JNRs1GIX
arbkhFZRnYnQrL0qxG0UyfED+cn8Vu8yRmg0BIjFFhNlQJFvzLH7hFltcse3ktyNclhvVNzKvVJJ
tvgzl7cVHkxnX2mF4vRiJBaVwvREqJ+ccovOrrZi3BgQET7WqbDdQWmRF2it+MtswEXGYC97IAEK
9WbqhIeee+AWgxtVmYndqf/R79rsjFIXXxbyZButi61jh+aQ15vViC+hIj0NSf6BSLfbAQ7wYSRW
h4JX0k3tAsv6MppuBeJ5WM37kYugUnZKyD0E6pg84Ag/uamaqK5s16OT2wKqsJLdDkvSSxrVS4+4
uNPlRrCLuiD6f5SdWY+cyratfxESEBDAa0L2WVVZnV2uF+SWvgt6fv35yHV1z3Z532VdbalU9tpy
kpkQMWPOMb7xEk2lfSo7rkVL9PiFVXq5zFX044JZyXnWG8d5jhtI+4wyJP41m2g3pzP3bOPpYzVn
foId9qxXzItMxdo4pwFt3eadkJ2Yzcwe6JkRNggFElCbGz4PnNh3OE/TQx73GpzcCoZL5h5vbzoV
gAkjr/RnZd4JV0ElW++VzjCOnIbJujXra13Dt7g1IWtTZueFVkZgheaPUA7Jhjo5PzTh8LCE21kn
/5rT1yYice9kpBM++NGdqZcdJrVWRBncEufQvC6OWi6KbsCd0uRT6FClNYDMrErTd0bjWZcGR/nP
dImrSzKyLDHY6mjumWy8qkj3gACXwE4S51yRgMiM6dijbbgbBLGPsBIupHdN2Dez0J/6qQ4itzOp
4HlLRgIxDt+v8Fu3fSkpKEA3Z92hVcu9dFr8bTl+62LpQx+ubHKvtSSA5KUY78hhrwO9dZugXMbC
2iQYv5chfCJ8zb0ALleHnAWd3Vaf9vFi/CwLrybvIgfCmXBMygdD24e9CKBWFed8YthrwVUAytU5
59sPqzJRgo/jsz2YznkYdZB0xdQfbgUISJHTEqkC+MBknASoQ58YyWNl2pHflnoeIFhgvTDpxKRG
sCzjz9ornyboA2OpMflLqq+RaCuqhzramuxQO69zcbhGEPsIkbAG4R41m96PnjJWHZaBTBJhNwRS
3Pdt1n6CFv2qav2uxyv7WhZ3poRebxspcKTSIJ9KS3b6pDkHtgwT8i4raJO17nXB8kO96z72jrcQ
o7YAUl/ije0m4tyo+kHFdnWemvZN1AbPN7gvmTiQEciEPJLcQoRq9RIW2e52kKxa5pS01d86l4ZO
266mDzDsrtURjpHx9sHurADo6mvSLj+reA0UaT9rEwHFUjpHoFV3IXKX3UwE/KbIkUoR+7Xsl0qT
/pz3UNorwEitt+VL1nyBiKbWdHGptOGxK+OEqKbyLU7AOOSO99Vej3hF7udrKT2VIJQInmGikOJM
CIOQXf5UnjGx0FMgAyKF9U6/KeSmLaDgcOSlmceoZsdC0+5ylnF4EV10thI797HoMtRzG3Pn1jkn
wFzb9lTKrykuwtQgsAnbj/4SEXKzaeuypUNT6UzR+AAo3eYg1BbPl1b9WYNBtnfNhaNQPqQ7Qyrq
ZvFpLijC5iK/H+iCXjzH5XQfYXvNGS/gcLS2NWituxmOptGP1l4DRc2hgkamymx6JkZbky+i+xl7
5UM8b0di2jd8juJIJThd25IHXVO4l5XsgkLOv0ZTNnctK1NL+tUO+pGzx6WOxUAf7RN2la1F2viB
XlIaxCMLoSJPg5LAJWa2VIFml3jyXdJ+hpBGZZ2IFzlynJlqghFSLQbq2TuNH7nkR5rEIrjzuGlU
QacuS9Uhmbm4Veile8OpDUs+BfxesGK05LQVOMmO4yDe3Exf7hWolhJqJv28CBMuYMbcxM8uNLp7
XUV8odWGP7J0CDgPs2fphTqgkAl9z24ArJe0uTY02zUfnwj7rqS95NIZ/uWURnPR8kh77hnuyGoG
27g2U2APvjH2eKqnbNjCKhoOwFU3aaFMf5Zleio+yZhueMSntLIynIslqx9CJad5NoddLzhdlBpO
KLvpisAgmcxD3LR2QfVDHIUpJZZxheoYA1RwKf8TC41yu2wcSdtGWvR36L/326KJW+xaYwkR6j0b
W3EiOlBsRtMpHyFd7aLaPlF5Wbs8TIetPhQjBCeuPjWscgvvCIfp17gbxnevA1/PyrGUDKJSrLYz
cdP6EgW9izBYZI3HMdOov7gmdELHK8dtmRtJMAx4axPzpasN7xhBsTpPfdvQ6Fnkifv0baKdldAF
vXXuBfe1YzUQubvkqSX7I/CW4lp1HHO9ykTumoTep8Fz7+EDc3YIcZ0MatSwJ+ONvXUkesEa7qRU
W266jBszH9VhZP4VRZ/ThNQ3B0DyxrVI0HGXetnojkfiqiXCE+N6ICsOh0pLxs8lLpmNaETEMSYC
VSL6+LmdrcoH1ldt7ZWFcAMi2Ilzl+tRt78VLbE5PTow8HbemjhObIPfGSRN0TUiUigy2pTrdpsz
aJrt2hOoNkx5s6PNHzXPLC7e+qOU2idJ7tamU9BNbhHIVePtegIcDl1nPGZGFget+OVqnTiUzvB+
SynSKI+CuHGW7diZM1SmyDnTJr1CikTOSOrjpQVeos91dIKr/65rUbOvqjqlewCjrR2Tz+z/36qm
854zVi7mJY1DbGQPamaxWp+uTf4Cnc3XunTwl7Rc20eeua+Zm25qwYUqZxCfIYR9z1oO31RFxslM
ZRRA35iQL/QjKNNyU7i9uyk6o2Ufl8XWUjPeuKkqXha9ODUmiVsd8eh0inrmvyEj1qyu7FdKoMPg
kAkwDkMIj1AP79Je0Z8xkxP/Mgnanru8tC5Ff0p0feo5w2EkOuLapcW7qkfQTLr50lg/Wnz7gRM5
+nVJm4s3JvmO5Ixil1Wi8q2RLphYulf83qtMi4jewRjF2TCrV93ldvYEoZptj4Mgmpa3HIQxVpA3
UWWSLXUk5Tks7K0xTiZHcQoUDz9/wTDwpLe1jwFwJ0w9kFXHOJIpLUnY1jWSfNR5rk+fxyb8RSYL
x0G6bhd3IJOGpfStrM2nKKV3k5U1JMaRjYWvSNsT2tJeB2ugRLEvPB3GXZpofYB7PwOTSVW7JG6P
otL0ozJ2nyYybn1vwNiwZMTJpNM8b9I0ftO6Odo7QxMFBpypf9SiQ+4omnGskl5HhSmhYewIcgJO
hKLo7IULnrf1v7JnMhdF/JNa5UVqFdZPho9+vXCesIhPc8X80Bcc0oDG7Bt7voZ9PBwjLTYBO8Zs
J/MIo3xK9jzqBB64um+5dv8axl+RP60s8NA6hi5NE85EKmCEVeM8nOlTe9TyfRm3hLu36We7+jHH
UcqsraIJvtI0YhLSz1EfN+z9xXSeRk6MWuM+cnyjCcsIcMHAsJXAR+9K2e3yMUznTZ9qPI0OZKFJ
FZd5NjJGNhitIXhSkKxEwZHoD1BRv0yPoLl1rJ2lVPhe1r+EXaKe3fGzLs2r7BNGmywjwZy434cc
1pJKFncTK9E9T7LxzjRzrhp0i7Evu6dIbGnge8RsNWQSr2qiwUjxabYyUI34Wpo60W3S2+BuynbB
ZEUFsqw1dC2aI7+bxIPVwrPMY32fpGje7f7ZModjyuFjO/ShIu+8od+kEc/bWkGsGRkjYY4SDTTU
SmvvOs62fJbtztAOOkgLfDs8PrFunDnfJHxsYHEqK9u5qLj2znhQ4fCIPr5DApByJUPxw0Bcz+wB
VyQkYmMZkUBjwTYK/b3TKM0ZvrvwU0FJAExlfKDlBT3xHuj7rkry+l2rE5NHhtKFGFjQx0TWjM1F
L7LwLo6ld3f7LYo00s9G79jJqQeslROohL7jbYzc1zGiS2CLkJFYE0eM9vlx++32Q1vA4g2mdign
Fd1HZREfpi7+0QhBWnubN/F9HY5HgiVnBCrr3yFBju/HFrNgh6d1w7Q19aWUBpxZp8ZsTgV2f/sB
wARuF3qcf/4uXFBiqY4JiWNN6T25Duk9pf9yBJx4zSZyzf/372+/GXolqQkwcrvOjpAS2il97SII
k9UFxAgntKr5yUbOEts4GCIoe/1OA/eUDpO+4993/Gjo84OgIRxAXBvosWSAAz3r3ZyRrxpG1vi6
nh8GLUNRSEhJYC6N2hoexa+O5WJLlqGxJZJ7fM5oTV4GAICG7j1JWBj+bCXpwWRFCDv6ffTirwWf
rK+xCLZufp+UdMhEKN9HTl7I0ZPXSq9/EXfxSYzxgZM/knNak8Q9c3gG7WV3s9grkdB+V9bZmBit
EMSycavu5FQF4+nxR1l+kXL4ajD86yNlHEBwmitNKHc+g/9grBaD147kxZtpFnO2o2qTPRlDZKG1
zFEz2+k3kdek/kLnbGNwinO8TV+RdT1r3rCJ7RiQmf61nDxScd9745vDvIiTlHWqRrK1ykZnajNE
xdZLs3uySl3fGiRo6z5HyZ3aUEBwmG6m4WBZ1fRgKaLmLfmFeJfT7LjEkRkFkgrXecxhHrEVq3t7
GXYcW1H2b5ROb80KC8bRnnYEph5TrNKJju3+EcAuHE4Ir5xK+3vtMOVT/FnYtYNuhfogpWgEA0Af
r8svoNvVqmH4grWVrbxsWXabLZuGT+vYBvvGv6nn66mwPQBnQZBbfcsHe8TWK+B2LWUXaKH0U2fL
dZABZWTTxpmvk4eRmhTfqIrXQrqSG0yZhj96GW2bHVMr6uHCyQOzbzn6ru9CiR/LGL5S5y0bElWe
PfSUyZL8mIyNdNbnQsFDTmFIb6za+Q4BztpUCAj3sTs+5XV2D43lkdlx45udqQNDm5qdVADehcNT
APQcf9vsI7+Zt01jv7iMiTxwZTsrxoXoxKSkZz+y3mFq2kZrQ0+AvOvrJLAreYDqMQciLPeyLjt/
Httqq/fdif/38zg0ra/1zdlMZ2/T4hvm3GU9x1DLNmBAoPmnJMaaukU7TX02q2yPdDHx2Tt+2lBU
Kdt3ZqYXoHQy4hmd1Qy/I2uCb6A0ym2xNE+msptdsRDHETJIEprzSGA7E4XIqen/kiQ3ROQalfEP
YxLXXtF9tMIyEGXcbXUim7sm+elYBl9k0gcMK10QcYC2vDaCHKwDx3HU3rRLwgg4uspJMqUv3F0H
eZSh5Bc+16R+EJPGDS65qarOpZzvGNBjS2BqzR5T0UapW/h10UhVr61JdkgitvhRGQ1k7THu2gNn
zpIpm80QpqZpn5FDs5Qju32V78Y5vbZyPZOSeeXXjecFdNDYcEzQvlgy1bM0KZvbYVemFqmyScXc
EFM8gHiypAuESaAQwOwqBvQQGOuJrSJymguS82zbLOkGPloCEdQvGmkEhF1jp2j7LaH0vqFlj1gB
LIiK+YLgFCZwwlhn7iFARgA2t7Kkv+UZ4p5xKGZOY2kI8qwhw3j6ty7H8GY0lPYZZLAi1Etfq3/g
RBGYbmjaL4AGIBa8Vp55yAt6KcpQUcDA/bk3Guyfu6KyvhdRznRl/oqy6WvGirZxSD2AvDsd81ZJ
IED6ezPT8qGDsWkm8akfsYc6L0VvdLul3OEOhkzgADsqGNWGkkYcRgO/NKrAXutNa7Q7KBqkSCwU
8bo7Ym6v3xWSF3/sYpePp30mdj7aiBIlZVVEYAz5UqUud1abHTnYfU7T7Bt5e9UGaFdZqnnrEUu+
113vZZ7OjQi/mKxEQcc4audO1pNOuz52aS5bLiffJHurliZGJm1+r6voU89Tl3qmvUmziUK9Wt4L
r/jpDG29r6tzOLjHqFZfAPJHAUG9jBqIDVGC1in+6Z2rpqAvOlDw2nA1WuJ9Ui1M7nS+iwIEZEAE
DqKRtLrQL/2BOuA9qgZ4lJ37a1i8n6HNhtvk2m5Urv43jskqh/vf4LhVnOY4gv/hKQf2jeP8d3Fa
UxXCTXOYh32W4Wl0P9ey7rAXIb2Kx4iMZgGTqVemxdofbvGGj8wJ7zIO+kHv0Jm3MtkilpQxVBnt
bxf3O53tn4uzwWcAKzRM7PKY8uv/yIyywiV2YmYJp7R1xVGt7S/pJd3Oia0tLXr6+bl354k+WTta
uQ850MFW7ReSwaxmUJeNS8gRhXjljuCsvTk//Yca+f+Y6n8TG/4OgfnnAkkvkPStTJZC/YO0byBT
tW+9KDxZHPPAdCuqiTLeZUui7Rsu3I/bcdpMIRNHPR/RN0kfhlD1F/bQHxpjvkNH10GwITYGPvTh
OzTgGWsR0sMTahqGFEvmV4kMqsJ+r8jHopfLl1mT8RVWef4XeeP6T/9++7i6B4sQnbOOI+BjgEMT
eU6NOpj4j3Uk3TIuhOSO6270cn9Z33EkxxGFTOX+g5T4f+o8zfW7//DKhs36yZ2rSyKqPuALDFI/
gAkXIEOTpCHHVz91owb0rTUOXYS5YyxYttrppVzcX5WzwLm0rvOt2it6l45h8quY8iyA8kn/rZzA
u4BehKo93Nl29bWQFPFoHf4mTxX2n5ctACS5DjA/bpmP8tQZOGznURmfRK/or2gLhkMUBBVDhyAj
H/cqAHcgzTgg0LMWkohDc8kvCHAVClC406gS09GEAZsxc9e6DtF1Ox8yUz3WXd2de73e9niG947Q
9syNEZEvP4qREKuxTRk4MJrYFAguLrUZo5VzJNDUNkU9kYL6zoo7Cm/j5d8fkj/vTteWHMhcHf4b
Q8YPX1RVWo3OJy1PPX3jTcsDvNEF+Iihf2sFlWCiaAAbTvpZyUzf/ftr/7m68dqOYXucSWxcnx+e
jDyEoRVyejwZutyWy9TuEGn229oJA2dtm/77q/25XLk20BnXtqUHN/rjWio7YTaoJSVuTO0n2Sav
aLzx9tHdz4zi11SHP//99W7cuQ/PAKA0oRMsAnyMnsDv62PWFA2dj8o+ZWHoAIdKgVKovdGSeVD1
a7NjHREkFW3/SHuqa1Ui8xLstpVLE3AdeTXKIcYgqp9uotGi9lK/FJyqxjDQKtsCcMdT0JFfHLXN
iRra+8vy8QFuuS6grrRZvvjALMFvH76gMhnCeYSlfopTzcGPTvs+bdXV6N3oNDnedDAM7U0wCJMe
l4ugqt94xUSPbZUjji4Kkbrct2GfbHJr9hhnSCD19SczqaOXhVxcu1n+wqf7L7czrD1Gu3zs7Pcf
P3PPHElQqG3zRKuBBr/NtIPoxfKAAvBohJURlKvRgVZ4VOjnf/++jf+y5nEnO1LQgIZF+HE/dGje
8tqFeZpW90BTLjMmR5Q7g8rOhmCaHyogPgbhXRsrJcA1WzW1atKBkjkEcv3lata768Pdh0HGAiZM
aCmcm/Vq/2N3HvSETG9PGqdcNqxXq3oIvIjpX7n/CF+pXzmV88BRH2oOCU///uo3fOjvr+7h0rER
1DkMbP5cVph1uXoZ66da17/QE6xRjoj5zXb3hcifloQRtLDXoMVwHeHoaYQWOWJIEst3JzEPIdaz
b8pwDktf2Q+DONG59xND1dCQUTNEMh12yRq3M1nGdYkpMerQOkVeb5xBdA0nm1y23hz0fbeGjnYx
I7caTe19lERbQZ9lg2HE3hWNYvebpbfFXgfc2yqeBtEdetLqzgwl1qXBns16E7KCHawa1awxE0Qh
YxPpF5HhG08Z7GVG+Q6F5QkSbrtLPQaFoxEewIMStmgEiRORX5qacj9ODaTUWrsYYpjfJ3zMWooq
SSuyJ6VRuFHUXlryXZmLeQw7W05UaQ/G7BYQUDr5cxdl177F1zjEpfGX2+W/bNgAhziyElBscoC4
LWb/cbuUCafHmUyVUzRa7hl/4B6lwbc0Bg44dPrZjZBhZDOagdTgINMSXlum5Us/hfZRXxTDZZqs
UYOu2OzzPQAe+gRoGRmW1HCjG/vVXkptg0PB/MuF238+8Z5OXIdOeey5gizM3+/zKB+QrVADnm4y
URuNyaLNv/oosr8VhXp3tRnWhO3cZcsSYn3KmUmX/bXzgMhxejCgTWYF9RdrVqJfwhzYkicF6kE1
+Qw7xTGLKvqK6aeIadV2YMq3kuCwHNXMGlrGWob3JtIReb2hFdZZ5EzyJTL1kzHV11tlBfHWuxRX
HFMsjN5kbnOTXNmQ2fLZKsTjpDELydV3FSJ6DqY8YVLIknlo6OCpETat9u4KfL52Aa0OHRbvj+pe
8Ak/FOEEzBQ32KHq0HnZ5vjl3x/j/2LXAYJl445jQeUh/kg31ps2XgaXLSx3D2A94nsAx80WORv+
Ii8HogaViEYcI8EMzt0pb2BQTTGiiMyro73K/rK6G2vF/tuyAuF1XV+xELG2WR+vp0laBpdqXk58
vePRIRXHdUD1Vrq6Twg1lt1j1pWV79ToHie93sULSvXSYfCWxFV76RMj/kul++eqv0JnsQ5CESNC
+Y+Vzl1Av0Y0DwEzJAKZqdzQo2dgyLwhiw3aMzAFmHLq8x39/vko884v9ME8C8MRfyPh/lHvr9eC
1hi62Vq8fozELXDn1G2ozyc7MvAF4k44th3xQIwBoS7xpYWmifSVuWfQSc0InJ5r00biOmDfEYhX
wBQHSQeGzwoaTrscJpP0vEzLX+KGjQ90cSoLSUGxHkowN3FA+Hg0y0WcTLJ2xpOmTGJZFHakItIv
qGOB/zF2PNCAHVli2vAhDL2D5u2bikfbS4r4oiWEx2JCGR37NY6UOqoBqqxSbnHJ5/Eu3k0IfZ/q
ZgJ66Jn3ndfV0CNlcWZiieFoJMirZxmusrYOZitT26XyvoRl91NfkH9Wswh3mt4V6Kzq0gviEkG4
nVo0F1dhddyExW5wbZSFst0LlPpW69hHuxHTRs2Fs+3Mpt3UmIXOsAi5ACzIVu86+77NVxWZUx5o
FgjkQdLbLVWZBCDu5weeaWB4y3iiNxoib9RcQhzs8jwJxsK3H3UHzXiYK2t/O4BUDPRQv4rusuCW
xB1SygdC6cpg2Ba9Y74aM+V8mkWvhVl/yVuOuFGSb8llMo44OH8pHT3IIBbXp/dyF8V258uewLnb
IprSNDzr7vA8N/0XvVrwRmjbEaXVJTG0p9Zcs51gLBWOFd1F9WcG/imeA887STUfbifpJFS/phIF
e+oNfBrsBH65RMa9kSfscUV4aC17+kvN8efNbxuc9PEbe4TC/HHYTYjTqlFztackE5zWlH+roeuR
oFRiL7WGAcI4//8//Tb8dGk5FkMKR3ysN7tIN7thihVxRlm30yrrLu8H70y8SX5MB5kEiyv2XUfe
yqrKKjDz/KNXsHvpXv59sTY/HHAsynTHNdkJMYPZK6bw952wxPphNMq2GE1rL7esGB4itmCbhi2y
3z32Deso4/BOs/o5WP0aC+FQR7tyvE9ppu1iBd+1dMc7cEvfKERoHJuaXyN0nLSC2sljlL/Ej4Lx
X1ChzPaXSu3srN1W02T+baUH6/77Wm/xXqSQUvBeCO2ggv397Vg5k0oL0faJ2NEkcLXYOC2FrZ+K
NqWvffszlkVA6euPrMz9tp6T47jif9IOJ/Tm9qsbInkiXoosSVAFn6YpgxO0/kio4pG4TxSeZHXd
/srWKpqHtC7A7XTLiWARBgpddxAI4RiCNCLIMgwUD/18VM3CMCUl4CWxUxDrcT393191lClaROMZ
57g4pbE7b23Z/iq8WTsl1TKxv7e9r4o2tP1iIrhNEB2zHXNRAJjPYGnU2mlILShsyLXJnOZtT265
IY+vPs3qUjOQOJXrj9tvXptwoNRLnZ+4kylWhf5Y2h1mGZU+dyEU/jxsogNn0fwwSWtvEkRZNFP8
3PRsWqxiKOaalwJ+sd3ACWJktRBr8xoXkb13GuxszBLQi2syAbQSv9ycmf/Yr9ALYrmLet+e8AP1
M2OZOreaq5Z8NTp1CkUB9NmKKcBVMu0ENq2N3lbRoQgz8MVoSUyGG0+pMRgvpNsHLVqW7RRmjApy
BqzGbCmAwlmyz1ml/blw3YtTiIDec7irIXrdyrN5rK9WGoHmiYg/zuE4HzqMYrerZAZ+VzJ7P/aJ
SqAJlfZzl5lJ4GXcDRxfmMwjEQpkrnUXTVT9JUX8xOGiRnJvWouvOnpNXTlcw7DRX9JI9/YR2mFl
eeEznn+YEzxDutYI9qW21oIYJgdqP+suKqP8ASAFmQQZCiw5Snm82XXYtjTIs4yuNAW0JO9IRptn
7PK4tQ7cg9GGyDrEq0Ir9zG0J5C4HKc9O6p2bfsd7+yhE6PxMlqZ2GRNpOEBpSU/V3ZxQeWyqp3s
i52hPIvwUew7RK57nFvGJuk4P3lNy+wxlC8IxuBYo64haQA/JMQp7JaJxvwn+kSP6AGrFW0owzq4
UFSOZmEdIg77aNQXc9uF6jQnZNknm6xsjLeysD9ZZfHmthHC0j7GV4or/mj2aqcNwI5FZGDli6qj
1LH41zGuPjWYnxHOUjuXOeA4ZSWHNia9AKZkr6Yrl7npJPb4fzqUeobs0FVPVYNKHSPZ082YOq+y
3KnxXkz0XQxh6GXalH6XcuofKmPp/VIDr+mOyKuGPPmMErbZDy630c1dHKKwvVoDEyYtkcl3FX/V
o0XuvdbI92OMvm/WAVqVaVxha+W4jsuA+3UxHxeUMS/wK7HjEDiDOIk/EoN2h5HHuChqRHQjdBec
fkTUEovpmiiqfjGkcPsTNz20jX7xbA3O8IDvOc0xL04Y/ohfm2Nc2KF4Qi/Ayy/qeTZzJ9BtfQsf
B7OXdGG3sPMSNcvIszpasyQkCpGMTwhFz/DEysnUYcJa5qv+COtt0PHk61hOERDkByuqPERD0br1
zhFiWx0JpIovNEvio5WyCrU6D0Qpem2nRNYGHaqRYGCAdSfNlmaOQ/00umz4DhNqrxIo9HAWnMf9
nP2sM6SiaPvqi54kqzIFw0mOsPLilY+cVLoLrd58SwPS8xsnFTu3umXEVtHRHVqqTLK9Xqhr/cot
rUcqJiwrXntXdr1x7wktxRPxhHGHwFDVs8a07ZIHQ0dqYGhN45n3H59kafqJ7k7X1C7nKwqqmDtg
2Qyj0+yIrHavWtQaDzUPU8Nx1ocJm54SfPBrA3c8DY0GVBc/ccSQrNffqnqiJ1eOL5npheyUM8TZ
OnpAQOw+Z9l3NgYmrK1wT13BqYeTZBOZ2DYR81p7ctPtIRwQQl29yWhfaMsbO72ZiZmLy/w05WTV
ATgnihRrCTn0c6n2CfBbIFpZH6g1MRyM2FOrTzYf6de4j44ePplT5iGCmxG/7xLG2huZGwTMqIEg
8ey1bwUYNzM6J6jJDwNUNKaM6ZmoO9dXnh3iAanRNToWZWXNkvKkZdGuBrvvGJX3UHW6s5uUTuZE
lj5aJa2+rubBr+rSCkDqNIhulhGEb6kfo7l4ZctnoUKjyqet0+jziNVDQ2iCgMvwcnnxNAQ5w+B9
BAtrIufyNk1Na1REltueazy4yab39lpT8zTr9r2Xil9ZJINZQCdHF4BL2p7sbYJqqoyYdyOcrc5z
QbnchIEsrfewmc0NNARz17k2dXOePaC652tICXkFY2UxAR5xfmn7KMcogFtsuWckSaNNX7zAwE28
i7Etk9RaF9DNGrwSngHUVb8ze13cc2xBqwaf5mFUAic/sla0SabYuvTswSiqoHJM94KArt9WRBDC
RirI9mn56Lt83lVNNh1t0eA5X/9phsKJb6y0FqQ7Lg8H0cGsQluHJdRlDXpuzCj1RQQLXmNVgp7+
3LBUFuTlXpe5KvfjQD7woiSGkyHD4hP2rt+EurHlk0y3BCjhpZzb1TKSkAQ/ospbpvSr7n2S2b2V
9M4XCW+jJdIFvxZMw3Qah2dUav5N+1tlxCDMsf21cCSqwjSPj57WEa2jWXdFac0AAdWVI+UPM2kO
7kC2l6EHFqUUB6PpB3IO3IdF++g4xJbolWEfrN65z7Po3qTH/WC285fZqsMgj/KL2erewVSFTmwA
UtsIe6LfR6Oxp0TbklUsDy3miY1D65JeHKeOmKhSOdNm6FryLwtdHousMYKqsZ5vY5m+E9lRakpy
3eW70FFwdIO8dGVztlax9RSh28mzS5Va6mhmPePkMMJoPXTkynrjdBC8ilHU41mW1T6JYuNiD/K8
uPmPpku9+xBZkKDBs+8WdW0mkfE2wtmvwqU/JUYYxMu5hMF2j74MSbFVa0cmz0BedOVtMz6OBEgD
rSAIAnP6VHlufGdjnzBmkPaNkoG7CDtQ4fj15iyHr75xG8Lm1NJeGreD/OxBkPGIA7sNQ7paaJt+
yIKmMYxgQtq6nRJ6RBWNaEKMuDnAasLAr+PALYzHmu5I2n/X7V2DGMFSoXdM0JRs4rAmd4U8y71V
rlDjGuv7uFoYcYjiE1aCQV38DWkx0NBOXFG0lsGcKnCWsg/JXvfQyWON9o3GVReIyPU+Me2vSSjE
nb20q1EpPZp6/hZOo7VjHmps4gLzgoPXJ9HL7qwc+ezltZ9ZqXYKSTZDs8cJNKvH51K0+rm3ooAh
6ux3s1XSLG4PBrZfk9L8id7eSzGbOvFY6FXGMDvmSW4z3h6G7eyI+B45yW5csDcDKHEuRt9hPBmH
5ET/EUJox+pLW7DgwGxfpZZ8YhlXp5Hm0cPCZiyQtx6JwWQB6bL7frG9B1onMkFAmTARRGDJ2K9p
h3e6f/WjfLwBTshIm663OhTR9C73RHyh3hcs40i6taZTW40nP9DUoqMujNAU9tycixVYVtcfEXm0
hMu7w6PmjUd9ivS7rtfIZolsKEO2zPZl7DykuqX2WpFjmlkQ3sEsQKjSJt+cIVuO09jjWPWKJ2Vk
bGiF9kwieb0nk47YKfJ+/cUeMYMn4dGbmvqpXAAlGJpcd87oENa81jRknwfRPjfF9EkaY/hEtwg9
VJ2ZDwMma9pDAGbmtEXMl7nFoc04teBtwpo3LDDd9OXB7AEPqGLU3meRP+BE6qXm/II+zrtV+lfO
w1qgzO6SKKajBOpuanKjjiorqW8s7o18NVXhAGtrnEeDbMeLwB96kI37DTqAiXPsf7g7r+XGsWzb
fhE6gA238UrvjVxm6gWhdPDe4+vPAFTVqsy63RX3PJ7ICARJURSTBLZZa84xj0VNl2wkO+IQZUW+
NkxHx7gB3SmfkLHEZxmTeJR2KuaihVUM3QGOz3NBXIvv5OkdNXa2D3zZ0wpo7lJP7LeOC8wZsQU1
cZUePMSRD7mF5obRZB94Evtx34QY1N1pzmCr1Sf+ITQ+W4XCejCtkCTnVa6taiRrhyovgr0Pn90r
xmxjGKP72fJR2/TWosvC9ua1BtdcWOkXe2RWLpF+D4Evbq5uXB2zxwPS6fFpwEvtBLHzJHU8jsj7
zk1hHPNuKO9mlVf3tkUR2eajsZz2D/N526EJX3YAw9dVg/K3sfX+oe9KDdCx7rww+zhrc0APj9Fn
M+QACVr0savSbsqV05FIrbDPY4f9YjidcVQSwkAUVaRbvplPfUlk10iqV+aG6jJ3UIemZeLdJ6RM
XiKOH6LeANCk948JwW7bLiJTJMbYTdlQPsbyizuaAFA057EDv/LOFeGyLpfQZ5nWp3ZBI7A9cbZh
Xsxc2ogp4JbKyNfky5ULCmdortJ+n6g182RpgKhp2x4cQEvqEuuBuNABXMTRuHXIWFtrpC2emGoG
+BCAhUkc+0kpwwEMHIllVSbNEi74sFc1XBFub+qbEJHeWc/0DWKe6JjQbNrXpPeJ3i8OPU0WaZY3
Xg7xbzggYY6ifFs7SDV6tVa25TDU28xVH1N6AMeBgvRc3hor/1va0sN1cL4ukmaKbWPAWpbCeqIF
/9Slw6VUcHUZrOCGtApxPJoYRSsfhXqJ11Mjv1WtlvXEMqpC8yUI8OCQykDS+ORqwqpfXfOirbap
5+Cz0uSRgaTd4q+WG0HxaxU01ZuoGx0kWTvSTUC5s2i9aQxLB+VZRb7smewMrEFdxVJcaJYRm21i
QRk2SUzwuOh7YPxwkA0vT9lvpdWlq+toYsEeknpKnC2ir15dKMShkjqUGnTBMp1+2IxIqtHPrpFt
+UT5QO0mrvgCE2eTmlV510MWkm5Yfh18Z2CpjS6LQNpF5SZ4PwV9Fyvo4xWAlPrYerUOApTgniQz
GzJ1ZUDo1HFOV+kLv9tgAnAIUgoUJOBgTmBwLkyfz5C0SGdJ3QK7Wd/tG7u0doHbXzwEl7teiJ92
ORCOrsrTIPFFQIfUd8UQdjsSM/SVquivBorjtcWOgk1TOy5bPr+dXb50kqFB6EzrTdc9zCAo1kYq
F76z0CCzzZgJpObaxR2CRVv45Vkxm6cC1eKSgJNknUvLZcMeNORraTHJ9hu3y/pTZ/YHyR7ikIMA
a1DWrVH8RlC1rJIUZ3HVOlk9sD/n9JwMsgk5MDI5SAItr/hyj1kT94huDe9G/X7Vhk6xtj2PjEUb
WeWg+MWpLHLijcviquXN8KnZoClf5KpXXiuE6AauNbsdq4vdmEev9fnmwUNsXDN77UqeOFsPzW5M
V32TXgnJJup+Slwm44F+j6xfikZ/arEhYzMagJ0QpRa6YMJgEC0Z+b8mio8HLRbFueNv7p3OfFEy
55W1yqIwJHnFhcMyl6LGNi5TDDRxeC6qBPImu8wyHd4LpXFu6WRRaptKo/U6msxd6lS1dNr4Ugif
BW8TP7r6Dw0YF/bwYmBZZe7UIhOfpPsGRfGr1+OZMezOXfsixh+pse3vyepbY7PUVm5VexucbTsP
d0w06hUxorBjfMc/4xz8bjQs5GwKAwtLK8yFW+MIQjCNW008RTolMU1rrO/j0kpflVH3zpmfstuR
2pMTWyRxWV/01myvIoj3pWrHx7BIHrySjZehG3Bf3P7eDYaCAkuJ1nVkyWUV5HIf1OJYNd5AHq1u
vrVaYMJZNfdWlOpX9qInTvnMqvo9rTOxUgI8xvMKLmN01QK6FwGqY/5LDoI2IIw2eY4ufsHtqNo/
fY16FK5MjN4NsoCOyOVFhWLVt9m/ZgQTHp1K/1xxri98b6j3+tj2OKuUdO2ow5phItgEdXcUAy3Q
Visu7yDISUAG/Ik0OxezHgVIDxuFEa9s0mU37sC52TbojNMMOwsJJWoSPjrWZK+sEA6i9t3KwlBW
6N/ypa64NStnUppsNzzjGusWnjumoHewCI1j/8O2gPONauhQEez9ySs4DejV9zwMyh0sEazn7fhV
2cLlwfHjXDrRdAerE4DOdbK6Z3wXVAHYST2yfU/U+aETFGtn0SSN4uhgUbxcRCZAF9Prt4ZdUoVl
WyfTvNoaHctuJ2Y7xRRkteh5U4zli5poJ+Fl5BPU0VtTW8GZpXyxKC3SHiXrpr2f1feudvS9XtlM
KYM6F02p5E2PqeVw0hJCrnQzbTde134Bc19vSEFNl1FkUfu07XLtyI6NXj9ZVOoOoY1fqbt5xm9q
SBJZ1m5KdluFji+McxIbKlC7Pk66z1Yl9oGB69lWL5hoVbPP9ynpagwR4MWwagA37W9IPMnRKumU
quW6b4S+dxlkG2lVx1FV76OMtEtXAghpSgXHdtdx7bARldNmJ67dr2UHNUGWDWdzAWRDmqSAq04X
Hgi985ajtLbx1ExU8eaxjeqQ00MKpn+i73PsQYsRYsaOoG51qbnFKz/D/CKadR0E2qnqiovoemuv
DBjAqaXfnEN2hQVvWlSLcqpTOF32YaSSKK7lciWs6jGPRfUQl6GxTwxS3GMluZUXqzONuxl5p1Jm
31QZy3XeGsVWIk6gUCEJCq1N7algqtqndD2yMrvFpP8Am8PN5zIhYDDfI2keHoIYvEU0yEm/EZzD
h7iQ5tFqYm3F8HGzrQFcQFd4SxEyRI/+YJ1YibbDlRrySi9heITQTu9oVmnSFdawMK2u4mqMhquO
yw3jMBED+CD1uyIZbA1RyZ0LZGaZNzga2SubtCKmM7eACoPVt9kCPwXQZaYejfCKZB2mXHzYnb8m
q8PeRFrDvKYIytVOYH3phu/Sx52l5C5bTNHHF3Jb31wnfW1MiiZD/FQlQjyLdsRtiv4RrEd+FGb7
nT2/v8I0ldCzGP0rs9XKsER6qgCVbHRc2wvK2jAVPOOhNM31yMD5mDEYDb48mCyaNn5vfM2LIXhB
b/BZavkazG/5w6Te6UXPMpX6qWlU/2wwIGtoyk6ioX0gKbcQiTiSOZr5WBtiOldg8F9c9ws7oqeE
itFD5kX6KvCja90QxmcWwbAZfR+DaUcGGwv6U5dSTldCd3gsc5XLpx5MPN5Fs3DdzgR5R03Kt7zq
jsfrRbAEOuv5SRGButVSwLiHwY8aukHFS2QSAV9EZfFFTlYEt8v7a1Fk6r3T0s/46fLbkFU/0wYa
mejCeBt1iv1pHMREqBuVSzbg/Yi60dgItl67qnFCFlBKdfH6WwMFKdvasbvS7RBRMCW2JQQSxipr
AhWYdRGdStTTB3eK6Y0HcRixyODnQSa7R8lJocuJ1YUv0scu7D+5mdJvSFmpTq7WHfWpNGINbctq
m80caO7hgo5uuAiGspXS91R1m+E5ajzj1g688MLgrRVFx2o3rmlCN0X76GPZ3FmtysUx3R1yt3lU
nb1hxeo1zvxtZmfas+d3a1uoyZeS7so2BlOxKTOtfraLZM/Cf9VauN0XaxevMucjhBpQkcqblg9f
OqAnL76DDVw6ct0mKzOuo1MyIiNzEnNv19Cn2MVLqz5mfgN8mL+NA4TwHVrSIX4H8HWNtd4+8O/H
j1u7aBf43/nHfL1Ga7mFW3U0L+Imn+JP1neqwSJfVN2i0zH4Q3KhbbSqWUEEq2BpYNFZO4zC0AGG
HXjj8tTJa9A9omMnaSssV6hmt8Zqvb6sL18uOMsWb3KhLd1Fv+7XYmMein1wC27ti/ys/wR7w6o3
twALUs5Z4hHlbvhQ1OvGpPWxjpKN/NrTrtqp+/g43LqbeKq+kPBCMzLCE2XDflpSuHarFU4wpd40
HQmBO9yrKEFwkKgXf0iGpZn7T36TbyqAaLilaFQ2ucx3gBDbrRs2Blb80lmG+kBma5desN1lF9n4
X7os6blQrTV9a/1rxEJgwXJWAQ0a2TsvzU5x1HZvWQ4MoOmV7Dwgubs1nfoyeumm6tr4EzdClEmZ
xxozIJM0gv9YIkGITL/AW24Yn/TWomIWstwM06OO4SPlTTx+IuBigcdm2NzqboUj83CLAFe5jzf7
jq+yyIkNM6dImfnwnqEG7vP9ru2H1BFzXD/hFD1jQ207uEVVHua7862o4tRokuSk0U470Pk6Kf4p
oXK7KaYsD2fi7M+3frtb0h3ZjWa7CqcUlCyxIXn4XsFRo1+26WP5MP9kdC1zGZglFeIp0M4N9ZNN
g/A9Cs+dIu+KKTxlegddJ5S/PJ6nNkU4PDgzeX4+zEj6Of/u47H5Flibadhnzo5xLWvT36xS5mt3
JLR2Ob91MyC1xKCnu/S0HBtOQxRdRZbbUMdldVRz0Wwz8G5zMNv8mtUUpTTf+u2xsADgpJUxOTZJ
/Dymhb8pbYGRqfKDesWEBhFqgvWz80kPZEHCmZlCyJJIMPQIH4cQjWoRq389zI95dhlT0suOyvSp
zwf6sdROA2eKseqtHtyNgkRCVxn1WzOAsjVFfUTTH+po779rB/+vAvl1tFJYXP4zkP/TG98Ajvvs
FyT/H7/2Z/ClZv0LY9kkCZaOTisE2cWfwZfC+JeNKktIUk0/aPykYarCgLKIHgM/x6Sb/5PGb/7L
BL9KGObk/0GVp/3/0fh/EXzgl0evTCYsejD0/gKN36+CjxFHF9XPhtKqagarFLkpSjRvzxqxg6mS
4FoEro4y0FvUdGu2VpeReqsC/OvIKKlyWWzIc4dC26hnJY5+/uWTvL1rDP9qJhKT3ORDeji/O4fI
Wpw8jmHxAf2mp/YIWYptvzbuFshV6nwoffC20zhXzH0Qa/fMcB9MDT9qmoUNLXkcT7alabsGMzsr
IhmsI5gaXLHsrKQZnmgiOAt1IBqDDql/bdxgQ+rTIhutligl9+s/vP1f1VF/vH2dnZ2Uk0T9dytQ
6dVRxyxs3Eenz7+UYxbSEQsLGPY56fNoyFae5js3H1e53n0ZsETfUAkcE8v2TzqNmJPw4kNRU9Gx
QQXJab8qa+3ZQd4bZAqY8YSiRiCKct+21YOwRXV0PW2RuQkbspxyfKLE93/4P00f+a9fiS3QXeEJ
lLjj8Bv9esIIPfBSJ4z1Oyc6CGYa2EvSUQAPdt6+QeW7sH3NPDGboRWJ5LSCLpQDocHDCdxltw1k
8Sz7oTiiKtnM5WNDPqHNbVi1k85sxWW28FBa945X/4OzYjab/O2tc+0YXFFcVb+r89M8dRsvd8Sd
/cpStZTwYdC2HYL0RZwE7tKmHHNMcTgSfRidsc73r2xzatltTFNpd2EA8YfIWviv3oiypslQO0VI
gwmcYzYIgqMSijMp7gFbRzoBZEX4V6noa3RR6tE3WLbbdjXgBoscsp5szLJl1iwswx8XOhIzTsmq
X9eJQDwAU4JFqO9vZqATYtFsZ+tXFCnqMjYQ84xsBO7sI/D11zmBdHQGioFdyAREmA9RuLJbGK2m
5aN6itTzgJ5rbwYsYvChYzXHw9yhq3l1JgO8BO7SKllzDhUjXjNU9NtKdXV20RrYBbVur/Mtys03
0A7RWmXt/KBDeLyohbvPaNbBqaK6jQ63syIoMNjRyz7SaMSgK6CTVez7SsVMPXlqrd7ZJ0H1WaS0
ZsZeGndfy3dmUpW7/8WpauEpwBNnos79Pc5XAhhpetsXd0U0p9amihTLkoY7gbszTlXa4tLphgRH
Wz37gamzIqQJkXkZe2fhamc/y7eNoyy1CO9q3Gh37HReBNtPh1uwGkuclmbqfPqHt/2riWQaNWzc
AAzMuJd451MezF9NJJai2mFvltqdwtuSgdt/IKHkqttRwiYbO3eRCvgcLsZ2SbGXbRvqSyV6rBza
z6o4ovn5OVdLO2no+wptr8LObk2iCcSRybXx39/ub1rs+e3q2mwCUB2Ghd/H6Nah7k7zXbsnrixu
Kq0POUSvtMRPfpM19A5SAD6pPCAzOWlk3p40L3wOKGXu//sb0X/Vqf/xRiZfgsT9Zf/Na+YOds3U
xLfUpC2xKZpxKj8Rdm+dsoCgZlVpXpL2C8x04zEYo7MnemdZd0Jc549yqOpNgO+KvnJtrMahWZIF
qoZinxdk/JaVRlhkqIBToIrnUzVp+8Tei6B9aIEhXdJiOHQuuGnPxY1Y2iiOoEoPByWMP4eRr/yD
5nyW3P82kum6ShajqVHO+9tIJgxquoXqqveKRG6j6ZAESRWvUanbqzg0H4Yq+mll8q4oiBVytycK
zNLP2tDCZQ30cZNjhSKwfiz3vi2OokYcTw5gvx0dnG4IEr33Rd9/tKZaf5/IESMY05zBP9sUv8lk
aSdDMNFbcS8rHMsC1MuWQRpVdfMtJ6X2iptPJzkY+1hjR+a6mXoxyVRIqpAVN5F506Ap4jHvv5my
lSfNx5ptyuzVULX2vbSqS3QJvgiv3UjPngamvpfGJ6v25E71dWLMMnaQKX9hh3DngEnLWCV5xSob
5yVVVTs5NTCZTmrOxY2O3Bb9Q6QiOKkjSNMyBDii9HayiCAXABC5FLLdMyvIa9iPNSRmcUsrz/yp
hKjggly7K419oKTlHbJQe9QmejQ46nIBKcpgG0WueJr0Z9eikZr4SNGm/5QoYbT892vCmMaK304U
dv02HwMaFjTKv9khQ7QTjRwc7e440LuW9tg+wJzJjnNj3VIsVElOCx+V9QVIo7FZ+LQoZ41Kq8C2
S1TD3TSVcRilhnZBuTQNFX/T6CEnAdrehwUEX5kNx9x7btqKIE7pbPICTDO2RNgRNWvDdDAePWCr
mzYMr5GSWqjO6D+n4jjqjTjLDD1FMVD7EZGxGbtol8ssfmyLEbBybWwSv0k3PfPgogvtfJ2YkQNM
omz+4QzVWGz/7ZPSDWPKyuHz+pulRKHw2Vquod37PP1E/g815Mb/PIPSq0IzVtJSBgpPJf20CfFo
DvXCbxJ6MkafH+mjYG/Lh3OqE5T+379D6/dVJEldjGlsHFRU2RJjz6/zAYkqIlSjobrPDYewiyjF
0rZaONGzS2f8VNrKCUNTSmUxKFeaFadbNqjQXqai/Xz65jqNYnMoTZxiin4Gp5AtgqZVT4PrnMl9
UJaea00c2VzZGHU05YeP0apuADum+m7u03f6Jwq+jIndSD8ht4xdZNdvVC46LJ6EL6IOSWITYauR
0oeI8+1QjM7CLyipGpWK+no6+fE2L9U2h6kBSggEQLOoA8ffaDbdodSIzKXvOflGT9R+1Zk6fisq
ZVH0FkZDc6KNl8cMzaw9SKXMxEuUEN/cSpombU6GguN1Jf4o6LIVGT1LMzPGtR6QiQcfI/6n8dcx
fnXAYdHle+CCghJhCEwA8rcBjcq8Y1Pv9O5EwWSXRIHlYygxWZSoRwDCnEyz+E4bFDDDOMh9HQYH
B4rLE+kx5b4zkWL79lfZl9HFJMSPDFQblK1BKZHQGnVP50H6QD0wn5BmgIDD+gquj71NCNxucDr1
QvjVpiFF56ZqX+q60B4it3+m2AibNbuFTnRVycBa8YGpWz8svwWNtU0Wk+sVp7b/0LXCQkGgHCIU
cMCLREsKy7pvEYxLLumFngXNOR34L7WGxlo19JaNQ4+TGSc8NmHo0eN4sAOotqPPKqm1nJ0lvSX6
Nqo9PqFYlhzSrUrNFwi/gRQgtdGXWFF/er8lmntPA9Z2e52sL9c9aYQ3APlBUUgOcZJFxUTctKnK
pqvcawpq7GpKP7fXdl4kHhzQQvcBwE0DChFfdl2En7SOkI9QEKJYQl8cI9dYlCP6zyRGIAXvjpwu
O7h6vnQmwWK7tcPK3vKy2Okqsq7qCTbAiV5QO4OooxJQsEBfr12K+PNQggwGxQZst1K9tdWLSbs6
nJxcI0GxWlcO6wEkZf0d2TI8xrAJL8NkaOhdx1rrffJtbKJhlyL8patoXHqjOUHZDa5QbCBZXfUA
EJ0aVXhMdYqivQ0BAAFGtu5RkiZm+yMUXXxUOzwDbaxuLen2q5KSkzUqzd3oOHv4euMtBCayGxQX
Cd+gnEeaPaartpewdfRbW4evlT6+pRIUR4iF/T6kGKXZK5FKZt1Qqn0uQ3+8BVm3MbIkWJUaJ0Ro
KBslr7JdEVnxxsyq7waC032PoIaWg1SfqBPtM9RIR762YAku7MDCmPA8E2VtXEEbArsLRB9LuhrF
+TEerFvOpbLrc6c+5yv2P+7WSeFsZs0PqWWEVJVVeI61gca/pVeoLqtq6u5Xl7h0aPE25V5qMjkK
EI6UM8htoL6KxJ6y7lh1yRlt1bkJbLTphgSzWVkNwcCEeqX8t6ygHq6SxjiESR89b0A8AjpSqspd
Ui66AaEiQXqcDuPeVrXo0sU/IVJFtx7O705Ti4vDe3ZZcmVoTs/41aCakrC4CgQJi4uCFTgDMpRY
RbeOtdVClyiR7/NQefWRx12NeKzpoAg+Vl+Nj+jZPHSsE5LTQLAr1f4FjT0nhgp6KB8V+QldnU/7
a5dXTr0AsaneSL5Qb8MIFTHcmym2k6DmQ6rCHKNTomMfQHaF4DnwLnnrHmq8bKfEt96g3wcoVsdd
UPcWuWRtsY2zii6KqZggc8d8CZILf17pfBt8A0a1/tq7UtkioHe7VU9vZ2Fz5q+xSowHffQYa/36
h12H/cWZDnZO6EshKQqxt7OPru8CJurj74A9vNtYd/VeEe4tk+5SKUbjKUurc1m63jmwdA1Jctnu
NL98SYpIPFqeOPqgDy+0gGxqD4tWR4GjcNp+RZTzfZgi07IxoR5cOy0yesIWRkZKTSv7Y44xMWcv
FI1+tEyAZBnOaN/mtYwXBteqV4ILfKyL57v+zssTd4uQMEXKobO+awsgUVVokf/UZoeOKO/Ccu0b
VpXXghzzeLLuGBFoXRqhayx8n01/AORVgJDTmgJ9aGtnT51xzWkaMHxpmDspyjaoKCvg3NREKndj
R+0KpGmCAQpeo9b25c5vlR9+TcxbU7o3ndy5ReU0xrOmiWfFH+lpSBfNEpVucKsQdzGB/Psmu3fu
b3tBAZzdbHHAj1kc2Bbl73dF1UMOnX8i8ewzKo8bY8o2B6U8qutxqsy/35/qvhBBJDkyv9Tl/V45
C7tCpj4FyDeFWf7lUDoHNchpD6VTOnDPKLvGW/ad8I3yYOisiyzbrVeRaQ+YtTjY3jgc3NxewERo
d4UWLOe2gg+vdStEApBSGdbJ0L69P+wHJ98S0TavaQOW0yHRXSBtwOypmJjhKi5IDU6MCVqCRBQF
PjC7OSV3PvgaIXhgu6sD5MtvVgLe14rJrHQd6JUiU4dNl8bPnuE9lzACtxJjyMJJyaqd2wvxEDMB
+T5dY3QgRzvlYhnLVl3k4/AofAbqRAD9VrpD2vTmvp0y4APCst8Pv90duxB1CulCk6IlJBMpJx+o
Sl+EAu/VHon9nQ+jjYHg4245KMYOiSVQQaRxynRgLs4P8935ltfpxA3N98HjbkqNdCLdTq9lrz1O
8iRi9ZiS7ZjWcsdgvxI+elHIW1PeCtkfVvakGdRBW4/OajvlVwR01xSJWBgF1drWfqi5dUb3Gi50
1bTY0xIuF0nCCuqCdppBV2bVG5a6rosOWVvXLfH9ZBeUlDXGs41H62atiPitcypw9nCpGCsBGbSR
taJ7u7Etl9iI3F0CLR7AQSCRr2IMm12R8EFRrzh0pfpTcZQ3h7C2QLG5PH12uFGNqCfs1iUo7r6K
jJXX0vdkiXOCBZhiq/T3smDuR0NW7IL0LQVJ38m0WdUjKqfKxDenZC2Cw3jeq0PZiZVHy0SOT5eV
ciaoa+gCdrsc9OpIaWiXTm0QBB2opoJh5FKbDkxfe1LiUV5P98KpLzM/b741P/bx3Pff/Y8//ngF
06c4WLeo137/m0nFkLr4+DN5oeLKhtj2l9eO5ueIokXildoHFEv8yseLo57KSAkqfpRVTlrI/IOM
4WlcRgS4Qtpmrze/wvyTj9+b38p8N/JywZofDrA3KCuzDGmLpT0uDK6QTJpk5SlskGRWfw9Dd0vc
hYrUtxtXmHlgf1uo1g/zYRQCZWqo6sRS1gz4UFEFOgowd7JY9kAyltIETBoCVDyqFsinyCH0k1o5
xbBcfKP5iFZY9UnOaAsoP50ZpovUdFB+1/5jJyVX8vzj+dCwDzpI2yE5s8gNFKI6mpz5J8yCJl7S
EJkFfbT5efND82G+m5ipsVNMc1VNLzI/bsbyj1t5rFI1QBC1+vgFVvIY+tktgwwc5M508U5JpcY/
ga/VBEd+cBW1EkivybWEAbkLP0NZfDQTU64pP2UH1zNJ+5pvpmCR6f3lMmBYm342HzpLJaY89Fjm
ZjmLsKbQnZU7t0CngzN1Pj/u+qGbMCEYnLofD8p/P/vjsfn35mfPj328TO9V8dqpJKNPpyKgx+NO
EUFMl0Rk6IABWbM/eXVHEOWckA6HKDl8HNLCslgV/fvBwSQ6/T/enX9QT/3Rj6d4aFjQJP6nV5h/
wHKgxVMVFTghqXW8PztJyG59vznquF5Jdf7zb1dBVG9NphwTBjXBYu7OlQEm0vnFPp728UeVgM/x
4+7/63lzN+zjd//yH59/8tuvdE6hrEcdTF9+Kymf1gjpp/9ij7JMy5fz66C7repHdXrXRF8kCQZb
Ppk8atOEbIKJ4IfPc/7OPr7R+a5TCzZgSRZzfL89P/zx1PnW/EUHWeuNFFmmXyCmShmWqZ2MWz2E
dw99Ntt1o5OjcoeJzUa8mYa5cujMcT2fAf0owupzP42Azjx0WCW7I60gb68n8dVM02QfVSyeUtH/
cSgrCb/6475resoSIba5IEYuX9ujyQ6Dk2t+UVKVsoMpNI+6hHtES0bQq1JuMBx2y/lTnb+XkoXv
RhTZU86ubu9OKxgxfcFj/RwHEzT1z6/949uZH/vLV5TPp+n7p/5x041yTpugaV5l432zFXTPphlg
icNMvhgbDAlOQT4CMJ5j7yodUkyzRzYc4dLL2XGpciMVaEJBCLzGct0GLys9TCPqIjyZjb/O67ra
tg4SmIylJFqKsTzTgjj3hSg+mTfFcvWTTO+uZnr7yBn2nuphNc48vJK+9nWEaHZBAPVk4rXZi/oC
2hnjdmLcsQiJHYWWr4hGK3O4GHZEvhNDMHMeXaIKP0MmCuscNP7TWGI7tGPjKewK+Oh4PzIGK9wZ
IeFkXeuvlYC5vg+c16KE5581HZZckhD2KvGW8aQmryz11fGltWkF8Wu11L6g9CO/t8NsKEBLZQRE
XmFubfDgdEtXdXuUF2zoFWN4C8b+NZ0Q8TNpTZ0CdOkwCdYGjrUpK7jjemQLQBxZv3e0/ts4GT26
BCwJrHLvpoJHtldVapT30BtewGLb+yG1v6cukiQVjReqRUCLNsRqiPnBg12NxTZvw+cWceKa5nC8
0rBjr/QhI+kt6cw30VIw07XR21ZesCdRNLl6GdWqwI/bTRFkZydUP5mDYTLFukjtoa6t+NgvQDCa
ZVCm35RUTc9tPuEN0nBHHfTGgIQvDuD9ZJu6wLRt97GFNcxRk6dmir2A5vW1F4P6QgyxqpODkym2
vXEUNVtJMWwbizTpekQd7UoPlEbEVBgWzqHSqRnwfXwbbXKlHKKxA3Rx5FRGG7pDPxGa0WVWE2up
Vqm2BEMbLw4JfaATpMf0ZYpEUvSnvioJnPQC3PGiETst8wA1FcucbIUTumjsM1pV3LATwnOrtG1c
aQ4ppXIhawUzreKO6yJrr+3QFDtb69Fn4gYwG+A2ttncBRRZvruBHmUio6NXI1C3gUm+JEx0irSB
FLjePg1pYoZEaQC33jb1vW7CaNW0hjzFbf7itbaGvS/YF4iBN81ADVE10ZoSr5ksZTuYoPuV12YX
R8Z96CPSRXzYc2rit3h5viqK0hFySDthqHAgGmPtYKgj5lO3zK1za53FKKTCcJFfHIrYaxiA1ffE
8QIMgNoL/RtWsBPxT9O6NVd3dkHovlEniqZO+vZRK8nnynVxSt5GWs4vtfNV5MPDEKTuXQuMV70w
+psHq+uQDcOZFl5yMW0yc1mrtHtUeuQiZNVLOcUJiyI64yAPTxiQv6UlNSoPCeZ5UJJu1eBfOTjg
/kaa608kF647NezXs5knrbKXTpf5nv0peYkKjH+9P83qUTsguIi+yWT0O7ba6Kxn7sPAB7woXUPZ
EWP/HOZx+QTiO3RFf4v0jTdpMWUSLMvMOiikEFEqpiuqxTZLJMz5QHP6bRkY6pamTb9ksYnhSgEh
JH0r22Yx/YMiHUh1D6xlagLnEcyrZVRDEkd6cqxH51NPoOHJqEZ8HkQJrmD3qRj/8ZbrrqEfWXhh
h08IJNcKfdnl9tLVUlTbSfh5gAAw7fYBmpX1ZyXrbMDisXtW7PTHUJPJlNsbnjJlaLic3WqTH4u+
aR6QHjyKUlBP4O7KHXOdbotCKqb91YlHMkNzeWn8qNoPtvJFZVd8qXPMT4NPVhheA3RQY3Ki7fpN
qNmT01dPtTdIInHsXWaO5zDJP2cKImez7LeqS6/V6b+oWO1WAJWmnJHSXU3tR03/oYb7TnPKN+2z
cNPxTELoGoxSbjfaUzC8BrZOdlJrvCKdt3YIjh9qM/w5xxf1MX0TM6OaCyW5ZS/7hMQMwIE9lPtk
eJBBoa7b3sKQa6XjY9dSYdRTvgAdVhK+3kVshcqzJlTY0idBytSTD+2gpx1wMgvRLOg82MtEUTx4
Rq16HLz/4e7MlhtHsi37K231jjLMDpj17QeQIMFZs0LxApMiFBgc8wx8fS8ws7qqr1n/QL/QKGVG
BAfA/fg5e6+tHsq42Q3W/L6YdevjXe+u1lCkflnibXPFs4pS/hwVBLZP8bSd0sHZKyEnwFkREazK
lDAcVJ5FMp7JJFMuVr/FeFk9o6empWVUt7gfc/SeWo/K9KtcvXYO7bpeH58p5WygLNV+ysb5h9HK
CxiFc2uk8bMbAVTW4rQ+ojWscLON8asCxOVRqDTCFhf5z2L3j8P8K9HN5ktpbeLla6yXHQQ91i5Z
cIwedU+IacbTHY30gGT1OHfsaU5G/kq/Dvq4IfDILY8Iu3v4z/wmJDznZEzFt0xd/JFmT3RLaRNY
W5wdcw1+b6mh9CUhcWflNlRlSvQK/46ZDtUlSqd+N1o4B+o+h66SyvR17myvgaQPvj5Pb13YN1zW
ORMPFyT2OBW3KbeyY5Nkjc81sWlt/dS3bAx4MNotQKrfttVd51LTvGhOPlFfikNUrMt2Ti96LnDw
NRSVlF6Nu8NjQOueIDbW1uCuxxd2tz8aamkdJkcRMIrqjvmpqTwjrPWgv/0p5n58q6z0KFWcNiTU
krKURUR6J9FeLdPlIXblpxHP5aUdCiIymFMfu0dFMAS0a3OXstDvGbtwlDfFvp7Rxk9mzh5GV1S3
D0Npj6+0Vrh8FYyIjWVsSiMyURfba600ftKcV/cZ1DZ82aN7MVMX8RAAQ3eS07UZH6Pqg39yOYx8
CrtZW36QRW56sxrjblYGhLqzMW9Ck5ZpyCezQe/5Sqgn9hvFWqE6oUBKKt8jzBNM9HSIeqNObAQS
7a2hMtutQtjeaovpiUr1h2lmr8NoUsHSYnXDuttCYbGpB6YXaRU64jKST8YxugFyKHepzYtIFUNs
ErIQR2N29rSFaa4gRVXtT/ze2lUV5EpGeyPPxw+jaDXftqLvqGEyVzJnepwmhbKyi8/CfZgitLt6
kT2XEZfykDgDRguWf0oYrop5uWmLkZIuUzMoEu1t0SzcBtH0lnBqpoO8JC+4xy9RhHW4tmYS7gj9
cEIzMFL3d1JP2V4duF07BER+KtqrIkEsTLNB5Lsp3iG/U9VlgauPxF9bBZdLX30zzHmyel39TYou
jWTXxrFqVT7ZulsoYfpjlYnXeMmXzzjCegdjDZG0UVMzDhLTpMTtVOm4GF0B916xiGtpoyNbqPqm
1sWXqCqIKu2I0F5bvNlc0MvrYX9eotg9V3Z+02xBXY96xE+yHnyN5KTRUEufOYr3rhSPSrtWXmFG
rFov91JzHkmUb4JubZeoC6xCXavKXZbV1Q5jyzaOzJ62MGasOB8RQKSkUiGhtj/cKPvpxHnuWZld
n0dtwP89RSe1I6lRylENOlmTPBoZD6TeOA9WMe5DQQcjG5MTI8GAVjZ9FXP5qF2yMGoWg5ZxzFbr
acOV5M15aNuw9ffGU4pmZpNZpDLXClAP2OTZgWEVf3piYJdR7MeZMW1UVz/f6U/xGlqevgLZCL1O
Jc8X0ypCJNd5qCZoiFJXP6Y8A22psaGsIU0FweWUCh2voDKCSky/seXfpplkaGJIUxTWp1q6D6hA
b7pGs4Uwg4NcBEkyq681t8QDXtKPCk4H1AH8XZreesoiQi9l+raH5K56lFUpmohuOMRa/pTOynBw
nV5CS3D+UPAYeK9bEk5cE+O8BsKfve2G/unQ1CNVxeAQCetMn3bLAMZU+uTVUiV+9hZgWEjZhPOC
SOJa+rITdJcMgu/RlG26zL4WsQGSTP4khFF8F234aZYf+PKmJ5vopaw3PkqkpTfhVu+FK7Vjp5u5
r1ftTL0JLLJOLStQtP5USuCEcYLUD8JrfrHBIxtsLMgth/yKFusYr39nTrzKRt9A3NNehqwKsMzl
TNoWcDSxxehLdZ4k6282Y+vMyo5cmhntHOLCfK+ild9r5uTAPFz+0Bt/iuOCD6uEWwgvAhyEPQeA
+j4gnl8oj9qjs+ZJp9FyVWGWJuCZCJ4TUf5Rm6P2oOOu97S6rkgzKZfbxDfhVUYTkmpNHx8aNLYP
AwJV9zAT7nmQVngszWe7zkwwyKQpT5FWXvR4eMxSKEAltjkc1jMmJ2xwmQbFxtVi7BJOvL/LM6Mk
00ElxdmO9XVDvwQzdGrhViMEnJzlATrwWoxLZbp+DQbzmz7FWCbYRvOYSGJVFddxbn8Bp9+YDKjP
gzMGqtMuh54Iuw2fwswIeEF+TuT1/RpHJruVUV4dxmT8gwxxH2s1f1YCHxsY1nh4igc/magpVfNU
99l3HXXLFhkO5CRGx1CJ8I2GufYUe9Fb7ChnpjQlTp+fSoVQE09w8oAgOt1GNbv7/UEidr3U+fw+
StEHVH7gKnIryJ2a81kBVtpMUSJlDkJ5AjkCjjcvrQO+S/6AnoZU0oUKFNoVCR3oRjA/cQb5C/Oi
D8eUJG0gpPXb362BFUO5gupLfjnJM//fsIONfVmsyj0XnEfgcek5xLC6C6Tr/GbiH7AY9Ke6lY+1
lBrhora5I5DsNBuCL1y1lAsoATCjtW5vtUl5Msf5m/N1G+Bf/dKnIttCRoyDMcYJypnolFnWDwZ8
zsGRsYsgV/1dLhWxOUuh7FTTak99TxIN901QDaVkInY3NvfhFuwiKl2z940CYkB7j8Mk4w/CFYa4
jFhugHWzfqixTNHbn0x0BLN6VMhPZHeTpd8W5bBJGXzsORE3Xs7NtaFtk52KUk39OV8ebLJVtqvQ
pm+Y3cAPKz3NnVwffQLqK78d+oBBhLFGugFA9sVcjueO09iBOvyda6Y9tcZTR1fjUUr3qmDDYZlU
c6IR4SbNOhb5LiZD1EDdE0UmtkRXgfZJcWOmxSXrjF0R5UZgq2HKGk14z1IR7gz7B6gpndejnio9
/vSWeh5Z1460sG7bmsk7rg55sZqC5PaI/AEaXImfxcLdx4TPb9BhjntFUGdWqH5P/GWzGXKLzfUc
2K2N2q0BHqesDZKsw1MLAP4yVdGDHg23e5rl1GlIlAsy19h3Oy+tnBY8SnpWEQYeC1OjJM3MPHAR
CvqGyNDJwUhi6ltf82z1e0oj3ShzlfuKkU5bYHq20ulP5px+lyMz1qgtpj2Ekf7s5tINLAZlm6LT
/iitalxEm/tLj5l9JLBxayfJceEq3UyN0weFzfhcrsPtOMy0q5IHsi3jc8XICyEkvEjmQ9MR0uX4
gAfpaNOfUeLxNrb2a1UpF9vA2GwKrSPASD0g7pgvAIBMr4NueBHA/JS6IbRtPZBEtZVeyWN+X/oY
EIHUf4+D8PLc1YGq9PrryJLo4gB+GRrS+8xBXOtWr3+6Of5cM/ulk57MeVx/rokoDmSIigKefeLl
Rk/WvE1F0g3RLsSZ6ZcuUc9ATQkZzYoH5JdYchvuhoxwRYqx1ks7O/UFvYcNap10i5ZyPTKM0A4Z
eba4cUYxXPSpRhRV6r4I7TBo4KTTy2JwPjbFwhU5c1pfi5JU09JjVHFGYHzJpL0CdkNembckiB0r
Y3wxQKEzm+0MBgahTsALXgzAEESCtTsgeVtT78N92ms9EwwsDG1nJszv1E+XCsqqGz5jWf0YpFSO
cLvSJ81gGFL5jtnMm7slwXE4vKgmtvm4isDYRtEXNMyBMeNTxHJxjZXiD/SfDaT7NHAkuZVt7OYE
P6GCbfuCdZ+oTfilsAmZoyg7sH/HKIWmIIoxJZL8BmKv4Nw4h54da8veaV9BBAJqgnx4YARvoGZa
yDEN9e4In44sjNwUR9nNlGlQP3ddmWgMnMwddzQYhYYbtWGWFyo3vSDae2hMP0rV/qRKyE0x6qbs
Ieqm+HCnA+HyN6F6xBUerPpZZsJBBH4xGOEH6LxhHhBp/Fd/TW2fSAVdbk3lzrd54bhADGFKJlP4
PldN5Ue6E3lmVrU3Y3xgN0rOSit+3FswmRjNjRXrWiA/jDLTmOEiCCqBuXHfmBNDxAG4UST7vdJ8
33M9pmQ0H4ph+G3l9sklaNxf2ap7K8MRKybr2WoLZVOXFrIJOBnsJO7j4GrzQVYNZ1Zjgo0nqz+8
7UejTl7zItK3LS3TjWEB1ikqoMLdQBdlXCUcMZFTnZamWyeSKrJbUoJzg8gPPYZcDHbtmMzm7u7O
x9BZb+2lWHZKHNaBLkraf4LK2jCq7EnXsldnSJ7cNZI7ipIJYAMFiK2CrlDd0tyRrHOdWtGfKoYI
6tUsQ3jYlfHdI7HAZg/rleyhreuinsDqzuXm2uMmzZXJiyQ7XEKlsl0SMXFO1uBFOmuBMaBxbCvr
EgPIOKUyvI0E2DuitD7H6qIvsXM2SEve5CnuEytdfkuliQCW9VxPzVLDH01Cau7y+y6GDyfnq6js
9t2jV5V6seWEe5U3iUN8aW82kGJLf7WmafyzEPQ6c2JCHGcOwaB9UXAlN5I36fs1U3YxnPJhAFF1
zsoMok2JPFVyNxM7Nm7ysW8u5eicYYEXT/RtiQxMbLGlmnrtUvKyGDejHlgpKwiOPkwCSE51hEei
F2biN4SzeGmbdf5ctygeHEAIeoOBmEi+mZzLKxN2crV6lcm2y2yf8OaXmZEEUl30IYAeID3Z1hZV
cR+0qkaYd2VeCH47QKyH3fY8Z3F1sOIm2gFqs3Bo0HpMwSd5IPB0OdGlV2a5M7v0R81h+JzaytsQ
Mn9x0HyeIlnd2mQVL0KW0g2mp9gYo+PoPlUiFaf7Q6aYXHNt/pSJ0EC5aX7HnFERDqOe80al+JzT
K1VyeYbUM71DY0R3GvuFFmNvKKT7Upnuc8aNcIrAEdqtu97VkmbclNHikgSWo4Rrb3rl7N1QBUWC
aNCh7apgshFu9qd2B9UX1cJG1lYXQ5I2wpClO0D2pCAp4+5oofnXpHKusz57TaZUPjZfelvvi6SU
r+zO2rmYybxr6r2Jb/9ZRVnv59rMyEYz54tL3KQCeYJUwcxBxNEs+3tvQWueOKKQjzpWBAUkKAxj
5h+q0ySB+nuKlfhUg9fbS0N5Ljp+0ntrO3eae5lzeVDKRCC5b+ojBrifSd07vpY33FFOnRKRC7Ip
mXRvpKgVZkE+XFfQw4p1yJZ6TYQ8HNc5zUuWIPIvUIggFyIy+w7u3Qx2UWw5jNiEOtbPamtM+1GL
d11siKdCzHujQ6tXOhosYvmzW1YFzVC1T4UUdNcgfKSc1U6kKzuHtKBRqCVld6oVDOeTrt7ionzj
I4ALtlCCz4b2YMS8/YIJ5QZxe76rHfKi+kKYW4OKeI9Gtzk6dFjiqUSyZ+vnOVO+lHGw94VTLTsB
i2lXJW9dlE9BHI6z1xX2QGM1uYSFhKyRDd05cyKSQaY+JyX7y4WSlzh6/pmymnoG8hUcP9EFLiq5
4rpBeoOWshrZCfl5EyYOZdSMH9ZAc1h277LMYD23yotBSNS1jVi3hKmF+7ohVnByl8dmGsjGnv4U
DOX9IeZ0QctnfrDjML1NEg+9KH4AdG+PJZYxpHlwMIZkGdDIFt2lJ5XZHyzODzr29HGwLpiOrIvt
SkIC6+xQOrNyY9gPlY/RB+265jqNnqOG3kIz6Jk9x12TAcSphYTZxpmn4NIMBveJvrd8VpQ/2dyV
e2aGw4bUUO1prOR5ojNC0HiGEidKuNpI1zzb0rilZlneXE3k16x9/esHfeC6QJINiRfBnm0W4gSK
OUVoN5p+YoKhYtspXxJ95CLRouFsdGSPDD1grrFZRIDjkdz0kQpKbzlRMioq946KvDEFsF4PjKz0
SCnPhEG+9yS9O6qmPpQMrNoYUEA2rWjCSmvoROnB/aTIW0D1myqBaDu+35T13rE6BLa22OvJ0m+E
OkMSSmjeTen0YEWcOKPwsYm1Cdolx7LQmUlp1jNfhuXko/ndE8PAmRYn4ZoxKy4Ek38uOQE2U4+E
o440e2c28iNa1xMhwoLMbOUxaocUffo8BegYFaAiQgTDXNMC7h+zwhjJUQJDVo9TzJiDsWPVsu2T
8tDCQ/EYYlGxFpTFSGKgqPVsDjS7HE/Bf+EVnaQsbcuTqhAEObEP11qLJksUJFK3p9oC3ttWyOYG
wH0b3hOaRBhjTk9DLpq0N/ARDEdGAkuEDGZzjmFZ5c5GqxrhmQlyfkPvjHM1aqdKXdIb5+SKo0Bi
bZzYYhZRVCVm0YiG68paoaE/0OmmxxpYYpxfzNRMHyOWrGieEbWI+XlsLf4PlVxvtM+boVrLs0Tz
w0U/01zAaJQCk5jLmdS4pkeXg4Vm1mL9RRi8UyS8ualjryH0nRWs+rYNaR4U6uJrQQY6jbgtERf2
TwOPorCnjeiNjoWpd07aunjmQu0Dle9NqfVNU802xZ8GQG9FDemloH+XAyzkjCJFbKGRXu2TCS1C
hljHMqrTh2ElxtkTrd62S7tjhdyCmaZ9rZyOaAAOXPA89HeyiaFAd298Wa9EwJF7kTSjZxk96gJ7
4typxuYuNvXXwSi/TL0er6Gz13O35fzMAagKXeoPO39aYgzJU7MvrL760AWZDXnynBOy5iu93T0s
ZX4wCR0uScHZ3Cdz98DICspY0Gkz356eRGw4unbVzfQk5peeeGiszJnLApnNtzIm9SG0xw/LMXiT
oJH10gggkVKAmF8KclyQv9GWoUTNttmLLRNM4pkzKBVdqbJyaDJ8y8mPdWIgAIXWMSaul9GHzk43
JELBnC3gP9vZqPZFTgu2G0/9PIwPLxFipRMcZ3Bhb5RONQh3cL+WbFSfWJPACQ1GJQqkML3IX5FK
Tyd3RUPPTIqm1jKO/SjrS4NgZe86yxepv8VJ1Y38dH9WghA5jVJ7i+qm2oVGSbwMIFf49TxMi4Ez
VJnpJWXtBbCab68ZPJDhqcw1aLC6jmzMSSKU0335NGIfYpLM11wMMbLElNCoUhT4FeSivcxN1EDA
xsbeRBDfYL1PF8ism7u9rGC8+rykvxBi3YjatT9aziuxq31Uk+jhgifVSYAU8roR1oitiJMhV1NB
QjOwLZeLDiUYyN5PZIlg7k25J3FtQGDWQx49lVXbb7USRLPs/pRJ/iOm8t8zfqCri3qdTXkBEjTk
RHmm1F95ckyi6Yep5ixzYDO3rmNwiMzTz7s+Yopm2tNjUl8Wc4w8lNKoy4nyQ3ntVHsnHl5icMmA
NlgpaUN99ryQFK2eh5rij9ZZtWdZ3MaAAle9Crw/03zLIbsjz3O3UVr+SpMl32uhsp11Sztai3Ux
Q6cEzIp71zX7bZrMHAyd4dQwLjq5YX6u+kgC6sbGa5ZU3UZHnErllkdmxq8RvvcjZRL4X6bcdE/Z
HToBenJV9QyNThLxbOzgyNXHAron40AyerI+b6GLEi2MvtvZtTndk2Q0lM1cxMySq5c+c2o/clgl
CjXEeL5GR6XFTDorkQge2H5uJVejrTh2IbZ0cs3bvAfiIUvrMUnsDH2qdUgvaCDDV6OtGcaz2m9c
G0UKwWP0Rov5E2l4HahkcpG+cKGVRdmvKz7QVf3VycR3XqOLYt/cg0XGv9HWqN5h12QpPd3FIgy3
mMsAYdUYjEgQCmIyunoIjFFVAyX/wuhS7ocyucU0ZD2cJW3Qtrbf2uNe9qn4NYJjbvxxIUun1Jub
E4/NtrGUbDv29D8BS9heIgdjG0uwlTH7zw2w8iU1sS3n5Y+clpqHnUigpyL6WK8EKJ2QU55ANDG7
BFEHbtbhe7HFtJsilwhekWeXqeh/TalGXxK8rzGL11pjRFILqXiTmeIW7/LR72DWe8wtsAgCxLUd
V7twQHlsQq05VlbzERkq+Ok2f4AXtDOSMbq0jvYw9/FCoxa6EgvhfIzhBHfEZjAPY/7E+W/VPI5X
xRTqoVnap7ufoDO1FwSe5aEjFvRqmukzKPIhWAr7rTOJh+sq4u7NUvltjewUeSxrSH2ui91mxKbH
1GkDp904F133GTU1mRzDvApIrb+Mz/+/gkwYwDlgR/7fIJNDOX7+4398FzCv58Pv//rH33/gb4SJ
q/5Ts+4eXgLr8E7+jS9x7X/aJogSWxdgOnR7xUHgd+ni//qHafzTAhVAKiOmT9LMTCxy/2KYqP80
bOGSFGkTnCXWP/W//uf/ZSZu/9vP/0kJ0YS7uu3+bXO1yKEzMAjbBMjicGcqvtqP/yNIb867bihE
4hxrQ77TLqUDQG2wNlL6mmYM/dw31FTJGUke2LSlPcWVNdCB1T+V1Eh8Gi3ZHjkb8/plOFfOzxia
8cHY0slKXlkWvb7K/swzQ8d5dn9P4ictZu0EmoTZ+kDVKhP9xVAXf6ocgwKsOXPJqdd+fA0bVR44
XTW7fsxedCyFj7Oo6B6hn6rGggWfVDq7oCNuoyg7ytF5NitnDUER5N7kez1qnHNEjRc2A3j7igQB
o1cqzwpJuIoaA4GSIEhPE8mBU1u7hSb7zjag3kodo0RmMC1ex0iW0LYpeDUvrEzjsS5sgI707dt4
+E6Ya/lLY50Tt5sORAW81tMS7UTWIo4NAZKapaEAvJ2Dfuw+xsRQrgkk42HU4401hvuw0KZXScxq
ZZgX3ezzL8LkTtgTg6hc5scpJL8AKPjBMTIgXLlctmGprwEpDnjbQd0h8SqRAQhk+xWMQgVOqVbh
4faLxEw3tTsl28HBkThbdDYrsXDG03WvrOaFaEQjMLPD3GFHpJreT1bgxqLF9Rn7roT45sTzl61k
nDRpMPtilKGHkONqDr22n2yowk3x02zaVzhxa7/c3Lfox9gCrd91Abu4zewWywpQuFGnUHMHkZOh
LO1DKR+6ttGPvW2MvrY89blWH9vST226tZrlpPsMUKxBw1gf1I07jY4vaDB7FfIKw4DDFY7dqVCa
czop7jkcnZ39Ro4KsFB3umQTmswli7+YqgwgvFWMH1I/dpF1Na0yh+ubTEFSfiu8PEj+qtyRvs5k
Nu0/cFmO5JnNuU9ZAjGQmEhd105jrRJJR0PdT42mQLOTISazWnZfiFbDgGKytGhpm/roqVH4W7OT
MSCMxNxIdtqtTOZk22lJt6lowsLKjDbDWHeeFRGx4djDzwK6ZEAG0AXhJ+2p0GLsg+crV8qDJSL3
tOhr3A6z2zJ8L+cbcqLo0U4DYyAUIm4ATXGB7VeHNcq+H5ZiLKcZJeiAZ+xAjNpj0wzGZSjH4Zxq
f8y1ARcrxK4zl6PxrIQUKAVhZ4LYIlsbixN3HETURj3lZtUfKhcQPElg771dxcwQbRPfbW6f1fKX
gvpx7w75B8RVVKJOhlWhMeJju+bHCeuq6uG5USrmhAlWFzCgH4aTQ83tNESFlnIb6VRzawNPYR/H
0nfIHXVVLj6Tr1Ncco16BFHLGBSIWe3KRBA9F3JjOp3YAfTduKRagdtvrcDq6t0ksi+6HeaevhSZ
q2MWMXyVP7rM9EKOTdFk9Rs0Ylni7lrIeyhunxqO3742zyvdTqXNkJxIsFTgBHPVEMygLVYSjGk0
IW4wEFJwNlbL9jHTlz/AX7aOzE9RMvi9OznbxFK/HTvC948hUA9Jjghhfk5p/ovXTV65FFBvk5lz
Q9v4TsFQVJQgBKwFHfbMQIl81H2XfEw2+Uhhq1Bz0QEYFsef1JgoPMP07LnLN1ZWjqQvVfTXWtot
T02J3XZBqrG17Elelaeoxi4NN/+gV9nNbMdh11v2rwGiJADhNPIRbxY7jlkWHPReP2CLWBACMNWz
04emtQffzST9qDHaFx3HFXwVQEoVJ0jNm03A+CaVTLah5akbhmMMHJV459ZLiNbhR0WLEOGxRUmX
YkNSATOa9XJu9QJld7ksVBi/rchG1SCBWOtRtMtNTr+z3fwEoEYBPPEu605UoNbFe/49uSMUyqJZ
Dg1nfQlVIk5KLMOJgaIzKX6Vk3umgpVX2TPt7LRO2apDGHthf0hiXnI5UOObTekeUEMKr9atatcr
34ur27tkimuvnODpGOO3FCNQXpigCLSM6I09d9dNyQNsmmSrMjfcprCL0zRmTSryL9NWXhU1PGnM
8oCSA7SM9GHTKcM74khfUV2OVyl9McDsfuHixcR2/swU7akeCmu3TEbjGwyI/AHnyW6KmcE5k3ie
Q7UlXkjhPE+VfJNYSN9mwwmPfdqJTasLdG0kJ9HM12boO2aODKqjS6hXlm+20AEiLHaQA5aHUDad
7/b1WQtbLp/Vnr2kYn6QWl5ysdPfT9Ll3JU98q5IuEfHTEByoDD1pgpggO7CzxO1om1Mt9b3sd4F
5lIFuNmh2Eb5Fhz8siVOgjlJ3Ddk6NAeGBAP2IO1XA27QmZl5/q2Knvk1CN7gjNVaLGZfcwOfr+h
flXVGUp9RHSWGNA3tzOxOz0kN8/WV0nOwufWLBqjk6HMmILMLL5kVIw22v6+Oud2RFpt0zSbSG/P
dsttYk0lyJKs29uRcWXcPB51BaJunMhTkeQwf/FihAIDldJpQJCx/LGzA8sfiz1OQuKPqlLZORo+
3RRlGuBwMiXL+DGhPclouqDTUsPa6pgOE3TvASBOfadhMq0BAlKAA+OJIi8V1V3HZIANOKGXPIFD
2DTOCOFCdy59ZepB80yosBLETIPwo0YvIWM1wmRQ1NthNRCOMJVB0w9suSgBLJtMl7AuvDhNOUVW
A+Y+zhOVMp2RNiJIHazDeiTz7bFB1GYWOZMFygBXWlsFPHSEJ89J4uigdg6GUcXmuNsv2blvZ7AS
UQShdFY39YSy7G4E+cvbkmVp/0xoDByvSg+iRWgrS56ZWBTNDEWY/WzDeNUcglk49o3zW+8wsg06
xx78Tfff3p+ZK/hS6GvTcSr8rB2epzXekFYc06lSjFxlin0kmJOxaJxiNeYyO9qV8RNMRcPxbwAP
VRlewyIWqJ0aWGrPLGx9WEBI+fixPmU+tn5kDb+UO0qS2gCFYL5+29map7NCJXNr6TEwoIaYCI41
45X+kLgMcnpZnFKdI393N9PU8PSx+Qr2AUlU6trb3qirlxatz1dHDc6Aja7J/UVOBYiMVrc70nQS
E7uRFa/SPNUz2tcmt3fYKlSOvc1rKDtJDjZnc2f1E8PnP6flzCBo/SmqQNUsA1RNgwtxTvr6eH+m
N8rfz+4/3h8w6PJhJG7Qa2NzvD+0/+fZrBsKsR+EHYXJiYYHpjb3yQhBTNQhB9GB9aToHdwLBVzT
IrVXvzyigo76daeZ1cP95Y7CcPaxjAJ7tdJmqzXu/mCMHXTLf/9MNJ/woZy8371Fd5fRUEUZ+Ov1
tp+SZvBIdlhtYA1Ym4Z8sHb1O5l3X9v9aWvy8Uo1mzb3603V3slQrAES4Lz7yz11f0pfXYIqJGX+
/rXKlWTqWD0GjL8e77/QzPJhsVV0Fvr0EQG3oc7k4f7s3w/GatduVmIqTaEtatUSGDs8cn31Chur
HdhaH+4/NiTCMY2o/X//ioExTWe3p84qiuqvj8W6fyz3zwpj+tnSk3CnvxQNDsXYasxjuEAjcBYs
y32ix6f7Q7s+a50/dU+WZDyWM/sZDW8ZcUYpi3o4TveIENsOQlUMx38/uI0cj2omyp10l9d8jdis
4lg5ZuN6zaHy3KB6hDvVtzCVeXAGiOuq3X5n6kIaBprJhR6HCBTqjtU7+fcDPod/PStW87m6AFWY
lO6ji2HU3h+EhoDFd+waTuXA2kebhlXdXeB+807tpL+GTRPtJ3Ppcy9smyeXPvju/h+H9WY38Ptv
uhq9gxkt4OJgAQLIL3MK8nX1sNcloln/tfszDb1Ihrman4cuekucMSIYhO/o/l3cv6hBGvnOLsQz
WnaGteFq6K5hIolEs0n14Kr9b9dvi/WaVlg6gfn414UtXE5Zg0vOIyy3zf1Cnlg1IOwwLw7IktvC
WOMDYR//z88L9iSxl3naxweOE399BPd3eX+/ZqKT3bp+LPffsWwXEOVjnAXDthoIjIxV4zduwsGL
JwyxotMeNU7EEIsgResNtbdBNiHu0A/4xxtHR8DfdSmatvJVKQhhSx1GlzohAp7rdN8EqDkO7sC7
vr+RkgXWAWRXAOZiHwd038ydvPz7YXIbbSOwGGNl81wz6317wc/alAHD+2mjJ9bTEDuQFhDwKfVV
j8KHxl5zZ2g71Uj4I+zJnoLw3GzNp7Irn5Gos2P2nMUQlQtJ8a7lcgf37DINl7QofoEle1MjbfAy
BUoPJPP3XH1LYzl7mVP9IOLvh46oB5wzt4CWp9eGgMGgNKdHtQE6VKP5nPJzEo1wRuh2U1oY7z35
TR6Cfpb2tt31gom2ulhyF2V9sJLG/VIML2mlV6eo6S6dwWggymK6cOiq10JVNSW0bsblxMCxv0Zq
dyDcuthrBvKCmfDO3HlJoSZtaEScnC+FPgFqujyYe2dEr+1QfTnDsTWhpza/Jv3RWZ6qLEt2IfIe
r87lObamLw4k+SZRlKtCV9dDK0sgr8lp3XFqOhHkKsDDiOg5KHxjDbIB61ZkD7Mjf8NnIe1vjllA
s+iTCQQX4KwiWu7l2bEmtGIC+FRaPTnNgWDJfY39ZaM5BN9ZZfcgBfzVmLBtzwS/wFALgBF8+CUd
LiBRQiHgHv9v5s5jOW5l3dKvcqPn2AEgYSO6J+UdvRGlCYKUKHjv8fT9ZVJH3Ftx7o0+s54gUKgq
sqrgMv9/rW+FWKEYZHRNwylhEPbSNuShoRtDMk5NlnudwOyuJ4yrvDQ+Ll2Zb6Y15fhX2liPreN9
G/gRlojcs36EgeQ79kOTpScv1+/rrEPjQpetapbvROKgDkx8qCBje2fRQUoc5OFoHM1VmMXP/SQ2
GJie5gAsR+iDhcjt96YRzaYXCE5o52HW7m/zatiSYor854w2GpV19rON6bv4nR9tsK6k5mRf6iTb
YuvAxAdzxahjd4vlnR8SLVJeoeSdDzgqQ4R48dtiplKfRNxk6lyRy4tnJy0u0JMOAm9Yl8/n1Orp
JNBYGCwMZCR4RnnztGBQSw3/K+XtYG1yHiE/to+6SEuY9d5tRgwj/pxrGKZEpGERAYXxUpb5PZ8S
Ook/r0Ij8UhDY+JlZdkOUxEASVrUVEp6qs3M3N142UgrVTiCySHjaQINejCGhXrN4Li7eGxI6Bsg
pFu2i2nOv42n9mWZA1zpNHGA+7w00FhWY5seMYe0a9KGCbhuQhQ8UzqcST9EULBoXxvEIfjcS24F
x55Jj1tCJQk8gBJRPbzqJqpQ8I5b24S40wGE2Tg91F8362771vPW9DSiFIRKFDJW1rKY5EEDBW9B
/6seCdBN8k1iNh7ynqHh37v08yjLNflAJ6xFL+4Bm5htuFitheutGXXSK6BhYDb7mdU2SVpO9eIB
T1tXKIox5rx3M7DXqByuK4ZYq0UPSOTJ/IyMIaxW4VBvRiua12l8P6cRTS4SylfhsBcprqkqj/yD
noKAcl0N9TAhqboZXiKdDkg46sltBUtq7TcCeJV770fEvZeDOWxwjqNQm9xdMjs/GVmEW9EPNMSy
W9cMjdOUP89tfMe8eLkYgIVLny6T5vQ/RU/bzK8pSDTidbIbfb80+teCltN2Wawzjn+pKqIR4EUt
Rzn+7MbdLglsGi8cycOoMARDXBDelV1BGAtyTuTFMXdWUgMnkZ1XnXQ4OuxPcTzftgXV2DwVw16n
yn/CY/PMXaPlkKIQOBNpEY5M1YCFlb1+7yfLm6OL4srExL1eXM25ps12o/t2zMWZ5g3+BBraaLTS
ITzmuMipMgiiJbyfCcD0LdMQiO1aTOsKVhkkLWMb2dVLS8X6wmVtE0/sTTtsflL2mHfNVG2ElVYH
EoEfaq5Bp8Kvf0bIKToRcPvMm3dA69mqHn96yUx4A/4vHalWaGV3cUREJNa1bGXn+qVr+hurzn5w
i7m0XMh2OcN78FMvmB3euaWjop/maO0TGm/k+jFJfqS2Qxb50o8XZ+TemDAm6y2BDMCDTNbtktZi
KMstjROJZpGGYxO5FV6UEq61D+jtlOMy9PxbY+gJUNC4yjCqJftCH00ug17MeFR7c3si1wFTCNDH
0Jab+L5J7fzaKcZh5eQOKBZp7+Y/Yfe8zZhYgz6uqo1mjWIzWNumvyoDYlks61szIVuwh34kyprY
p+W98Tjlyezc+SUSBkG3EWEo0UbdMK/Qb+TrETlbXUZfS4w+a3iZfg3rbxiLG7G0811gkzwU5jHA
PuIYt0s8kfckbqwe995Qu3xhM1+VupHhMnfu8Re6UhiVHGr7IEQ9XjTHe4t8+0pjFrZxrBzOp/VY
pKSCFglRCnHJBS3sSRQfxLpvqsMYB8nazKfrmZDAK8FRHS/jnlzp+WKJkfTF2ex3EWmGGY6oNjvH
XCXWmlMu/DQ1oNQy/EI6VN611pmCNxnC/cqyjXvkFVZmkIbh7pBVfE9F+ghSuS08ewVKixzTPvLX
Q28yZ/LBAeQLFTjHXBVet48DLb6dh/1kLPqJMlmBDMOv1rpt+5u4cehdmrdkHfabzPqSUt9etXLK
qBbu4KzrtAgORlE9WlzYCHRAF79yO9T6CcUhurTlllowcmNMInOccvMPf+ZTUJ1pmOGLDUwS4XpH
XgyngyayK25zYMR6/zr2kYdnU/GQDG9xdw7M2t52DIlWboWrLBDiiZBOHswJOtv01Q8IyaIX0Rzm
bPi6GNMb4ybC77JvekreB4kCd0FSAlVi3NLEdyLj87TuiETOgv80XbTcs7a5uzA+tl5te65OHboD
JsrHRQdOQdP9vbfc+7IuhlXXdhtbJG+Vab0tVDxwRmod1yKmmj1HnefBroqHZNuVAQSDHnIl+4TL
cIpo2Q0ZvaPOYHdG1koLy/VIPOyKkum9qNFqNHW+tXPA3YZ/DBzYcbhm692yyFLSmD83QFwh1LYV
xUxxdPDyUfLoz/NUOKfIsW5wt9WEqSTaqsx9Z9PGZXXTZelOT5uCGyNqT3fIGKE0aQ3kilRzPa82
FFTaXWy/ImUrNrr+va5wKPrsx7yKTGTKxoQex0f5imAIg02dr6k6LWtOcTxQsmDeG/PFra/HhaKF
35SPeYb/C0xhj8dGcrBmpGGrKqy6k3qs45qh1MSs6zlrgXQ0qo6Qx0mPKo7Hn4u4AiFu2lzpNcBC
02xUOHLgFJYU/jeKtqVAW7Gas3kcb1GcnAApwfyYijt6ItOOAQ//QW76XAyj9Ky4HtIY+U8hXmct
AsamP+nJVbLkX8Hdd6iU/B7NesYkc+6HU9FJlSsAM3udxAP3lRJVPQPEcDz1dB1Oo1zwAS6LERYE
XbFdd74mpjWTpO2MJ3jgI5UcBoLLjC5KMdQmtLY03OiMqIcYZH0YUaTGUCyrT7EsckR6neOGYTgT
1nFypN2FAYN47o0rCyK2XPwRvYEeEK2RCStVJW4o0NoUiHujyxipxdmjPZrNzqZljSaVBdGZ02kZ
Ur6Wox0COXFOkm48RXKh1j63lfp4241ovhrXoCgvZ+BhILUZjkHmpHr8uRHq5Ka0M+OgJyO7dum2
TepUBw34zWmZSBxfJwHNosZOMI41HTtelrPqwsN3UCMct8FJm9ue7paW8D4kMO0JW3V7UmuWfKjW
5Ctq0+sOQFOtTdtZDbGvt55wk5Pd9QMHfp94Jx2TIbLSxlozYDNPuWOap0quDUkdHl06nwOqgVOQ
jhbuy9HXdm6T3qhtSciVU60Zk2Wu9N6hwFn074YQ0BDsmtGEhtjCCgbjmNZv6oHaTAZxR0QzeXFS
eKAWze+1Px4y4G23aSWQkchPpZWT4JDdGC1fWO9L8bFQm2diao9Tede3i52vmCYAq8uSa8OKeJjJ
D6s+ccogYU02hLGu5Ge05sU4OXKhHqqFQ+71pm7uiWMeVnnGbgJLqP7/3z6E/DiOZ7v5apafQz0z
cyDEAUPmaARyEXiPVt3cEHiGlx07B3OuVVnrX/KQycriIjeBz+GQRM7Ea0ZHok8iOOBrEE1lXS+5
bzCmp6StDVSz26C7EMeREHCfvKZT9sYYaJ2JeVzNZo7LrIzfIRA/lR1HSToTIVsa9XpJdYxvMwAQ
NNIniqflmWE+cwlMS+shxkhkUKjYiRkSBDOabirsPfInZ9No0eanvsFbgEs5IH/cbMIzRd9Gug2a
2HgqjeFdy/gGzoD1KUw0fgWCeOiUcuQO7insQPWAOkAZi/Sydpr4A/j7H2k9Dtv77f+W7/hOd7kh
mLxTGoXPR/v38vo1f2//xxddPewe/3zBP/4oyodfH2vz2r3+48FWaTPu+vdmvn8n4+fjA4TvpXzl
/+uTvxQej3P1/n/+1+uPPEYkjYYr/t79XfwhIJbAof7v1SIP9Fii/9q8pmX3D9XIrzf+SzXi/AVS
2/hX7A1qj9/KEUO3/tKRhdAv8q0/lCP2X75l6Z7re6bhuq4k/f9LOWL+BejfdDhjfMPRjf9QOSLc
f4YtoBzhb6C7MAgE8U0dP9c/lSM+fJwuAKN9RtEabCqS2reFnIX2cj4KYRCLOjNUjamqJ+es6JC5
VTGJzbXbbEaCltQ6kR7cGSw54yW8j+P9gGFglvNhpki3IYM2OU8OqNQGuObkdHA1y7k0WRvZrmR6
Hcl59uRT4eoZqVZMwVum4gyN9yE31RXopGtqb/uaSbshZ++6nMcLJvQY/DktmeKDOnjw/fIpWZbr
kRKAV+EiyygK9BQHLIoEMIMPPkUDOzWYu0fuFUgpJgKchiUFBiErDcuhkHWHmgIE2E4IvLImUcnq
BLpL7F3ZNpN1CypjVRsjrsjlKBV/WJQh5aLUEZM5TOFjoQDSA81dYWQ+DhOha0H5c4x4MQUw7JiW
9YQmHD1b+gwuBL2w4DvblFpSSi4MrctVipdt7Yfmd7A6W5rzMJlrk0INBRsKN52s4CDaB5lFZdtr
tG8dRR5SGl47Ek9ptrZzcjRkLciUVSHmSFttap4QXILpH2EpURC0e4TeyBzQTzgAZKgxGdOzTslp
kLUnjSKUTTEqS/kVWg30g1EMMnC+BEBI7aoiQyDVjw4lrQ5HhrcgBzYodi0JsZXeyGSRCMPXWlbE
NFkbgxVOAfU2pWQGf/LB6sm+5W/s0r6iIBXDbB9NzFmiouI2UHtLKMIFqhpHWa6hPAcqhjqdrNj5
yz08jsr5rk/AOatsPHX8CHNVTvcMPw/JTCSq/0YRjLQvvJNVHzzaE8gO9rUZxOV+jIcj/vqUtm1N
NVHWFTUKjI2sNEaUHCmueIeIImQqq5EVZcnSs+BsUahkdJzuBlm7tClitrKaOci65pwYX/KMwhjA
5noVetLTTBUUq0xFURQ5bXaw2+gakirJCrJyGlFCzSmlprKmWujPAMq+QGJBzz1YAypP4zmlDDtT
/6Moa1Kc9WSVtpb1WggQBKhOu4pCbjk694T+wqqxkKJXI/dpjHay9isoAjt2e20Sm6SF8Qbo9v0i
q8UoN21ZPbZF0291WoGiTM/dNBpr0QlQM78XrYNGvZQ16VxWp1tZp54lkcaXtWsDITyl7D4FcJTK
6vaS1WT+1DmuVnaRqoBTCjcoicNnZKoSDeBqXEKKK/iQxSDusm6wDqGuDaAqxY9aVtmhrW98yu6B
3RVkUjBSEbIwP6puhFz73KbVBjMLKkqSTCoXPebqj7VWrtmeL7aT5b38ejIBTV1nsk/QW5/r2iJR
p32T/3rub39OAhWtCuQUk6ueVjM2IQ7Mj0dpw8+0NeJkhulUdlDlSA5gOsLtuLAZOVttNDDCjr+7
usOUpdfr5gAhZ2diPjvkBbbnOPABF5YG8Fqyh04IhrtTuDBBUGujqG7xw2Ou/r1JbU+kZHiK3d3n
6+HH/XrnzL0ESRMTMa2UAECPvlklln2+uCa8Kpl2p7bp8gn1ErUoYKMcQ33/ueXzVTFRjIyYSsmx
p1Kl3vnxlzr199SGIcYn6w/Nzms4uun5P7S9HexStGuPgOrIqN9XY5q8Vh7FSEIJ+tATxD4+EUNm
wHmJAcSUbn1rtEG9GrvJOufQkHuGg+dxACc9z80VRWXz4BjFtWoD9R1a9KZCIpO0iN1NMmvD5RUh
xj0EW99c0nhVaTJBAbX3VCcM6wLrMs3DYx5rFAGg76AnAqxiLpl3alyzPhCg/NR6gNJcoV+0qiL9
l/rKNouZOkfduV9eJoN6uDe3Ac3Bl0aQ2mlrXxfhMczTcMBNU9Jdl/CzgI+Up2ppX+vWoFBbiPaA
KeENZQwMJqqnB9Da3lPsB2vyzdJDF2vOttK8/Kh54dd67t/RZLT3eO/LW3OgXOwNW1fr+seFLtJp
KYvbPoCOg9qm/IJcCFZ0dJ8nUbCD9NRsK0yd1BL0l6GLln0a1t4p9WUYo9Fvoh89SolrM7pDMwX6
JacPCN+/PREyi9Oi6OtNEHbpxqWiuOZKAhM5D48Wofd7B/Kk6hUnUrYeNaQsIznklPMQ18tWHNo+
PQfUDJtTLZY4uEFSN+4UnHJChpHCHGjRM3pWL1bVYAecIi1npOsyUclwxU++5L3INvHSx+RuknSN
eICmr1qovnCioho/H8+Vbu6rft4ju4BhZEItO6lFxwWYviNHaPPRmpxa1FGg7I6V7Fv+oXRQ25rf
T7hL9awVk7ali0t/WfaM0d1DzZ4L7CKMFQ5UBoNVrMHoVc/iNkzWsQmgJu9IFVo7FN2rYo6PqNjq
k1rYBphYdP3/khJ4wv7iMIqnDsXk2mZUYFpDcTRkNWKRi1gWKz4fGhG4PaQ+A70Bhy7mJCsWH6sR
MLWTeqyN1rBN0ur7R7PW0ZJVwu/JEcnPkAUFFvVsdmdwpt5atYfLefSoTg9UEeR+XVQT9YM3WuXO
XjZm1V6OkmXDL1zhAoNy+rmXFQpViQLUmnoiowFvz3q59SXKVelS1EIdCJ8P1RqZi6CeK3rMar9D
pAZOJhexPAzUtkqFnwaNg9LMqZ/UvrfwR/06NpDvsBpq7UtQtDZEUb066vEbPsaOBnyAw4oAWZSB
8mf93V9HVJxu+wKZ2ec29Xtj2Tf29tQdPpvsau2PRvLntsX5WpcJqt5upK+iflPVCVdrac40E5mc
t1bH2+fi8xj8PBChjx51Tqz9oOk0xsPMu0mLctl5suutFqo7TtRSioJCbhxjQFFZXL+Pkov8se8+
zlG9jOiFy9MzLjoubem8+dxxbqhJzO3vM/VzH9ICYQQP+UXtm0Gdsx9n7sc6vcvvbmJSGJB753MX
qT32xza3wHZTZyg9P89WR+p5HLXv1NmsnjGx2W/rSH82VGarPIO7puUXUI/bxOW8i1EcHxn2UWuS
k191yqhTKZJFKbX2uc0Ijb3bmtZ+ksEALel9KWxZ220B1EjJjSXlOeq5jxfIbdBZcyJfe3fj61wP
dcn5d3+v/bENi3K40aSf0/LAPnBv7GJ04rjXpmiBPRsve1NdOH5rUgo/Mogjb76pXahEKJ97FGkQ
N1j1uIoL59BSL1WnoDolyzaK9G0YGlwp7dTbguILDx8CnY/r7LUPsvbjlMRqIFbjkgQ0e5DsOC2W
NQMp91btYuD/DPnUmyph3BVJ3iAKIbz0bwRgdcp+UKCbml5E2qfMQOQJSZOGd6s9/bfHredgD5Va
rZlsdsoSag/LRSUv3LramA+YRVOkEPrvy7MtBT3qoVpTC3XdVtuC0l4FRe0fPi+XWbCgLFGyq49V
/v5XvP9RskagvfMlmTqXX8aZ0zI/eApkPSng9cdzGAiWrXrFZDA+OqhV9RTjsF/vVQ9DE9/n2nS0
N9KUouiNzHGMhfIrDQZfSa19Lv7dtgKEJCewfMvHIpc/jVr94+UTc5VtvkQ/1fZMvS8I9bNti3iP
/ftfb/t37/1jWxotDp5OJHDx73+M4ujVHe0RrhSfpSTf2GnLamM03Q/q1tyOCoPTxwq5AanF0EoT
2u9t5Mdzspk6MKTGdPfTmJ1zrc/3wpH7Qr0jnGNW1VvUm//dn1FP/O09uJC3NkHVhfzyUSO+4Jcl
bl3+748/9/Fa6MHEdnj8GoYYyFGRz6uFIz/vx7PDYgG55UDRLHQcZKlz8agMXUcNHdXjsXWqGYUu
4FfoFSnaRFmkjSOPYUFRELnHzd2QC5yQvLtSgqSuNNLT8lDKwYBKm6jVsACsK7swyHG6W1QY5Rkx
R6Rne9V4qWULKqhozTU58OELQOBmxUWmOKmgarVQDz115VWPEz83uFwQIK58gB8LddlWq1UnOIS8
ubsj4xHZrOh/IONvAO8wFtHlQiVkqIeWuiMkxZPngoGbmeBh2KbGMuhU/gdGq+q7qE3qC6kFciBn
P+TZvvPtqTq0UrIVyVEC+NV06/lVtAK93JxCObbQuDEw1ZNiKj3J0nWPOxA0Scy1T7VQPpNG2i6P
cIMQ88EFFIXrV3S41raXiSnt79gUg1xzK257bL9celWmilprMCVgal0ILebCrfoN6WhyCBryiq0e
j/QVD7OpA/+x9fKgXJOq9ZCbNgScMHgB+UI7RfUaVLLLx5puw1fUVmMu4Akl8nt6Ukqn1mq+2C5Z
+quktiNza14FUoWmvrhaOH3Ub2gbIpWSg4q8ANK7Ul2jkrk88ttIW1ZeH6CdkP2iMYLtSsbHfslG
ergqGH3WwtvaLqedOnBUVLu9wOL7ldreSe68FVxqn8wlrJM5vZqeGpta7eWNujD1eV/0mEXkTX2U
gzC1xj7ivvC5UR8ibQOkKkGUyJf4XNCFc/cLYpHPTbYcQ3QhKXVdG1AiseyGgBuNbiT/QmW3qLXP
RSiHiJ3RfsFi6oH8lApTde9Sq86U88Nb6IBRj9iHzmIyBqMl7NFK1xtbCgXVolaHmh1tBNIEBB4a
O1g9oZWCyUFXvwZy16ijzfNzVHzqMRkUrEadQNJWiVdzMM/4+GcGA3JUpxYfjTc4QD8p9tVbkzIn
f9qEbl0Q+asaS344TicdGRmTfdloUo8BUYyHFGPo3zpL3hDlsAUjVPVqaxzTlPfs4rtqKAU+XSbV
avpsMv19WwIexR+R8YyXgVQsrKn5eN0H8FnBWDCuoVCE0sVPyZRccgLDOkd7GBCbnmKsELvIBGHs
AfXYu+Rab0kNw1oLtnPb6N5yC1py1gv3YPnQLav6oWoX70wv4xGMeHBoY0KWOuF8NY05uox1BMF6
0W/73igvWXioAu+K4XZy1c+6OE9GvTIS9FZmGG1HY+62sUHslSduAR7qz15spcd0qGgvDe59MtWy
CtMJOvLuCQsZbQfJ5GuC5S5F+naoW7c707m5DALUlyThweiwd3GID2lxtCv0cJC+26Q+kOot8xNl
MMrUChSJ2XURGNpWQ0iGcZwj2qmd/tj1/QEIObqC2ravQ3e5JHGvUQqGT0gq/HpEqkpQAx1YQyP4
x7R1A/XUeENlqz43iajPaq1P6/dWAECz67YiTVwNcnMa+9pEZid1zjXxWfO67psBVjetqSJ0AVkG
oMps1B/XYBYofDIb3+UJfjSL3HRhlSS9RyFRds31Mrg3XM5glPVgImYzy9cYN5OVVejjPszG/Iao
nHWEKpwySNhu7ESvSRGadjOZgxfTK3S4EjgGhGWi6iuBtGiedyUKKDBubeSriNoMDsCMUuGdXWmP
mQ8lwnPxPGGFu4Hc9l2mMQjfHLeUWsGTLxiVexZBF+UbATSQVuAPkIdFORvIUcaKzGTxSG4auatV
nBwse36adDPa1gkuLsUFqeB5bpO+/4aes4GoZGTrhsr6nOhvTksRtxh+VCT8kgOlU+H3D8sU04J3
yEpEGbbyxWjuGklOWrLkvnaMZi/qqNsFLaaJwp70O6wvq4bkqc2iFybIBszjsJUw2tVkQhHzCUTR
3g4Uwdeg5u29rUnyptnTZobIQmqV2KV5uVzCOZSNtrinl5aPx2ox5zVZBCtyln4M2aEbupVgCHtZ
tATBbUimLsO+tU4u0KolBLd18xKutpZQauIfY5zRVhn4jutJq8AFxK5NMbpEv97TzIi9+r3D57BO
BVDIlAnmCgQXkbwtN3uUZaup06FCTjno+a47AFzZB7ZPclaZmRtIvltRtz5oO3NcF613AxXwjH0i
vdS0inUkiMeUZi2sSISQhug2qiX1H7Xt/ruu3P+HTTdTOIbxPzXdrqWz+r/Wr01JFtY/2m6/3vqr
7ebaf1mySUZMqe2apnJl/zJse9ZfwjQci5aXJU3Zgo7cL8O2cP6yPY+CDL5sYfI2vNy/2m5C/MVL
Dc83hc/1xLfFf2LYFoZp/tOwbfnEpgqkAESze4Yu3D8M22461XmTtckh1m1r70zVk+3NENkSSJ8V
8aCJcKO7MCFhLTdoL3WhsRGVLu6LHnVXCgnyZOcQv8fCua80qPQLTr1dvCDKG2cGcZxU9u0QMI6u
hluHhksYFskDoH4i4OMxv7R9VX0RDUSvFBmmvnwLelBZBXPKaxPN0TldcFlSFcGaFxvuXe0vmOwI
dHpw057SigNgxUDN4ZnavOtMA0xKGftnZ+j6nUFwIGCf2t5VExpqouWn752vXUWeofHJnYx+nJNx
6YAfPBjz+KI3tMjaePoaQyvV6s5GiowfLMmd8ss8Q/lg6DAcRUa0KWDMp2mmM05GYnXVd0v31Oa0
FMuKiIXKQ7NCyzR6gkSE+THbZ/mSn4kBvJ6XuzlAZDV49avv+sUG1PXegAG+Uyi6xFmiPRwfUObb
quyMayHiL4yFp63rRJt6yQfIoIB70/ncEpNKmE3xrEMLzyrgL4m/PJYOainNHpqN41jvGn5nogyp
6yCb2BD+Qm8vA2+FMbUgofGAcOae+by/dc2H0TXXcWhha9aNdqdZ0DEARyVt7z/r5+QOrWdBB3V6
QRg+7vIpGxC2JyQNNH158PfpGA67dkSH7RvFYZoG49aahvuiGWCa9cmErjEDY8xXMJ2L5mXkDAGL
6EqtQExO3XbuPPPU4quiM9IkzwEqcQsW8a2GAQL/p1EeKusH51F9SJMc78Ps6DcUsDNamuKxTZnw
bPGbS2nsDRwyc42suTr6qIBxtJvTvjK7idjUqtshqd5bOqhfx9eboyJghQl4jSKH+6klNZMC8snR
CtkR3kztJ6Gqb5Wmz4c5rMWdrp3CIRBHwyz8C6SoCt1JBS0liNGo6U54EiZh2+RAZJtBxEicg8Tf
d45XrBMZ/iqqgmrnAFqFJLZv6gYFcx2i9IKkLx3iQ1T0FQhNElrhrOl+K9CTMuZ1/fslc80rDwAd
9wub1mpmEcYHkCONSVDlyKKvjAt2TGgwMyS+hQ4AIdtz7iaB49uI4C84UFaQUpPXzccgTEyPA6DL
7biqLJwLSZhDpKQDe9JgAWiWdG5IHl5EgRJwzPxczCYePQl0oode72Ems0/HnsQSUtvMHHSvmJ1h
5/bVloz5fvVIgEJ/nprojbhIogKJDFqBV0cylmSbUkfk7QGgX1yQrfNyPyJqBKTt3rp6XqxzQ359
SQkuRNkcJtJKN6hnOwC6HKxVAD2qLIiNbw3pr5BI+3hMv4CJam790iTKLj3FaCKvzNB7jnCmn7OR
UAiStFeDEwJnKSnQNW1BMIdnX3HufLG7MObKZeAIz5a7ZTLno84YDPFJci6CKtrBIY+2gPayjd0H
DhkOabXBy+uuen1YVvqcMXgn++aoW1wmGjRrmzGbzGsRQwlKRITgE8CBVdeIg8vkxPirnZ40H2q8
FaPmNRMDAk3jHX1MoWj4UAZ6MRxMf3ku4OXduNyUXaPU12Deh5O++C+eT7jDQi7SKrHzrwbRPaXD
YL72NMjrCRGAurvra0HuRd7RsfKn6b6KjXyduRWRBuRzACuKOkzwhgv1wiaxRMv7m85tzDsr1W/M
uituvNG9WxSCtVyw0IcwAGs/oBFbu28ykgoy6jGskudwJGfKyytvW2zKIUmOdKjsFfTQ+Ai3DQtt
7vrbrIGEF0cgHWNTSw5Jpb3ZSTk+wAq7KTN7Z0Wiv3J06KlJ1pRb7kPlxWnEHSEYX3D6unfEYAJb
vKk4+reRHuvXrY+sqvBcMpOmod+H/mKuwx7KQDxYwalpcYzV7mtIk/NZBHNwbTXGCVAF/twqGA99
ogHCTPKJRBnNZHpj+ztnSXYwz6bbJfLKb4lNiqwrtCc5U6GQ3j+BiW9NwnFQ1sLVM9CT613/M0FD
vNOwPjAmg7lsFzU3D2ZLhzy15nPtpS9ZbDxAatXOXhARQpGlj838vRqCm57C0xMig5dc8lpRkm+W
1EHuDAuPfmJvIvbkp81zV8Kda9k4yylRDTwY52+MXL/NUqU+5Hm0Y87tH0O78NeYbFuUnF188FV2
fOA3d752FJb4QdaJ/1wzmyG4LrwlG0NmrXjRQzKnJsrb+H7SUxCcQDeLItGu8gheAdq0jVH5w9lq
zegQ18VLEGHOHxn/EoIHx515Y76fGOHuh6Dqd06TmHuHVilqvBJMVC8YbubTnsw1/8YTA0A5YrXc
hpgGe7D1i4++dlUSkbr3FmfcuqixSVFBH+JFUIgbGVsyar51BR//m2noG2NwzKfRKKdTnBi3C87s
dWM59r3FMRSOpEsjUTt1gYGK3jbtPXfqamNmmr8Za/OnOc+veQ/rbDbO+lD4z2gJ7hkYvS5FBHlw
BnZqpe1TOPiMzju9by8LAYFV6r1G1jyeSm18gTOpGYC6nLoq161fpVemZZw/biQugpfIIxVvTlzY
30CzD03LPbHvO5MxQGds0qYm4sACzuRnWbNazFez1u07oixoQeq1uJiIyrE/cqeOYIdhUyu8Q9P1
+qoxovIRge6y9T1u673ZCGSCc3PIBDDDxhTJscyZBWBKOelB5h043YkhG7872T0Va9IlpiDZd4ZH
VEedElOfhRtYKP5Z1HCwRlKEW5tqmCtuwt7S77sOinAVni0jPjVzWR6BedJwLrXzMAXLDlAsHI22
au9aPzj7XIAuJXDGdZTm6b5tWucyFNHJqZmRJDTQaLqDJl1qRgWAuNb9eFfDQJSBRtN9qPcPXavZ
j43RoeN2dKrCNXjhLgTVXnaXPPmWCbgpHoE7jW7TPPeDbovrbB3FXnI1LXGPBr3BzUXgXbGn8dev
Bi8L9uznFU6s/NtoEWljUpStxtBbO7THr+OMY7+smuIQzZO+Y08LbDRfPT9suTTC0diKTguP9DIw
a3n+Zii9/mZgfhl5yXgBymEcgjEAdNbY1sbyam/VDCaUT7t875sp2JWTsXOijpKwZYF8Gb3mVmja
l5E8p7NVP3SuVj4kezWMSPXSWS/GfZIXxk6vibAe6Re9DPW2h8k8aVRc7JS2F8MOy2w3lIPdK49x
4YZqYLOPFtxQrv+1sO+1yBpvLCnYt6IexQXhDnXLZDNp7wwTEXXXuWcPoVvN5OeiU6WxsuKcDfNP
YYvo0tHbXRUh1ALLjcXaj7sQC32OLAfXex8H87YwILd0TdLd5gy1JugeIL/7W8as+SXnV1zDMsN4
YYUZFbc0JeiHoGMI/8Yuc53n3ESwo6WLfsiJ68I5ndqradC7c2qDYxRljOGlxN3lzU9WCxJBmMGj
qwHuVXx2OxlvImmHkyCPAjUV3hXO+Y5P5JjaI7J1IOzNi1tX/AXcskl9U1nFVoTjnY95DWT3yegT
vKqUvDYwvPWTDaNSjrDrxIEDPZKA1iDnID1imO4pdT9H1FnS3q6O3pBz76yW+9QARxJH81UJYX4K
p+mWcKV1j3362E6WOGpUOnyHcCChMQhvxpJ88jbVd1FW/CgKbrmBJuJLWlAzjGfwwFHnWtedN+Ck
nRyI7DMxtZ4GwJOCrrtrvQXur7yjtOnwJW/IvVCDIT4vwkQiTIauemhhWchZgHmzhNWa8GD/4koT
YZ8BAIZ78OBOAaQOREK7Osru0txKrnj+lDmesXEg7yI6g6Yd20Q4AMdFA4guGIMXgzKKW9MlwajH
T2LWqwrM5RmLw7ekpFPZaEV2+b+EndeS28i2bb8IEUgg4V4J0BeLLKNyLwhZeG8TX38H2Dei+/TZ
sc8LW9UqSUUQyFy51pxjNkPaHEmeIjZGS7IHJATbkjMRuWQKsr3dqK1neOZhmEmutpHDISznn5rh
M7YmVtZ7MIfObrm1ACXin62mZ9NT4rFFEn3/zQTeFD9WvVmI8d2XoQZ2wyrQ+Wg8uyzHsY3/toow
skFLJtiLYhtODVz/hKY9VaV31MwVPAY6UtdayP0gNQ5zwV3ZaDLZM7vFRO1eSq+dIG1YgFj0cQtg
BE7+8DUaVFgW54CNbZH0K+c/jkuLtvMW/EN99lMaOg+kWZN4W9c8Klms+aVEqhp15hIQ40wwtIfm
ku2eObRWnHJvPBoRBh1EwMZjVYsU8UsThwTYGNwCsdEEeZR+pBnxkjBXcDyvywAf3bbL31LCcK7d
YljIJnHvAkP0l5j8pb6apoPdwmwyjIhJbFm+irr8wO9/SqrRO9BuHgNjZq0P1Ryf5Ty/FLo97qte
h6AUmitch51u5sBCD8g5FEPyuqyBn0nWVpin7DXQCTCR81LbmDMM0qz8OhsKNnByQ0Y7bPeOpo3k
hKn3e0hN2MMFzLtwCrz1tmwNfEiTOZ6KLLvUqn6HD2tz+5U4Z4mAPiNS+QRShNtAquqcVqG9c9fs
qAka0aZJso/BgxQ6ejb4K1qKu9G1L5ahlQhWKh6UcKXQ2ml0kjOUFkM26FesX8Jtxy28s5DQU+yb
ZZJrhzkKJ/bVzgwUUSp8SMH9wJ24KvPDvnhB6cYVH8WfivplO4Lp2cbR+FPh4Ibl5m2shiTMnsOn
H3eSN1c07mFY2fP6ihpPCgT3E1OWXds4elBn8BmyDKhMBfOJlqxLpFHrHrquLg9S4ApMHN2h5W9Q
2An7kgH0vmjSPNkQUzj4hvpOIE7FXGb9JEeStNam2hpTZOxV2LcHe++JLlpZG+D1WLd3oWy+25b6
SZZPz7mTJLzZu9RjlvhVWeLHD4l4mDPABHNqBoNjzs/CmG0+QwUktqYrSK8j92vwCqWxEHkSjl+c
XPmGfAxPi9u/u3jbjrVh9be2upExsWcX768h+xF4dixPTc11oWm1H8zAXADmLqSCMFXgWbTA2jG/
JYdRj2Y8dN3y200XEcwNcN255hCWKvchNzTxake2+ZCgaNgnTk1qKmdTdo/yOQ7bowky9Yoyslrb
s8jBXFR2btEd2/IRXZB8IB0tPxL42cG2KzVGdk7nAgVaui1qc3sDDjPZF2EKagdvLpU67khlkaSr
9/WOpMiAuWH4FsOuG/QaHkBKiqEwqXYqRD2+tzwsHn3VrM4eORH0+8HLjQ3mPX3LELL2e+W2vm0y
FhTrFjgDd3gIvfSb3fbzQ01ndlTZYVHtDTyiOmMs8dFIdK+22hSd2ftOjGWSc8c+7Uv31s86vkDC
iVLvLZspunTbtY8D3hFqooJFNRZ54KVZ816Fm1qEhI0MKD4aBoTbqoNVkbTGeHA4ZiLynI7a4j6J
ohO3CvM9KMFBn6pbLYqdWNHW1UIihMZ2cMS947cDPkrChw6qVEQoGDaGsZomlSM1j8c4OSpxGTgO
X5Js+sh7rXtr3IWGQfmj17TkRebJR7giw8kS+LrvWGm+Qj1KZyuIM9tVi/ZtpBGzCLt9iTPWF7M1
L5mx6Jt46Mc9i5xxZFmhZH8yoz5/i00TY5sTMG3hvcGiqDGn7otkNK6TLsFDd2G0p19dMqHWYxgg
VXcAhypeF8UIp031gwecb92rH4313c6aiau6lMnRS6d+bzIJPCZq78zUexHzJxgQvYWwgHKuSZFk
ZiL6Yy+OukFzPOim1j3PlICGIoNsqD9TjWTgHrFMSaLMzp1zelMSp02Z/kllq18swJdWETeApQ3j
mIqScPHZoInR6fGjvYUH4x6bWW06O/XRne6LeNKOMDFJeJvNEsmWB1kSdfilrCrt0LjDS+VNqysc
yftYEPBrmMzXYzjUhFkyc1dxciG6BD1ijkIrUqRrejOhxgPAw0Yea2vqPkTnbaSgq8nkZLlKFB4H
Ih4p8TuiMSrNu+jVL3fu0ZI2ym+73gU64n3GGlfLpT/jU+xFuN+X9tYV4llfZa7mwGmGyma6NV+u
XIOhzbYJWgRazAOrB0i4FjFrMcNp/T0ee/Mr0j7CUAPsZVonrCXhEaRpdE7d/MSbma6oho40ctu9
TF39kCes8+ziWkBgFs2YQn/SUqz8dQKNbxIQgvKJbq7pZi/IR/fegtius+p5O4bcs9XarDWn7tlK
WpqZLrrFtAQ/tKQGad+yZLHQy7cue5pxgtFKsX8aZjydRs0pr1JWdCOn1wTq3lVOx4ge+oPHvmyI
KURJPxd+Z0OjhJFabpgvot8qZkIqXPJMaJzTxSod/pE0R7gdIuuNpmz2tSjSDolGbV0OKtqViPP8
eiQEz+g7slPqkSzRtWMxLgNIi8kp9lpSyQ0E1n47RhpZDi14vBoj9d7hUUeMG9AEim+Vpp4rk9N4
bsvHYR7GN+VRKbM/40Jxf45W5b1kqfBeCPbwo5nehCtvIPmULwQx3rScUyDP9lEbdCajLiEVMTkD
9xTtKcreOxJ3TiyXCazuxnuiP+JXM5EteFyL40ytR1s/2pAuZB7KbAo0BgQnJVS00UzApQnRe8BC
Pw265nhF7C2GquTddmqCjNq3xvo5oplYOxywCnX9j50xvBRr+8ONqJzj2Ts6dtacqrp5hONIYduV
+RMT5xcbkPWe6ms+wuJ4pNSJEJFnMfDRGD4SpP6HEE2Tn1covtdQtiMsSw93PVBtFB70ghmIh2Pa
HtD/t3BcqI/YK9LVGgnLEv0V6clTrbHnKHGbC8BBLtEprka21JJF+wQBAjuOohxmSTZW2UI/o27N
W0DjOfuRbdNUiJxpn0bO413OB9ZiHmDpYZ0HlZ0/a/DVzcybT2J90X/NCa3BIgM5suqC+sR60Wmh
7Pow/NIaBMGyYplklr5CzZD5tnRcNb5JK1MdrX98ULAv/bYhj7Mb9SsViLkjIhgfYyfJKBk0qGOd
hvliaLZ2z/bldMNdaGNskhURsdjDFZJpf5xjlyQfwu5N0nDm1cs7rBbeGdOJy2WjdwvRymnjG8eK
oG0sbW8W8lGPPGunp/YjJvZsPy0N5BaDAy/5PBsN9sL2/nOCZ1h4v4Skmjn0dh14vYZjyhlI4pOR
YOIKCX905wMlNYtrZVhE95C6HOlm7P/8W+KaKlgBhcqOzeqCvb9ElOtZBcKa2CCKyCnrtrDcRhzc
O2vM3qsWFkRVJaxF0UOximXAawwn08r/ONWwbIdowJwqsTBgEO+DmHTRDZGq+2lufs4WmzWDo0oj
j6f1Ppfw404fMxZHQh0KN9Yq7nLWlyjDLR7Fygju4mxdwypJC4zw5fUWub/Q8mVMvRqXtVXKAU82
24fD+HAXSquZUXoVTz/62Gt3kZG9AOoXQGBRdSu1ziVkdcS150clseR5NHIiFIJPusyeS9WS8JWU
Fm53fWMP9onuYLVDIdauCt0H5c7mnlIXvgM3r9pmHLIIcszQlSPH2Wml9yOCmAECcg/d+3VJ89/h
KsCDo87whkEGu6TNvbIGyCEPN6OYCCv97Y4aM8BkElyjvqyYJmXtBVSB+b6btVs3u+K4CvoXfIY0
bsCNAyYaQEfOHW03Poim/KabiwwGXcfRTbjzyZ1v3LlsgZV1+Us/KtNiJ7vwXE1D7Iu0Xvb34C/W
1DcMS8a3aoE3HcOZwFgVH53GGUgHr5C41Oqbl5tmcJ+RLHDdz7j++LceH0QCHlpzh+zTrfog1ag+
LKeDjias11ibjZ2uOXiNS/VmTLO91ZN+BbBYkjFGtM808GIA5eSHso2Y0yOiLQTfZkaXm44VZERk
DIi+Ftv1ZUwQclfU0VZYc7EFg2BuCKW5q4anVYGvurrdcdR8/uu+XH36ij7jRpP2N5mMl1Y5r4X3
y+rf2iR+Js2NhJqh+e54ECfb1huwm9tXOEqWvwzZn1lXAdHLKsBywCrs6Tbyfixa68/fdT1GoSzs
metI81CXDv5q/nBsYFWU0HiYCPTOuhn7Jrabw8RNidySHuLOxqFh/6RM8Wxz63WdCBJNPky5fKbj
+Je5QIOq6Br1l75SAcryPGYUwPbL3N2WaP5iHM1S4NQccKbxQyvr9+6nGz8WwgZ6Gj7oHUSFcVgP
1ca3Vu9eQJafNLwJuOqfa5LJCmMOYrYEP6QXZA9DoAtSu5vC+5a18TbU3G/xasB3kDtPZpodrFXn
C2CDDIAF9uL8GDWNSS5mSajXaq9XdglnpRuYCBE3gkvpTJmzJ/gXhnVY+HafdBv3Yeo5DjZC4eVR
1RPpe8LHWwbG1CKGJODAqm9wx8ULQMwJMx3d9+iZUCi6EeUaCdllj1KDvMYWrpIXUl0V5UskfY9t
JzKnJYjNkdHx4ulrS0OHyVSC8bKLbTfMv+4i7PJQxz0Wy5aWAcYQP4wxgSmzANUvcQla3h67XyDs
Hl60gm4URxIKCSrNu95bT+VpaOp5b6UGjHTNBHqa72zoWodxYt+uG/K7uNd+FTEBH8ads0duCod8
Wl/0ByCupBwqPe9CgtoHBTGY77C53hXjQ01exGa2MKZh+9vfTQx5qD6ZTHDESN0Ei3vEs7HCJJmh
RISVEmWHHE2evLopdovSH0byb2bqSXp4g76PTLwEVhyeCG+OdrMjYY7O8ztQm3FnuuqtXv/YnTjp
Nnw6nfZEhTDQYQ6vOuvPfbu7vyAtGk4ySeF0WO6t0ePzbMS8v7DqNnevDWLlF5RdLLGhSUFcxSIY
ZQSdeYRWuBicC6FdVEyo15+2CbnueLx4tKGkoloAUBxS9FVD9KhDTw+96FTL4Vr3S7a3Mx70rFLf
XRKNo4Q5Wg/H8q9dekV73n815d/HhJw5p4NuOFfaBwNMCPll8TY/mSXBOVzYul5jLSh8a8oZ2rMu
/LCy2+fNauokKLtwntmvpm3bN89elYLUy6PlL8YpTuuEzplz8WYxw1Ib3w2n+I7PdvYTtUpUc8rf
woDYKDzzx91iYG09k+XZLBmqudILNMpTqODCPcG+Lo8tDBtpCHMPPvTNstgzWM7xtgAp3ZJFjwyJ
8FMwKY2ETAdOBGJFFOReyNaVq9GPtdE75cL400gEZRZ9TNJl8FKzedPAGo5a993UtVeZzNd4vVMI
XTlHkX1ohHzu0OFgqnBCv+6zhW7Z6l8c1XXo8nkfprtZtxlO1vZems2bGlOMvWn7mPXz2aQjdJZ6
vFVmK5/NtmiYSIQsxfb8wCfZIwSYXqNxulLZPnFacwMiD9stvBjNl0n5xxIriKmDlKRLYiGX/N3l
SWoGBFrhqC6TrA9kmOlQsJdOOX45mXxywAm3Uv/dTQ3VU5V0AFvqcJ/gUtxOQK1ajoAYVrv2Ske0
xQ7MmuweQqMkCjOv59M0zHvC0VkF18ac6VTkBL42qTb4ZRw/sU6EtBVpY1hMtiGeiBpvXSGi7ji0
EyCfTG7APbsrZa24VYWu8wBr+9Zswr2VdfkhEuT90bGTvqFpu6Gw9CM50CTudrQLCvczyd3sqIsV
XaSuIyORc0ugA+EJA4OA6dpHiAAoTPJ2+B6m5Q+dj3hjuwq6nBi6AP0GJpCx+Spt44s4gtzsrbNe
I23T0x/keo8PFZFpG9PVpuNsZatiRGCh5GQNIy2G7UzeynTkxCPYJTepp487ifaaUC5mu16G8zBU
zhhQOb95ZCkexPBLF9qhE2DqzRotTAPM1RPWLU25eNCQ2r0oHBzdTfrqMLA9dGo4EHUpTpP1O6xC
zC4yOlqcJf3WJvrGq/60VZh/eCT61F1xNLo4+/L2DQFxfkoFeZgkcaWLaf32ahhgadcByVMbuvfh
OUFQv7EXUItjUh/NThBF4OnRTrdpkIHr3tBcNgIGoMS6e04JrBwLfSjtN24CH1qb2sQdeXXDKgyI
QL6sk/nQK64rh/5g9M/6iHRHA5CjsoQCT0Y8VH6pR9/NlWjEOOUnwXZeoPPFlDqk10YKTr7LghsO
tBr1lgivaOIBL46eBRJfd0XI5ZwiOk0vQB2jIxIs5aNk6B5Jh79FTrerM2MDk+QX7Xvr5hJTw1Hq
0i9AH8eIIPopoV0HegWoQH4VHLAJUwW1FEV7Fqj04FY1SbkS0cVAFqz+K2wnehPmnO4TDzQfw68a
mWK5D2kMsVpRpegpOVgXV4Bg9xycp4s6zzPeNumojda2sCAkqi2gn++mIaugasMysFwby4Xl9AfD
dH6PFwJAEvp/bRGOGyWl8Cs7ZViOh3CrM0AjtFt+Ge2r6ZjtEdZaB4Eulev8CuUP6o+tjn19I2hy
VTjL7ax8Qlzh7pwsbxkor7g795BJje0o29J85AQFIxrp7MwxHj/x2KuJeePEuKuU51lfT2sodCq4
X04OT0WvPpzZDgp78Dasgk4zMiBJ0phThwHNiTDZrSYZNnVZ8cObWrXR1x+MWHJE40o9GGUoD0nX
NH4SG79c+sGNftYIVtxGcfaKJFucVWX5ZqNxvhuzbkOmJZihducgmUEO1m6UHftp2uIqiJqVZ8km
rRMKUiMxBwwDenxQR5mjA2o7sbW0aRODmPDBxz0VNAoCMxl/OK31svQolmnzB3WdHsOr7ZoFTVPG
RvQdfXBRR72Ndy4C3lOF7NwmgftAMBX8yNzYpaTtRinB9bk0u92cce0iMT0THOv5MXdHnVknBqO5
34T1PpUaYlZRHpHu1j46yyyIHAMsZid+Mvo1fbuGgNyl6KQXY77pKRzJ+fnurrPQBaMxId7aXb6a
hHhKMGQ9Ta/5wyZlxkM869TyRz7hEXAnR98NCc95UY2fiH/QPvf4bNOc7IxUaPu8LbCmdCx97vzc
lvNApTcjQ1r/lsnW5a4hhruRqJz6KndoBR1TU6uf7KK8pXnvnZjf2IEM1Z9KJ6nDLG0ibLF0c4To
KBy7wDTwiBDhKHcI4q8ZvI0w7OVhQJ5X5ONDVLpixXg2m5K7tW7qKdC1ikEzc4sgAvPX0kjZ1FOx
jbToszWATJbLt7rYL9xRkgiKzUQKyQ6iJOEIDnsRjER6vc6kb2bde0A3Bka6bolthPAwlvZHmQMt
c7sBocv8EhUph3uLtJmZkHUfSjp3Q+cwhc/hr4co7aZ+2ep6+jrY4t1lfFRImHQhMlFXVMQkpt9y
dIg7JBoc07k/EJGZ3ZMJNPjMmOoyITyEgGCv4AZxdu2Q/JwqDAZiOkDSgQqVLSBAKz6sXfy+sxHG
DJHpp9T/2N+DRTAxKhRhqbOEdYcu60aOzTV0CFkWgtvGlW2IuK/Rdg0Bb0U7xY9trT7Tx3mQP82c
x1XV5bcaqPlGH72vRHrGLvaAB8e5QgaHVYFl85wvHC3KkaCJVQ0GUoLD2yky023dnHtG8YnBvuwx
CqOeT95CCzO8Mo3IzyP6nLqFPadcn8SZGpq1D39dstpYGn0Y8S7YWKic/vi3v+pusvrrS4eDk60I
CbwbejTVZDQ5chxFK07ib4+MWFsMf395/9V//39FytwZN9Pz4uUyiF0at3eX0Jjqjq/PnDMVEFfA
Cu6LzpEwI1AatVG//9uscv/VnY92/9XfL//6f/cv/0ao/ac/JnHtrJiQIegkUZNm0qw5zG18JUvJ
3UZigWZcAbVUKgTbA+YE22G6LeP2m5zkL+IX22uSJhMBJUTnysY9l4RMb2pbL3cSObJv813Q4z0s
KsmGWgkNUX0ClU1DUDF2HXq6hdOYPnDn7VlijTUOHr2KF8/XSWvwVxcyKDGXb1CUMqmkzWExqt3I
ITlH/D6WvGGHjsUfMJFpbfj1JeD+XmT+hzVz9iudZW7olLWFNLa3pEd2q/gepeYQqLCLgpLYS7hZ
rJImYE3OhDTfxakKjU/QNhYExKCczS/QNzcVhQ68SHpUDLGxAv8walucyacPRM8Q1AbHlSuSe7P4
2nqpSc/QRPw4oigybFJT1orSDrW3ofijd17xMolPIjB/01yNcUSE36Kmx3trkjnb9fWpykjZHWZ0
NUtrYJFz91k9SHJPOdlPc/VrUemF2oVtUO/e0EPTl15YCpSbP1IuYKlCeBkLJ8PdMzwXoe+O2jMq
IjPgTX2bWnvPKT3hO+B2G0bys6NBsUlVQjCeBzLeaN3XUotNHrVJESMOwozzMrxSwITD9DIXFA66
lVDxFIB9q1rSbImisxsP5j5ZFusEmdQ6wZ22TrJyX3NNrDAmTnRzAUqedtEcOLNydzNWmnwYtFPj
OYMfDsSih/2vxuLBhfURkaRlanhYSedTTxEd2Mbp23NF7C2z6g2L5tBuSQ3HT1lk8UZVHt7SuXha
1PASA6thvA4buB0BGWlidk426YX4K4sG9HQJdJNxS5bQTp080mpYBfnp6KUXhdp7LTYlzzOObuzl
Z+VV257UioPUybEYqzpjfkDEIvFkZG1VXAsRFcZZOss7B0WSHjFORt4U47xqT3WdofmexeH+/kV7
xbBNC2XWH5mWn4xF2Zy8i3cny27WbN7SCd1b/EaucXZ29VpHlkBjmab0M9F+iAFoP93/Is96MG3e
kzbRco5tbdfTMxhB3B3QbUBrX+jFeo6Al6KIouk1Y1+QynNo4hFiMO4a08JcWONS8YrqnCXEVuWP
aZmeqmLg3x3p6auNEzm2r1nhiVAZbhzqYTSunP4zb0eR99nGnAWl06FOnUbQIZRvOXDeNLm4lnjv
Z4uQGy/83tXiwUztfZ87n0uZf8ztiKaRxBRnCj/NMA6ZYpNdMprxRl90nKSgXn2LkZk0JZLnnJyZ
IfwQzaDvHDOluZ+oz6yuFRN/+lEjTJ9tmAL5c/VYf6ms5jcRovs2ztLnASHDRgenlRJHNGUyeS5j
JluEqbw54NcuWk69zvFhBUiUjKbd9FoA1tW1MN5plYwvaW8DOSkTfe8Vp6Ge5APJRdphSFomjq1H
S6gh/7mLr2IQHGe+20aePZQLGNOBEHvneaaVEzFxrBF17DoVPwHiGAHUVhWdKXQLLpMH5o5pwEDt
lQwuyM7EYPrdOnWoau9HivsANddQbgWg95Ox3n7AZOzA67jsUbl0PuPlc2zgx44yuls6FSlkcSch
ma57jIls2lEnvqc1kSzeRK7F3Yi5OD27WKGihdWP3DNL2IWfRuiAB3ivJzVvc8wr/rLGSk6pFbH8
s8vG4/Q5esl8MleM6P3Fqxc6/gZ9gzppL6WA3yOYRLgmoqC8OZY57sawB+8V6fXTKKzjnUl6fxlq
BCqWTmLn6IZvczbbG3wH9caxSKMzx/lXoVcOhkikzs2wnCmZqmzdQbI+kEb0WhYUijgnwNXQsD7Z
g07baX1ZqpEWYc9k8e6hFUbyttR8b9HBC0ptYzgb5XroaX8ZSVbSXOXPoADgYLWuabZu/PFct/en
RL4Rt7ZJuDUIDzKZeY7txUXf9FnXTPBqhGZlOL+36wS7crMMulr2C7lUfBzdWgfaifrdGSTNwER7
Q69YLGFyQ2QMpRemNKeLTO6mzu7YNeeVL5OCV3PLIaAdF58X7Y+iX89JQp7tLrGvHtb2TbmI9rcL
oc/PLXLo5CTYVcyPaWBQrOuIsazJTa6ZbB7on+d7FBklddlwKfjpW6+snkPH+oH38iWS8fKpEWLm
OdP8uzCTi3ebrCX+bAtm2otmJUxwatTJbopzMareDHjt6WJNuzGlg6+wDCyEjvueUScfxuB9go1u
f6nu3YkrPy/1W9RLm9PSZAWyNP+EDmLUtIq0Tdq66TYcDc6GJYItEy9KIOIopucd/s4WiY66xzWp
kAGSrlRelINEtBWL9+KsEnCvat0vMR37urv1uvVsN9DNrTYCU+i6O7dovtGjYnCVr26BYtmhjPtu
pTc5JzEhL4I2emIFCUN9ngxWNqdJvxs5sE0rRE3Z9+awo8quj1aEqCSrgKyhkatJ90Jf3OkcZ5vn
Cdmo9Mzxp9uTmU20eftax/UJqgZPUfkM/rN/CMWybZQoT2kiQrQCCLtUU0c4YASmKD5HO3bqY+TS
gzXUb8/MH8oo3VdAX/8YTXx0WyTfHN5JOpu4UN5gWldygMSRpXDYSxQWL3i+OOfiafptRZDptPqw
UOEGTrQM5yi2cMwM4tZaSLXnlrGiY9sPxlDtVTU1lzE2l9uAvX2fGeCfZ9ptF9fWn3rk0siXu/IS
NZDp2pRm6oj3mDV9EJ+dsSS7JDMc4KyMKe4vBWfCU/Y+xX19IaOovhRtYm/dmu7qX1/SyN+DwlW+
Sa2i5DLd3D7+iBUerwJsAQuq8Zy6oRWAiUNP1SSAbaC77Z2WEPgs7kkusBzWO3BX0HlaPwvt/tg7
3YfjLNlDZK3XvKZzA8dPPjSZ9s0aDG9LH6AE3vVHkGfHFqneGAcB4F1IexslammLcfBATh8fDyrH
rs4QuebLqYut8HFED2CCFUxild3cl8nOkBBZZem71YBAwptxxJZi203IMTFvUBIbkl5SjWmmYjE+
aEXpbt1Qy/8CsP6PzNd/Zrxa/+J0MqEhI0K6BrZBEIDSwLb4z4TXISbque6x7dpQ8bHzdsZl7Ek2
Nnrvicu1G+hNnTJprlbeud3aUnXs4kz+lxJTCqUUYvZcJTmKlvTtjhGuitw4JVmiHZCvFIXv2kW2
mWrz/1uhTEDIftU6eRDV3cGegVorSngUA7n92ucecE5vEOSBo8OvBLk6kSABln5SfDDq8DMvzenS
eU16NAbzWodLdPn7xS3K7gAj+DUSDXMtSZ00ooDTwfKCixy6Gta3eB4cWGn/sIve/krE/edllCT1
/jMod72MrinW/ziuyaVcg3T/EZQ7xRgiFoM8i35yftVjJD6HlkCCzExdqL2aTYdjTD6Wj1p1aH6c
nLwTMZvPqB0t5CB5dRxkbj4zf+2ujoTqh4BgB3Ef+wvN7hceXMw4g/Oqq047Zh4MaFpytzlL7YBr
T9CNbf/MRQuORCTxk4ENEclF/JW3OZqieSneRDKXgazkGj4TOz7yz/DREcPRnVVzRhJ66w18erJr
jj1zZ+qzTrxBVus2//06mdhu/32dPNOlBDRsbLKOs/pX/3GdSnMIqxhdwGEwCJQvi3Frhx0wv4q3
mxqKUhI4MoojctR1pKzxuEu5B/YQS5Ij7eHHsPT0h5gJhaNyMCyrgS0l6PNgRZa3LZg3+r/Iy4iu
7raZF/WtmJPHWS9m4n7QMmph8aml6fiiTfKMhue/vzf+3f/45mzeoI1cWMj19//55hQu1nJckL3b
eX5EXkr7dDdVZvIV1+R9SugAPEp8EEyv5A4DNyZxLdF+uA04FIINKanz+iBTK4eVy7CV+em4wTKl
f2s9Cyh6W9Dq5rbadAuBtbSuumtkOvk/fpVZ8aNjmP2jIkQFXGrW/xxZIm1dle92HwJUJIuXkQSu
XPG4VF0ZRJHufIb4xQvJNK6c9Te9Tz8TY0y+Ud0M+xwHzEE6g/GcIwTHzj8ixCR1Eom69k7Xx37B
KpFthjQhyoIzh19VnvAb5iaEFdhH2wx4csTZiG+tayybJhLuC5se2HkmBFOTxw+1Z8ePHGZZEEK8
lG06h2d4gO8jyaO/IRn5ZDJ/VYMiINJGCmpYz/2IjiFzLHATVi9fanr5+7qYoQdyoA40gZG0aJDz
OcNofzRzdRXtYv1maT3Q/QzPtj1jqE1CciUHN3pNSeHZDsKyH7HZ4bjQ4D1JGvgZJsM03rFvt7tF
w6Iy7bql7j6xvSEc7448u/h3J69/MFJcLmsejzm19UfpkD3gIVJAiyVPKdjyQ2+2ag+AVDuMqeGg
rAL1mVNmxGElPv/7XWj+75XIchxhORAadN0R/37CGPAkmoknF9YFZksd6bJJa/PijO/5aNwSB3av
jFrCxMrFOOciq2j5EfOHhJ4TvzvBsV9njmAJfxQWfV7J7G7v6MzJdUXeRqFUsHjYO4wOp8CwquqX
Hgpn3xV+oehBdq27NUmE8/sw/kTYhmiD7qgvi+Wi93xn7k7WoWBW+X+87XWf+mtdXjPVaa4I1BS4
3mxTOqbQxb8WFs1qtGUwnPgAsOiaZMq4GuRpklivJY8RKRJFaRSHMipfKwN0rBz14ZUTzVWbBg6Y
bTfcOonHcnQMpj9WdNHC3F6blSYyGTzL9Yj6OypGlIOrEHKZvwvcfxsTwPoYpek3HqI68JiJZW33
aJN2bFTWgXZ0tstnQoqIPrKC3CisXWPtO+ZfwcI46/+4BLzh/3ANbLDfNn4Puo8CzsA/1x9A7TWO
YIigo1GPV5VHhIwSaCQK48N2+v5piez41EQwZCXaDZnU7xNs7taJ5p3t6DTkCq/+zLNrP4oXsIuo
mAkZfi2ciCBTAlJdNpGz1bTju5d8hsgUbuM0/mhmXT8YjcLnpkn9zUydAEUKT1qX4ldR1RXEPfJ9
xthxlb+BYcuvS9K+a1Gf+AkpbKdOa4cXzzmFIUErAx2hoClgSA1Ddctrfbq2jJAf5kh9uXo3IjMt
dqQcow637LdOpda1N6S8sl5+QFfRA9sQ3KZ90j+jHzIfYA08Gs1gQSYqsIdMKzeGdsYSSWubTEv9
/8g7r+bGkS7b/iJ0wCUy8UpvJBqJMqUXhEpVBe89fv0ssHum+vadbyK+x4l5aDYpFmVIAJnnnL3X
PteMalbNaD7etSVcs/d1Qsnf6WTliLEk0U0YT6ot8mNbVk+W1aiHAUHUU0oxWLgTimP0kltmrUct
L/CcNFm4Va3ATTGpbTu5x0YvGRX0esglT10FQOut5jT6Mmh8e91rCFKxKfpkwZI9NCeAilpDtIT8
ZUBaBsak+yFHUtZxUxPFpoj56dvEuySpcabjkGwjoljXhUJJXGd+tQ4p39e6kZarQUnEd3D+NqEZ
Zxc9bHdITpHvhdTl3kSzWxhAsaegj45oumtwpjTNRaC8tVEa5tZuYi4Fr2yu2P8ldPS0AONz/V0Y
BZ2vaUTKNXXfdGnV2ylAhIIzkuZmi8GxyCApdBF1QwWLrkzMC7rNRwPJ1hliFro5HKak32H4oOy6
VEnrrh0prPUAqmcdjkbMaD1DCyhRW4yhfsNnnl+TYAiXvcMrA89hrz6pV5RiC0tS96EwdR7SdmTA
U3jay/98ZTFM9/8/raQpbcdQtmE7rv2PLXJgkIk1dlLbMk0dlrOJ8Ayv1Vui6DYBpNk/Oorop6yI
vNUIH3FNaDpQrcD46DLpQ0+gcadFcCVy1x0utWYGe/hnsF0D9yZcFe4qkAUQwHtjZ1nOWwPAZyhG
UOm5qM9E6SLdK7t6YREvf3I9bUkUdU6BdxmCOLjM474rG9I5HcqU6zBD9esxnFe6GRGm1jSLFGzN
CRJYtCBdKmEVsuJHJ0f80Im+JcFQF4/CThmb5wZJFW7+ydicTrXKH9sgKFD3czyGwpAnk0Q/oDxh
vQn6KlqMcA+BBTdvaW/KSx+Hawu32ezT2wBtg+xXf8mx3ocu6ltDu5jmd9oX3U7LmZbn0WZiE3GS
7HBZSfp+BzwE/YkTrXouyOueVAuUko5gLgXAzXL8S5NFSG4owRjNjXu4F2J198ELebQc2nqJV0y7
lI7NInF69xUb7WM8ltAp7Gs2AV1g420RxepiB2xkucM+T7KWD9DbxoYN0DWz4KOyNUeY9IAOc2mQ
qjrLXA8EGvbIPHJJup2vk7+mZlHbrIRAXI3eRdwinDeHSZLb2XloMSPQ+DtXxeUpRA8yga1Y2z5m
PFSSkU/2uxsjDHAjqOuVZx5NiVfxfsT+W3Se/1OhGnPxyl77X4dqnAmB/3sKx18v+Ivqo/Q/kP24
um5CgZgZPBQtv6k+MBNMnnWEmvf01n9RfWzjDywCJrt96n3+J3jqP6k+6g+6mDrXC8t0yDUlneMe
aUKiyOXPPQthJP+yRLf5Rv/P1ka6rqHI4pMghAx0nf+oLb1e8zu6T2IPV3IllT2ePUBni07QH099
8d0Cehyp76oznoC4w2R2oYlQir+Xrso2wraJ+Ox9b13Z3b70UStWPO+STbGJVXdJyJpbGv0A2JHu
xy7Dyync6loYDnGWnYJV1kNgmTym9ODPkb8F7n6KTjlRM8sxQcMs9G9xjCJLku+xqG9Zvk3GCSa9
wZyUdsLBqFtz/bdP76+36O/ltvnfvCWmznvOuwKhyfnnbg+vTeUZvWvvJ01iizSxOPuJdsInO25z
Tds6mYmqvy7YeUwWQnZ6B1P8obGlWmFgX6G+nXZNwaWpdTP+Gv/BLXScV5G7MCETbBhp0fZ2nXca
B8X+f/7dgbP9c0FRQF0US4lwdKmcOyrq7/s0LzChlLT4mD0Ikyn0tGVhMX4fHISnjUs7bTLOWf+W
hVAVxqJ0GU6V/d6u1Fseaf3WqFAbDz6Rqn2PzkPmqDH6cQfFBOtxZCwiCWgM59EiLTE9FBIhAsPM
XPkYKIMBP01ytBLEaSmoF8OcrqFRkqOgVT9T9GQLeCzHMglZxvLhOHb+m21OuIyRJwaDejc7/0UW
jY1UwtjrE0gorIRGHDHQVxc/gLRbF2274ar/Mj3gN5wwY5j7VPPwCqqJmQ8uahuDrYVJjwnZknzj
7xWu90XgYM8kcqFU9jLldcs+OCvNqNY1mxYCKmD/OM0PMwD1h55toSJv3PuJT4YG+/rEdt7KHrSc
UZMzkjPfdLTXgqnnsjO1r6aNWd5kI2jHtTuWeuJmOpcpuceVn/7VQ4mQYtEHKDGELvdM5W+ZSbe4
GkBhNXwTLfeZprT2leXqCzdctDD7bisjVJ04nD/j8TZ0qPTiwf5Uwd5QzJtQpVxCoZAqFjZz1tYD
UVUf41QRThx9myZ81V5Cb6+ygTjajNXCtH4ki8Pa6AHYVTGZ0BqzzykeQRwg7GAGW67arnovRMVn
2YcFhMFhgNpiEpIIU64KjvD3J4jxALdQYyZLdH/WmaZ/uTSwLngGeLuyvcbas0LoNLta1gzhF+lk
gMfrhkMqm+9e1bADpKHZTPYmAJWmOekMoe/JSwawsSHo9uor+kMjUou0e6k6/OVJmb0WI+mVTf1d
JiXm6vZdKrbPXZP9qKPwagZMX4wwPFcx+96w7d6gbXwjak5DPLNo6OQsJ21a+wjChe0dgQAiftPt
dxnOckvzsdSnii2DuQ1HL1vEFRL4wqAoLSDg6MjjaTkoTOA2lJ+AOMHAX8QN5U/XbgOzeQjyatuw
XKuh39dx9SXNK13hQ+umLzWdgjU8yU/NEOuybQ+069ZzuZernptpJE579hsy2VOj/AhGmpZa0O5F
moENzIOlrdtvKpa3hB6prQGULIBro3dKyb719R0G8iXs0HMX5k+RU39iXPoWJN0WpsJGcCYtSGb4
aBTSIdIEcun0AHBQPpIkFCOzXeiIs2hVcmF1blNO3S6T74wjfiGY/KgY2mW29akBHlyaRDKvZI3v
cCAKuBPvEZ+nEaE58sJjXMIJqcoXGn0H0MIXKcQXEr05y/PTHnsc3ygzcFc/KRrtkUsYj+5H+QKb
X2JX62bOq2bLTNCnh8xsSrstWJKfGWfeQqHUZkiWvAAp2TDfwo3noK8SekjO9ZSTUTyQalAjmKtl
/iQxDhsxJKipSSKuGuzWi8Q6Q36is6kxN+uuo1QkGcfXyBlPrqXtCumujAJBxoimao19mcs1Jte+
PpG2aS2AP9lLKzf3tdfuoyoghdL7bor0ATvzszvS1ycj8aVIHHM1eVRkXq9f/vy5cUNulJNvGuDn
7Iw/SSRazef3WOfwVDiVIC/vvcRbW5G+NkYkSbb/rSvzcTF1w08iX2azOgpuzSrWjXHxCuM6PxG5
8j3uGQcM7nez8Z58J1kBkbYWoVeTu6E+cOs8+Ao42F7W7jyY6N6n/Uj21aI00CYhKs4TEoBDl/Kw
pPnaa3q00NFB5yZdBOlUEBcCUW5aJ7h5PSp9CKZ70+SSGTTMWGvDx2nenyEr77PGeLPE2o6qZBVL
eXJk/ua71TyQf28SLmFqshlbfeoyo+Cmwp5CWkXAE9ZZiw41osclM6I4ixbHPo2QW111RLEYwbIf
p2jfu4oxF8sbYeMhMm7rlfTUXZIY/XrIzH5Dp+acFNWrFwwXR+Ie9zP5aqCTjuL6RxBKQoyJh7Wg
6eQNrYWMO4hmZ9NlR/QuT41u+VTY7MVdxRqoqGMC68OcYZyE/awiwgMDdwJ4YdPHHRD4UYhhEo4x
6DhT92uw2qsTusvBT787KCIOQxVRZDCuclG4YsocgNVbXbExR3GeZ4rg71JUyu1tgDK7QKLA9YW1
h1BOODTGV0rXY2F5tBQx4S2kJb7FjDtXSBE/C817q4L20fLQf8L0yDZk7W4t2wkXnv6YSuTgpim0
RVeNwCtGBNLuaD8WJo66UT1HYoDPKgluGrGnprAEPqIi/BxT7GuOsD4FG5GoCTaVZjZIi9EoFmGT
reNKnhjqULi0HIpF41wmSDaYmn34+owfCIXdBWFTXezQoZhjqCRDj7FiYTUYg3TGTrR6Hh30B0cm
CT8mpd/KAbUhfwOSEw54gtkqIGW4d/R8BU0rWfVO/jOkwbRIQJcRtIYXb4y2PlGuDfoiNi60eZS4
gV7zsYDsJUxBFLvyotsIH127/zGF2DJKc9yao/lCMgVsXo05kmGWy1bKW++wgvrqYDYdLfuFzfDT
yQWx00AFFdctb2o+EweyiuCQeNzgRnjsvfZtUvbcUE0Z8ps4e+znuTKUTdx8m9+6xqNYmz+PXoh3
v2x/TBoncRro7wBRUGch0WJK8eYb6XMKk5EDnRlcbrzLyiw2kgAsqDo/uqwDAsFuG61MvhhcBiaJ
dqFO/cAfPS0n5sc9OdwOBPol3Ri0RGX+qpBA0AQ/BQ4B9qPzpEESjgocP2F8Y/t50Nrh5gWoYwgM
5dIE3cQgEItXLSZfvNz/OpbHJRwNoitpd80/1nKQksbus4qcn3U0cMwP8rWQ4bXjL3TIE0OJslPe
yaEO19yKXxy2RQDizwN50aAJQYLlJpe2+z516Dj9uK23JIRgJ7PWTkFItcAyAJRA7pvBsZZdn16t
OfeJS70xmusyK176Zvw2YcU7tLQr0BsMSysZiUvCSYVZAiMCiYiHIZ9K3BaA4UhC9xak5m4K9J5k
jyBcLdLmiPP9AgHRXGs5CvsyA4RUmNbBqAKo1OlM5euKh9hObgZAnQ0xs0zSbIvReGQc+3RY0Jcj
VzpMXwjaZa+ghYTN2+oGtcVBy0DsOTPnpRfrz/i1sizM1p4Aygs+5AF/3Z59CSTozP0Z+gQlZ8DT
ltT0E0F5ffgwmpO5AsLbLzgPcX1juSYhV3/KMjgmhh+CuoqJn3DxshaZPXuf2noJ/WVBKt/gM+XR
khr/f2XBDQVFNJjM7HUS6MBE6PtSasfEFg3UEiDvmW+vnMRLabNi0A5kTL8sQS4SBMcWgsa2JtUO
cGlKjPjkIH/wAhjE95AsawzTVV4TbNgwcTjA+wLjP2dw/X54v2eMDjYtPNb3J3uNtGgNxPjq/uSf
L7AuSTUN7Iz0v3+L+3OjPnWYxrRL2drIBnudRLxSZ223toE/ze5yaYB6CUE1BHNikQYPh70yB8z9
5nfm1/1hMZiXjOHbppwJ9ENX0c+83411j/rCK5a+Ut8GAa4+C0hFzQTtP+JhgJ2Yxj4ly5Rmnyy3
DDLtPZNpe0EB5x9YPp5nU1kbjd7NFgVvy/zt529zv3f/EQyd+Gn3L6IDYE5kG8MKqg25elpcwitF
CrMgM57Pi9jzsPYlrEP416lfLQpQD3tUe/rRc1vCHwM1nTBXUzFZothCkdgBNp+OHDKIMzUjOIMt
NTbaSHAbRrxsPSv4l3h9o1Pg+cl6IJ8Y1pfrclZOzz09z+WAkOlJ+sBlq6jFgCtSdnP4hYBYjOhc
nDljQ7PFVZjQ28wU9opvl+YSwRfq+dSw1iEqgTQfNYLkVcm+HXV/HUezek9bO13+wX4Eh7Hvhg9h
UL02qTawS8zWdGY3I61iBjMoN3B0bwwG6OsAddZGMwqxiQ1+fi0G/6HvxDf6C19TNcX7FL8Ey4N3
gGybME4kAhrlv60V9hN6u4M7tgiGxBQ+ODXXh6xgqWhSCFkIIZKPiQVJRRaDoKKrjuV8nbVVZ61L
v7qmtl0dTaMCMNJXzzZUm8d+msV7EL03eA2Mo0OrI3Aq/2wMqH7NTOyp8e193XnRtXFRufqcMmw1
su9d88Dc3SWtggWsRj5xzAx2YtheAAKOIVJRDZq2QRIaWrsuQfnhX2HeEa8ZR8MmDzv/1k/ZL6vk
+t3XxdKYBS9u70FCQK1WxjAQZS+nRw4RPGbAjSnGfR8VRcceU6ojNAZ57Ghxi+gJ0gnNkyR7pwtD
uVe449l2ugs6XFC7rf9d5M24L3J8C4MMjrEHXWuA77qadRmnBj7qSbN6tPc+c8vWdA7jVI43TGAA
CLOOq2ViPoEGVzdiq7K91rXpMjf9BVW9cxnGmZQVF1NHR372HEbKfCjmm063L2MvMPIBa16LqTFf
QulcYgwHBGEMj/WoFRfX9U59ZCQ7ZTX10R/6F0AIM8F25U2TvKhVRorEU4Xb9CEEqhL4jOwpTZ7G
ETxKVAlcWYX9HkI24EOMu00vLLUPBh9Yp+Ob6wxMFzLKd4/dCIM0EFy1wIyedPnaTqviVJQCNXZK
WrGT4HMU1gXshr7TZsxB7CYYP2oID/3NqGk8TLZDYzvwz6bJNMNPzHwLQuIQ2lm2CVLvR4N3+ckY
9FWUdXI7BjbDD0PwhhnTt64a4l3YbDXsPfs2i49Wp8N+4cgFfriB4foCpuYQBMLaI2yrN4ROvnmT
ET9JhHWGV9XHHgdhqadw/CQHRDfRg29T/+jTlZF44lCvNuAbT2KgX6Kc4cqcw92AzsMwb8dip0/U
8YYoIILVprUgxUo7euQ5d2pEilz4sFDbn7hOgnM7qG9ear12LjuZYaoQT4zVteLIDSCyHQwfnV07
ATUOMHt1AYblmQ/LXsKkDxF+4AHvnhBAr7UmPlSkW1wZTZw8CyUG4V4ZBQjspwmbYqYdCzXO3KQ0
WtvT64QxcONiytmGUUIWJrld2GkGGgoo6sbmaAM4Oy7yMKuuIkzJz57QAXj4hbbOCMZJtRb59kOm
H2Fsn9lPR5u8ytTegxoct+4ZmSF5CVmirX2JzCOezMPdf6qnprsNG9c5CQdVlV1lI5JED0mmk70w
ziehxdAfq7ey0sIbqJQVXf/24sHUNwc2jDjon3TfQjrtJ/Y6s411CdI3luzOmyqv2GT38Sq1GHTP
DvEVZIMfoJPH7dS35XFIppUUqHEKMOD0SjeFr2itOfbL6KbNrhNgEVo6cEMSubsC08eyarKHKn6p
zIiBuwdRsem9w+guVVMcU4gnhympjyYU6is9y4XC8zd7w3uLqqB0XdTQ3NzvheFDUbIkayXwmkU1
3x2qhzvBC9PozK2Odv2Inj5CaUCWDr0krYJ6t0y0rF2OaGiXKRMMUufLX5lmjOta10hOp1+8MHTw
S0zI8YkYc+T5n3fDYrDoKJQJRu29ynrdO5sJMqWJ1CD2H5xrLZFb/RBPB9ulgG/SKF0nQo4HCGqr
QLYRVW4PNWD+0v0G/Orr0NLqiJu8R9U2h60yX+/+uhvnpKjo3Ww9EvphnG/u90yCdakDm/6vx82Y
hCtyglJMsjNvoyKc7n4vu0ev0vogBG7wLeqdDGcy/6QN/RlogxcPAlZxKB3YK2bkYKTMwZzcv+bd
ty6/n3ZY+9d+HX9wmXeWInbl3157/wb3m98v+MdDfFIp7p0qMpeVTw36+yWlZD8LAXf65zc01JzL
d/+Hf941MOzRfYND8PvVf/tH9y8qzUGuUOOJ/edfcH/6H7+fq4yCEjioZhRYcQjmCLbGHOTy9w/4
xyv+u+/y+58YA2du2OiYSDkeuRACmLCHhPyqOaVScwA5QbjEPDU/Xdp4mc3e5Y+MqqfQB+Pi5KBB
7jfSw2dF8xQsxv2xmp8Z4H8BskjyNT4DijcnTbuV07WsoqP2nGTq5mApIMSeI4Dz6otY33ot8jHX
1xzi5HrOh0LjVxT4XkWCizKTZ7eZgK4P5XZGF43HpEZbPzBY+DM/LbL1jyGb9lXX/wjSHJsnniLf
Ixy2ICBBgpLoALIFozC5ZGAx4ijCGMs+XXQvdox1tIqL5zCUv4K8OLuiXPmWe8kN/9PJiRM3uvhE
J/YXzsy6Cy/lgFRyaKGwF064p+x+x1WcLhgVLI3UIghFG+aGT7PQK+2znf1hoBkQRxc7WEFfcZpa
9D4GgBlaay+lr/jpzfgI1e6X57ABdo3nrLdfori/BSXIztZUsP2YIGReSIc36b/QUhNQQ2XkmMVb
Zf9UA51cobpzqnc7M913s1hIr/poFQTNTxvWZmANRxnE5LT5W9PwP8z5b2bWX9TkXhvqKAUz71oE
/DQSwNn/RS02nxa7KrkQz/hlj/3gAlxISRoHRyvssynaVwz0VkAzPSlf8Ys8ibyOF7ltb5tQ+1Er
W8eDEMIsH56VMb3EeTfsDDsLFpWbPxDluCs0wkfZu8WxFx9gAfm71B2fihlo3nmQf9CJxSWwxKCn
QPbA1NaO9Vj6VrIKnVmAlFj2Qs6RajYxLD1qauUmL4OlwKr15GMeKzZbUDHBBLv0IdxyssgfGOYs
Krb/2MKemvJljMf+l0lpyiAtVtbHqPUbiMx7o/VOpeh3buc+Nhm5WY01b89PuopukCL1hYTchUUp
Gh9LAXam6R5LJUDwjCu3+ej62qa9qX31bvkQdwghct9+hclemNHb4GH19T1sUKqIjozX07XbAw2j
iUBeBmpK5RTfcyvlV0ZQ0nEh2VqRJZcjSNtNXzoCcA5hEb1ZAiUjXYqshUibR17LtmAIAfKfaIZC
YGTF2hMrZWzsnI28PxcyTo51s0x/VFo/LCezA5VNdBha+kDLGDnENfSaiDew6DP6TyO1IJX6QXWE
ezy5Wgg5Z1I/ZJucbWnPoTYelM4y5WD0rmblFQtgBP6SluJNIatek/bwEuZym+E/oyjbU0s4i7Tj
s7N1FxQTESQQBLxVgVaUM306Yrz8mYcbWC3PeeL+QgxTrvFSHVx0KwtrAp/nueZHrVsOQBzSo2I8
bTYd1aWJj2GaqaiRbuMbo39vvuUJdvs8hfhd45xeidppF/qAFpVLSgzkEwYi8yfcDwroXnnEcoNu
zo/fEensWzQqNIpA3PIWFJkmkLh+JCxyG3M+1wonpWg5oCg6zf95uOKAq3K2jIW1jhvWV3zdNw54
rjROwKFVNdDhCc+oclp2ZUKXoZpYHPMsZCNEyu0wM7TCyFnm0GpoMeQrlOfwsyeoIIQInVJGBaxm
UrJD8B8QiYwO/Ed9JP8o8Vm5kz6jUfytpt1zrPM42EzKwp8+VMOK5GmX8S0sEhW/gxKY1lZaYUOv
ymcvgYRX2ck5rifaTfDuB8mAque8ciQNO8juOQrrcn4jweoz/xLpiWqFqZb33NnjRy3cr4p+CJ+G
8aG2foVHH97CIpqGnw1zyCqOn0KccbLP1NJz/Jd5IM20C79WE4AudJJtNbM47q47GQMj6UuFTtRj
S2/E04DVh2ytsY/2lgrCFb47WI3N/Oc3Mlypkp16ZcGrduU2KT0qZpt6cLAcfqBAyCT0CwDMft05
5Re+iXqLMNlfl/q+ZpBWJSmHoGkz87N/dZA1UoAkotPOw9ywx9QYLbMWf1LurwgPcbj64m9ytS8z
iB7iJP+q5n66Sa4C048qPz7CKMc4AHIDpAZMFGfnDk2x98zxi+gwEEEdBkPjtQPRiTAR2d3wa8CT
uYwzHPJ5BTOR8a5G6zvmoNNpnerOr5iWwaYoGB3QkVk2CVR04gEBP+HITClm5niRnDjAAMqRTQ92
0YbiW2gwNY5irNNmshbJREeQvPIliXbXqVJfMdfQQhMvMjaO6cTZANPxrKUdRknD/mxqclI4v6sl
/v1Tn8Bky2BILj04VFGctiCoIFVColxxtvPuO4CE2CJE5f2jsG8M1uBdu1XKhWrkgPD0apO62pPi
tIRAAxy+ma3+meduB8uNVw3eAu1nBRuEvgGTnVZoA4soerB0KF/j5JygQF0BlDMXlb+0rMJ8bFsi
uQYS2OMWwE9WrosWBjopFa6O1dWO2CSh9HS5JPi7+8D/35Lj/C8Ky7IQriMs/ddimtvP4bP+u5rm
r1f8paZxrT+ErpTSHQNthm1JvtlfahpDd/6Am2uiJWVkqNRsNvmdkYXGxmZHqsM401Fb/5eaxhR/
YBgQ6F50XUlFN/rfUdMIW/zDg2AYpsDn4krT5hey7Lve728yfZ2Tm1lerhODV3U7p+6e0dcB0Pfp
iTOFfUTyA8HTK55Sn22CO40PWYt8YSJCbuSfIN54sDxw7oj3NkIhChXpZ1X76O2hQBdkbAd6d3Mx
vKNyCK6FwO7TGA9Vjh4yYOrtUZTTpbZfsIXky1g36wfIuZ+Z3q40GsrliHYzNM8IixbA6JnjzsbS
gmRElZDHU78RoQXVNsgeyJhk/SvFtbTqk6jA1ORZT1CGy/qhlTR2W0yAWT1texVv8DkdzbbxIUug
bNC+IpcBJOEJONMryUSEHr7k8tbnOEUTI11Pcg+Zjg1LaIB/jycoUe1rSjIzXQ/Ehm62hRF8q9Hu
L3tpL/o2Iv287GnskGq01ekEF3DFlVd/lGwl2sp+YMjD9AT1oyN5P9DKy46O/yHvKBjDpEwBAWr8
Aqbv44H2zUfKcP0oo5moyiN7KE0g2NwzKtKxEl1/VNLGxDDyPmekhOFz8y3+Crt+0IUxHGvNwhwz
wKZGvKWdM5EzQ7Im/5ITVJTlPRDokXE/8NxhxdYda+Ek5uCbNv/zYQtZ5DIyk9JDd2OZY7AORWjf
ZIekKZesaiLtgscu9958L9OYufrFpvXDbikBrp7vN5UatXNh5jiQv6fuIHce/lhzoRJnOsHPbOHf
gve1U76mVyXEPD7liLEJU+2UzLGJBJqVJXLLZwRiBNDVJVtRDu9lo8Vg7DIpHypE+ZANC5agQTLc
zCEm8X1WYdIFePRkeAI2RAuoTRS4g7ZdVroJjarPLq6ja49OjKG9HsNgO/phvWqlaJ6zSthXQz91
7j6wjeoFKAk3+odvsXzfH5gwL+w+79ASkAjeR85LlypQvFr4TkY06iIdBHzs1NH7VOjFConpDFay
3oe8Hm/A2V47kBTfoz4taWDZ9hXwPNLhMhvWgaczzsU5e2TAeJKar/0sgV31aihOHeSwRQczfK0T
RXxws1bcTMc6uU7UnBy9Z82pzGfmt+MPVaZ7n50QEFuwT4bmBN9QDdC8h40b009kKXKegj6OPgwP
CCj5M+oZKTlwN13i+OgxcCiMPPskwtHFAAZKl5d1UPSV+FCTvy+62PvembOPcDizYPcvKBymXRAM
GhgJq36Ppxx8gGOehQcXU0cDsB2wu6/cO5wJWu+mSHN7rQbXf03BHbNfR1t6f9btza3R2vEywmrG
frMd32RtvI2xluNRsBhnVnW8x9zIvqGuux8p6pXCe4onarJBlcck7dxTPXONfMNxt8kQqocAs/LS
Zpx/C5x2S1ITSDdEuSR0Tt1N0b48OJ354pr2I8HX/meqhSULpz1Ry+rjIzpjNu3pYKOCMeJjWVjy
MCgANZD0h2dSdIZn5Ha7linxksw4qqL56+ippnVDm3N9/xeSyntXdTUTsyBddjIdrwyxh6uwm/4x
C0NaQ//5JT7LmFjW8Mi8Xl/URGa9ARyDewPSen1/eI/vK/D3mzS0jhVc0jdhxGePTesVdlP8MtIb
deL+w4Fo/khsbXYDMnwKs9o/3x8NpFwRJshaH3NOkJsOSQKODCjT0X9AXKK/pbq/UpUQt3Ho20sl
3FfBeEjqTvKEKzG5NuTpZtRrS9sBADL3px7ZkiePGvkQudVGG4V+mS3/QCyCZ95QsBI4FCq5yaUn
ngvctosx8cqfAZT9EiNRV0oTf1PBpjuJs8esBCfH50dzteuCrUT5tKP4efVtrYYPbKTHluVylXoE
xsmiCHeFQ9SP3oU/qNzOKtG1r2HTGs4+kf74ptmZQPFEYO794SrvAntVtfDZK2wv7wlHVRIY8ZsN
meIoJ4YCyCHUe+/SntY5vBaUFdZaIrh5b9cs+dW7PmGkSkKoVUbR/Oo0zieksGeGB92rg/9oo4cG
PMvOExvAYKTX+pp3zQzm58Tg5aA4JITyrrQv1UhyW6dzCpcZcQDIsrJV18L2cVAAvMqcDwVlWngc
wuzkQS449xPzDVzWPr1NI3qRImHmkIzvJvtH1C9+SCRG3l4Vfca7d7LsqW6F5xQ7kecJXq3mIS7R
vdpxoXGaR+1bJbRNFObZwdHa8GVg9ru00b7sizIMX0zilTDR8xfdn6XykrHGjmDOtSLrCFSerKaL
cNqrcTdJ3782P8y6iEZWCky3mJpHNd/c7/UZvw/ztGDdDHF3HOiIHu/30LT7y3gqyK8JvIGwG1bf
IePypDODWKkQf1ZomgTV0QpCqJ+WF9Q2OxnXv4ioN7Zu1xZL8Ft4V0h5MaGqHQhQuM/0ksXEm8Dx
g9QMj8+SAx/Le/nNcpiGx6G/CxK93aeU0LApWdh7xnlmJb2HwgOWmDXRiaI1ri6p1qRXjavsovVj
ZpzOT4MsF6pyLd+mkOYWsVmXMyJ2pl3qz70XRoB9PWM3WcBupMJOnMeA9Kzym++mW8PvaLt3cb8T
ffWdi/DEYF9zz/5o40bJ27dSxtFjZw+fdgmqsi1aGjGsD23s4GAdn0PEFhtzxo1aDX7RGKiCtO3m
YEmcBxGw45IrarzstcBY1NVwNQRFcl2Vv4jPXbZtpdNopd1Wo+DSGjw/ltn9sIZxn1Soq2kAhJtG
w2OIabbckXdOfrNdv5McsdCjVrCQMj6VzlBuEGN6Cxjlq8Itvmgio1fzsletEdC74OoKuvujT7cm
JLquNL+MVHtsJJxi3RuWrf1NFcG2N9S1xc4DnKz/KVsZMDumbApD58Vv61e8jtvagT1QtjHNlPFn
DKtwIRIERc3wRjjmV5fTGHYn/8hWQ1o98RyjvmpQxPYgJv0J2A+0r17v8Jl6Hzk5CovsB+UpB3PT
Qn8scF23tDr1ytjip9oAGwoAfgooIKH/ZWI6ZX4nrgUykjL5CqPqfbLFChPRFkI1WSlhCpwgOZQ9
Dc1JGG8E0jx7Mn7KEextUsgGUv/VM6nrx1dvtNaon5iBCxiZ8ySD6JFJOyCKWXE0rcHuLqfuMsxu
9ApjhxmAF7K0z7ivr7pPEQ63ErLzbpT5LuZKvFDmcFOmhbpZK2raJXlG/gSCShiCuc+sp0ueSPW+
mQDvmGYYc1J8ueLsB+ylnK8ZkkSnmFOyivYl7qsFmr/l0NOOcCwH8781T9tfctksGpe1nnlJUZ5L
Hz007ecH9k/xlquaBFS8wNJ9MrP+Pwg7ryVXtW3LfhEREw+vEkJe6e0LkRbvJ/brq6FdddaJVfvG
fcmQS0Qq0TRj9N6662XG0HrQ9Mja1sAokQYRufYN8XIrnXYs7engqFGCwAIEqV0wwOThK0mUxYVU
oTfUIEcQFV+FFNW2VaZHwfcRgS+VBcPWd7k2n4aqRmdJ85yDq2s2YpBK3emW1FvB6acwbh3UXhX/
HpRpD1OaH3MoeqhLqQBM5IVSNVN9LnUETw5JtHOI67fULyliQKoieryBt47Mh55iS7aERJZEghjS
WFcbWcj1z22uv7XLcVTVfAub7IKtm5g8h/yIKfqpDb4julJ/QdwfQOwgTLWe7Nx9tx31M3G+mQFu
gwYOkl6hfwI4QYD1r5NPn4alnTTZyoWa22BL7W5TUuyYJy0vVqaPXneeJ9X46a3hZ4rrk1H9tK0h
wPvlJwrEe0p1Mxdt9BWZ8Z0c8MCXZvWhIkg52RFlRQv/MpbqFWX3d4obBILVxBRS8SwjMlCy/hWI
9UvYmfetZV2cyr3LtOm2pKS6mvLxTThEe9btwaiVI0sjDe129B2pOtpgLsDcQMSZlUQadQly0cpC
7Gwdu3nahEROgW4M0Q6XTnsbFJB1hwZuIiAlwlt17inDLZyw26Qy3hHP3obMvxYa1lU5kr/Rt90p
bI1dDcZo08YUToD6NPltTz7jtpuB6YQIKJs8vwnxFPiLVrABWaVAjfZqUDGV827QK1/V8/zTOQNm
VOLsW+ui0NYFeR+sWTTAKJitdKcP8U2baXJrqf0tvV/IBM07qpd9qdiJb/QqYu8WsuwYn7ua0o+U
qrq14hCLdy12QPo3pBF8oOjt9oY9khAvFPPCft83QkiuTVcS4mmxP1YJimBfPUZnI4FH57bRrd0E
j3HZ/KZTSy5hr89QowhCIuwivE8eaB4/ULmMH9NSfwkCpvawrcgQCYYDLpgc+Ine7ikSCgSs3bib
NfI+avmiRkZ2GhqtXwXxlPr4uBBQoEAkUkIBIlEn4l7JHmPdmRGwVYaX0ZZYd/0NOz/DCydGk7Af
J692UXdPkeurFsBm8J4mOgEHjpxhPUcyLjemU9xQhkz83oWYKwL7mPJfOyr8pRQs95PegzES2Q1F
Rc2rTedmGJx2F4oc5oGbsGhpXK8SaJIdhv61rozvVmPDZsA/b0ZRsJkdJ981ZkoWbElbPGcXX7Ti
W5UN8qRMISjYLVFT60bCgnjyM1XWr21OIgZe7ImN/wNtmx6ws/Wh6fQ2wpKx791UgL85kYERBqIF
g92AEk+nT0lO8F00BTCwqb7WjXNv5TwVNvqz0Cymy4awJAVBRyidG2hnJGAzwNuZOLedQsp4Ejgk
0R8HpldEppIaJlXZopqUpzZAHgbnyWvc+NXMyC5szGEBRf5GE5jlTsaA0VMSHtTaYGMdun67tC2b
pX+bZBFS/D/3rw/qrvVC3hA5rsvrBlT5B6ud/v/XXZ9OcOCyG6u3119tMq5udFP7vw55fVIErAiB
+Z6uh7w+NEDqJbwHdabDRBvoIXQG7I2rJKfSbwzbVjf3Q1NeElJSZDH8RDmLWTmJVwoe53jfKoIM
WIV8u1beGLLZ488kGIHyftFZr2bcfyLR+bGT6afWgeN2E201V9/rw/Azp1SQMRs8Mokd82hdu3Kk
pcZawdQMgepF+4HVnKZO5DWVei6nuFz33/O8ZKllzAK9qZ5qEozB8ZBf0+libUs3WrdOpTJySgkR
nB9EWv3fW3MWYN0YahsinN3tukF41yevPyIpgbwP5lMNuXnTa/EHPE3rIGS26weDiKXKXmUj4oNR
k9Bw0XmuhBES81rk7aHWupHp2ulImljug7znB0gLmd2VpoqDOcFgVrQl/mSqSRO5L4fUysh9NFmd
zVr+ktGy82cbpmU9Q9QtouR9dpB69HqoHUWvLzGw/ND+c8ui/sdSKuRLPC7YO1AV+wkZSaElD9nC
7Gv1i2Kb35pFDU48SC18zobwCKrXI6D+7JrNV9QGT3Y8Ii/gAx8vuQXbNT8NutgswXWG2m37ZD7r
6lAiJdZONAg3BnJvrRMeUhvkijX7GS+DXxVwbbBJoaauHYOyCNcLHBrNW7peJLwV1LKp20jL3hBr
/16raA8Hu7jEo/tdTc4+psm2LBFMk+VsE+AMye6gVhztojnI+m4Mu3NV1BclDn03pughlHdJbh+1
P5b4NX1y2uhd9K7O4qzXS5TpHPbU6AKqKQ2xroa4dQq39jAypxopht1wId6KmiZNnTnDrmsce99B
X7VKleoE1hlUS5OvOsSNk6PhM0puUuKt1iOJQKsG+3bPhnpFkiR/ps0VXNTZY9lRuCwRD7GLcrLH
aQJHQx/uRVX6baAk7C/Gg6vRJGwGX2TYkRwFvUYCxymusluNdo6Q6srQq9+0Ig0rUw7EO6Knkd3B
tJD1OKRF9WgdLxUDP8EeVEiccg+VDWph1VeIy3JC5SukT92pzoMngr2FJ4z0Jqltcseqm8konG1j
vE1Q3ZWMDGGmpkOZ3HZmVLAMoh8SEQPGulE9zJ3c5tAXV2mLLKbMXwi534yqjgInjqiwRvFjZcAK
s9Gy1OwCWHBw6ZPYVjUPM8v9FZnfiEWsUF/8X0+RyeBt9NgalPotouzgzJuAHdMqb9ovowRWZaRY
q+LkKylzh7BPVqz0oD1tOBtp9j4GXXPQoeDDgG42xgDF3oqidV6RZFMG0feEIugSEw+S6zBcUqax
zHFfknRxxXTdYxIj9LW6mRrR8Ir5b53I7Gew2hfVmLZJOn9JREmrTllC3jSbkSEY9vn8kGkNlEfR
gdYnnQzkHsBbeOVGVB6iqaP30plHEcO+j+9zW9yECBwKOaFWr5S9Kl8No90p8qWz44OOhGDo6r0g
eyQp0JILW6W31dEfrZELOL35S1v+DNplU9bJTUnfiBX6OQtadTXrExkG9aXNekKJ47cwudXV+iUr
jcorKgBUorBI07EY0Ugv9PshOrlos95gOnypVgrXXTnRzr0JwmeHL6LeswpxdPjZTnCnuoQcIh3w
LbV9qIk8M8zkCDfkIdQQi2UDc3R6nJHjtI39kCfN3pDlR1qTVydiHFyl7tITTLu3yHCjbYXXkRxG
vBjQ/tY5edoRHet8rpCP9Fttrn8rpV6LQN5lQFttWz2hiMHcUHzO8fgZMCioav7ruOpZdtWBvvz7
lFTv3UxOrdl4rVEA+iup/fcqdKCB1Cs7pTEIuUF7a4wx2WEPfGwd0B6I8wNjw7frqRTDHeEO71WA
YKJdeNoDbAJOEGT7OO7c6anLJZ7FiXShZakaVMWvJDFRaB3s6kBH6RYTQqHeGO5crgSEf3VakgFt
f1q0LQl0LqY+n2rbXaaOK8X80pjCqoCOYKq96eqlY/VmTcWlnHEejIgR+/neQvgfz1SKO8oeiGqQ
6N0aJTm4cUybVeaH1tRBkBrnWIW3H+v2Q50QutdMe5M8eCq+DtVp9Q29Okl12BycWNvYrA1FCIBo
qDUY4Rj21lit+LTR4K61iRV0trFCFjxzOd4tH3GXV49u5lZrixGBGHdfk9GXwr7Mm6qSZQ5/QvRG
8iU1ZShKkng0UsDcJ21Uz4PFnQLdfzM3jJ75bO7NLL914q8eyf4Z0A4BpKbyisn2TY+BHcYJsTNz
+gwIAhHZ01CUZOzk8c31iyQzLv3ql8UHGlS73IRj5iVSsEdzbhEn4z2ZoO2kiqbhx1LZfzQKLNXx
xbb4o7SANbsC0ZaKFNNkOp8hiy0+qRPtMY7VrzKdK4YZvV5rdLu2USc+gwjBOWyJeFA/M7AGFOXq
21CVfO/RA0xlxbdS4wMkxHjjLNvtEnCyKEP1ZFWCgmDq4s+ryBIu4rUTUg5BVYt/0KBstCCx0FDu
JuaOtYWhzQswu9TW+2jWVHfUpyCiwNEPv6xxn7vswez60o/JgA6wH3lcW0g5dEDItJ2YV2JH8box
CllHToegMRgU0vTXhN2+qQfHT8fpPqx4/6zrO7/qDCZUDayRg+CjHQ7JZAZns+ueBrTFeSvqywyc
ZifBoa9acdQyfLCZxUbbJeMAuohJyZV1aUvxSZDG0as03XD/xHVJJjTRr8zoaCA19W1WP/IheZ5o
wRAkFFBnWEbIun1Txv7Dwny7wl6KeKFXTwR4A6xw8kWby+mNpSkZRyWBPMyt/VhQd9ewF83zYvWA
zl7DdKHt5VsdaTBwGAsaIh2a1ojVBPE8IGlkpG7jCJunElnAVORSek2dgyQBbsgwdCVx9NR0pNC2
TeM30n2ZofXqg/zqcF4ja5knvnPhjZ25dy1adkPqD7IeXyrdvfQhvYysVl6p2JqCzN8xKotdrlCi
tKKYeZYJLY6nzziadvFMpjHbvN/ZmtGv9uxZ6fOtyUJDeGsvSjc32VBfd/dB/EnZ3uYrBKUTdVCh
a2/tUk1h2vgeHYES3OYfF6XphmzWPlTt+5XVyt6PtPI5MkgSlZxAHwkbix1V5Rl1q5qX4UkxHa9z
ucTB1dMX7MMaCRMJNUZv+lJ1v1jePIUAnVkJKV7YoZB3sul3jORX3hi+jDGICRfpXKBabCADX2Du
u6iye1Zd9k9de0PwF//eox1ST4KAeaOUEXm8PY3gFitghg4YmiTFKNSr2864oDMaodppVGnDUj1F
ec72ATf5s6hQ69dD6G7osJEZ036QHVKvw56gv6A/F5A0PfIO+OBAUK+ITWZ4njwTNitdGzZYrbuK
lfFRpNXZDhnz3JINWhpNe9utPkgr3QJCxdY1UsTqobwS62Sxb1ITbTWo+dM44N6NawRGfZT4JryD
IgW4WKrTZSrbn0KpTV9pdd+gzq9Wz6qkL23hFKDoF39WR5KeepReYqsg7zaTG2CPiCUn56drHer/
9PWQ36wUZRkBcoMW9LDh1HI/r3MYST2+PbAreK3CmEW5+wIPctFs9B8EamKglBsXU9ha6h2UVHSe
bWvfsaF9jILhQ0sdG0UPuDEgu1spdCCz9rQNJP7Vfmze24z6lhp3yBlHI92oyHPUSb0xaRSaAQkC
kcPIpyvpWalivx8jNHBckyndFEKlmNJZsle71nZp4jRwI7DT7yrCjaYOy2beK61vWd+DIdjB2AIl
td7ikVctL7FUgqfa5LumZbYeCmJqMrbNGpUAEJ+ooCyKgLwziY9L5oqIvVFp301kfEiQWBiLAGO+
jUAGaN1zqCgBYw/U2MEZYmQ0zuR1YvwiQ0KszVy7dbposbYfQjovHoUxHh3vpUn6oR0hM4jKY+8i
mWxcvJ2WI9eq2nhTjjmh0pSekPb5Hpn2wi2aiSCrC7nRwHV6QywWUQGLSfMlsPU7A9rEOoipEjqq
4xF181aGMQDZ5y7pCi8qXVIyieA56s1WLezaNzTiPptHu9JsrBBiOuRzdmF4AEV1zq1LkPFNpvOk
7xJbMVdKaAg/0Hvd70YmmcpqJuYf9Sdm80d6CBMtOZRNCT8aRdOQZ/uU2JRoaIddns3ZBvgDdmSm
uKRo9qyl78qOZk8yRGdFp9sQZ+M+Tl16dJmAGKHOu9lhGWIZiGi1eT26bbBVutQzE3SSBTjaRVoH
AaRD5IiDloxcNuRzq7zCLD3EdbBwr722Lo8irIgvCCmo6I2jbowp0Q591mPTTWfGotJt/UlOnxri
iTMaQI/uGbHsOVJoxKTI+s9BhyskhENEI2lTlgmA7yB+CLqBhYfDmU3kSdSGCVSFQKQ4Sv2E7iS2
he6efazfCeFu1IROLZgpwnbhrkDqarXi1gQfzerVwTzoZPdDH7ovAUkV8YrwHuWb6txmltYWGiDp
j0wzhtveBJpDElHSx1ve7yPqK0ZNAgukDQlpNKrS13uSoci0KUFsejNy/42q6HIDR4X5JbmYhXZg
Cr2vbFJZ7WLhZGPRGY2SyCeL9SYKZWvNb1Fss7/Q/xQ7s1uosBExECpzFFHP2gaTO02HpZJDPzK0
1c9CIayqq5SbOm2OkW0/OZOg5x6AqAPoYDaZX/En7UKwJnu2JUfCwA36B5RDkEbsUzxySI4IjBH5
7dTNJ93GJ0pzZyVke5uTYb6V5AGBzeqZHeqYBDIZ0lxix9TY82ZOowedVPt1HRZgMONK3DlBSCtR
0Z8Al933kezYdkRsOXv9KUZGOBtYTw2ajvtercp140K0oubvizaXEBbmWwg1hoLHhuvurKfKBVEB
yo+xuWhzT12CPRzinbg+mLPyUUfJk/NKQf+YKc+DQXRryXZvCImQ0lymHvGjDz2mojZ7ThcZN7Ug
Og7dh2DzZRG3s0LecNejgl25Kf/JWQc7Ojk5QdUWCbh0o196zaH9VhBoP1c14pZ5hxPorp9CyDkh
MtF0wZbrpeVQR3IukWv0PiyHAtddBJA5sy9Kah9DwvgI/k4prXVvMeqhLWb9kcs8oFBxFkqEV8li
JyLR4Vnk6GrIZtlRFGsDwh2dD+OS9XBAuzXThbWzc1BDOc1lZbEotB6MIYZwtzr2NOlQnfefkMvA
4xl14en9K2M7YJFC/VZbhxw4Gy9xrsMxzF3Q5FsnAIjfEDCjAGAbU9a/addv3aysWR1upi5mS0VR
vtbJ8KJnCQpVozfqpgYAvJQR2+woq/cUvk3LZX4OgulCjh+88TA/jpXa+2lXC6Jzc/Co7W+oJpS5
0l8DkrhX8R9x+sVVXceHDkkM8wCeMeNzInDNNZWDpkIrBxe7cuL+SZbJQ2JQtgTFdwjm4Wnir9F6
+T7FH9KUsKvRoWwioXmRZZN8gktqU06CS70fln9Tci/13IKXh7tZxfuENr7gv8Z2P39IDVIxqjnK
tn2Jm0CWKQwdujzCKh+DYNwhm3jraL8TvcBA5Nbtx5xEO1bSwp5tUMo9/e6y/KVR9YwZmKGc96dq
ixexe7bVxSXoBH4wUa4beig1RZmviVz6sCZdY+TUjkBKvwMCSL2RtT/rW+ext7ZRr1t+mQy301Rf
3MW2iQJph7CmQwZcVOsBUMrWARSRqkPK5pMVcCbs+q6rjWNsL6Bfmfp4qYMlf/BB4sSiq0KjUABl
i4IXGlONT7GC/41E2llqCYbuCu0rk6dBRYNghPzdcmy5KZdpCYwJ4757SJjH111GWFXetxuFGdMc
2U9WlpWgB29/aMWV7D4QXoX4JHrqdMXkZoTE6viP6GwPNLuoaBI81nPBcWhGhqQ1ts3RsmsqHYb7
oESZifii/UbaxSaK3GyE3pPcTrreouYBQGDi+wao4QtEv7NQvptwNA5tVe4b4ab3zsl5VMeoOLah
sxrKxKLeGT5Y+o+VJe1tmUDn6WoJm8kLxmi8jNAGumXHBfcGvd0SWGdB6BX1GSx9fy4R624dvYLJ
44QCVS4m1rotX0xHiFerNe8RSX+WZvoa5uDmjWQSPqNab9/DrtG3upsmR6RRwB1mFpxlIc2zhVVz
lRLZQpmp8YSNUSA0nf1YvSAVH/dBhTdcmPVn2fb1Ia90cOndrax0wrM1lpj4DdDPN0pDAGYFmdjc
gjUp8TtBjK9rY0XuwCUAErlX+2m6Ue3klIWyOQRxg7doFjcUDqhmQ7VqSi8hiHIloq7eSYNAwjge
xEZSoccZneakt2NJ5MepjJMA6w8tNiT+G0xiwDmDbEsgaeUJTdmgGh6AR8db7IEXwneZs3QuA6dP
LtNkPahYhu8JxMYZ3BjbMVQfFh/dbhRk704SpJppqcQaFweIxcNBddyzYuNcEKP6pFIhNI0eCFsg
gNIXA4GpuvMBQog8QNT1PpY4moeptSrVnl0LETyq0Um+7xX27qWa7Yr4WZ3byAsc+dFix9hGjDSF
peTe1FAhwwS5TXUimdWMSEQ2wiA/C7fdowMRDCXvGZKKNVFwik/vnQRSTBUrbk3MYeK2hXPArlsl
f5hgU7NWSSIBzJh/BsJMn7Mgu4sz/dPMAAlXOVBKPLtUpTfpEpMbDYDNUdlJ/jskYi+7X8ULbOtb
NvJFqeF9xlbhB3ZEBECpmduaeVlUzTcZvCxMXbtlH1jdDBIGFllOQ1nBf6/DPeMUu6kiehkShdFX
R9qXu8F2XHac37Eji4sRx29VybycU66OQR1AZUgxNLblTneMg0CZtNdr1tZDiVO02eDpIuUpnN91
NsOjTdu1SlISY+lixPI10Jp440ISaTGpQKGma8IK+WdoKkJ9WiJLXSlbz40p2tUFC+RumNKNbfsY
L8PNPHQtoluYRKLhZLXCXYdx3HD+CW0I+1gx2NjkclMdFi+C1b1n9/2jCCFw1UuZ2CjjyutK+ZjH
rvRliy+mCEzdM6OO+BwGpz5JsZaaBX7mNnoqoAastZIISUAa+FBnpYAkxsiHlgRonz59NDL/lelY
IZSyb8tGGFvLnU0/o++wRrjynMYsAbG8P3cDn5uhg6XM7PIChp0arwb41KmGR0Ek3a4mndSbMnzl
yBBaM13TotpHLu50sj2jo5uPOd9yAAzXW9RTEGv+749pVyLEnxdOyxH+HKZiKbS26kgWRzUBH319
4fU1VW0htLvep47vTHgQ/t87BmnFU9f78RTx1PUX/uvmn+P/8wxWnFZz9v/jWfxzkv+8I/NdO2/+
+5GQzD3Pro0uO1oNzpzrYa7v/s+JXN9Ni6wy3/154+pKoLi+tE6tufnn8/vn4NdH/xzlekvYY8P3
gYt07/bv4TVbPW/LfZGP2l6qmDvUKwlkuRUsMI6/HnPmGYPkn9ckiKyoqv3nlddb4TJS/3msBbM/
Bomxuz7+zxGuz/7zy9d3+Ov3/rprAutdz2qorlWLOvom7lSVdQMgh/+cbA3MBWz4ct7/dbPE5UJU
1XJ61zcvmiL0tdF8SvOBrXmfisl3OnHDt7A4XH8k01zQf+DHX4/9uXu9RdzIyU4L1//r8evvXx+7
HuTP3ZlVKHsfkjCuz/554s+b/Xns+pKMQhYV+OXU/jrW9bG/DnO960rAyCqeSmxE9F7+82f88+de
718PVXRVMq//Osw/L/q3w15/J51xl7ddtb16btuCZZlqkFp+vXu15JqLL/evu2KUeoZjkmf+PD0I
P5kdH+IZFRex5CQtDt4/P/56jBDuABwc1OE/h/jrbf787l9v9W+vU92Ac/pzLPSF9aE5zNeHr79g
kKmFhfY/Z3U96H89/9eb/OvTiptXuynpNv/6Efzbef3rYa4v/HOu19dcH4sWA/Ng6z8d8Lk1Ol9k
hFdSTTFIWh+4ght5C0Ig9v8ZLgb9WTHBk8/nSKuerqNBSQnvECUlfBc9tSNmcKoP+UZLwTKgfO19
C1sZkxgRmqr6IXEdbOn+NscJGRIsd25RrWsMtthWtcFxam75my9aSumMhJ5HETRi50bJNh37x5qw
vq2Fq3cFmpI2Yov6r7NCvwr6G7KRz5jMUJZ1rJnbfLqdqv7bCIi2Js8JUdoSokoflhogrM+MFAFY
5ijSNBFsc1V8u9n4qAJk9aMaUUQ+EosnGxPIdBBvtJxVUpie8yUrrInhCRZzFZ2IBM/PGGLXUQnf
YZjyS66iBaCJbXouANijYClMF73aGKkM7qq6248kwazsYRZ3BhEeZBtxZhbb1dF+YWnC1kamKhJ2
FjqaQ2AP2YSsxOiBA3nadnymXslehZ3eDbnp1pqej7IJFHypSz0GUwtC//lJN7J9UVVnVLrVOm6N
t3qoD2U5QT/s+nhjMrezQjlFIR2pBNumx4699AC3TFF3oirBHiOhDKiIsvVCaK5CpwtAbuxi4uWz
g9+9C5woegzpIc6VNqyVgDzCio1560w3aT/+tjYfDObbN3rqtEd7F/JnmsAD5ThFIg5qVY1bemcn
rRcRoqeEfUsTvdT9bxKwgBSCFcE4m842mFe2UsmdJH4GyY+zjQ2LT9qgnF61g7FhbfzMWnL021rA
p5Lttx3f5iFNe3SB/K5FKXmrK9N0rykhqpaB2HK6bpCP0ve2d6MN7ft8VykUCKouWvhg6rA14EQ6
aDQ2msEfHqJr3KXOHbifZue0nPQ4o/kMsQIcBIR5yit6ZONhZhu2coi+om3Ad0lq7Owj5VcG+ew1
43m5grTEkucsmn9oYbNMbmkP1Ma7VOzgAkT1q861cTG128CQ6YOOE1I5oFwVkE+iyQLcNbQpBq/B
G2K0uIgz5Fu6AQtsTgV6ZznRFMnpLaJ8eQkItPIsOOpo1jCh5ziuHd7LQknmFXKGYzn206HpTHR0
ip+HbXA3qXI1184ndEMD/mD4MfUkLzqKsh5U1mWqfqaeEB2jAiuXG30ri/K1BAG/Ucf51a3JMLWM
nar82G6B+CTW4z0pGfnaTcTdLElU06fMA3T0OKkO/jT31DmsvksSG/y0b8iUTr/SmijNGUqBR+Gx
8hXnGXc3ccZJDjo6g3NjQIA1qR6drhFtgwQnEKvqTThSncjpvnbiw6wNlj2QqTZd89Cm9RNieiC5
VCott3pT8afSQyMSSpd+JvvnUsA+NkhZWTeByCnS9Ow3QPRgqC5JZ5lodyR2tDONJcyvVu+txHhW
Eoqi2NayjD1Sm9fCK5LqADk73Ai126k6gsssm15Ct/8Iwrqha1x+J/PrrKUDMrXoS8QRvXvtyamj
px73wbGIpeoPR1f1hdW7H3JcHNch9VfEeETEgz8JtN8iQ08trLdkMC/oMl/6zD0ZGi/L1eGsC/R3
cjaSTY+khRC5U4A+hNLUtE0jmHTxXES76dPqt32QPaZF9652BX0hOd0aieINHZ5Bi0oiJgnGboNG
WN0XiKTIekQL44VcE+um7FDHJR89H9KqwRMLiAE2GmEUJN7T5ZXsESPBmt3G79OWR73ym9wM7lCj
SPj1brJeWsjWmIP2IRC1UKg4ZBlIqi7zVJfsobahHNG2+UtlqvralCSHj+TShxBNPasRFGTABxBw
Mm5aJXsmremuH5fi9Etv0fWt4xQrJYKIWPsulfQ7j7WvtsYDTMF13QkTl7Gd45jpWK7l+P/h75s0
3OhqRVP4Ch14NeboOoepfBBJfanbaZ0X06nqKHS2FKy0gROONN9tsd4JqTWbEbggnufqhr7VKi5J
Q9ftkH1rOO5LlUkhJyzOqnz0IpRHpQVKQ93Ddb2xW5vcpay85CmFLd3e17X10RIRV47GbeQAmjFE
totUGzpcIKXXDQH6D2c4SDrroVUYXs2su+lIHkX516eepdC7Qdw3oW8oiJrSlS8SnU5R0I9bPSZh
YBrQKNnWlq43FIh5a8vc2JaGtjXn4ZxGxROxS76hZgjRI+QhBEG/xSaXmVK+uqJMDv06jEgjqep7
NMCPuZk9T0B0PaNpH6Nm/ipH60Ur0dVQGs6t2rfC8TyDb00puALENjzVss6Ek6ydsqWTWtKUsYx2
nwYoVGJrO8QK7hKUam907d/dMHu0qu40WiZUhAGBa7ZrjQzeKddEIltf61gb6P0pmhERTfjcRENR
K63IFiK3W2/4foIINAmEW4R8fUavLx5AqnOGa76b75Mc38OWnqCdIQl1SsoEMR3fPP0a7PhJr8e3
vp5/Epq0fahv5z4mGi1/pL9KR06U9xWu0i5W6I6nKj/06MGYEaQQz91vUpV0kRzDq+GGH63T7sMO
Ww7VTeK0cqQf0v5pjXb2oIIWMCKRMBQG7SeB3GJJzqwLIo2CxSMki7s0FOySEEZsMEVtQcbs34gX
Wwpkzr4cadNjUgvXymSUqyhmblY0qOkd++UAQbtha7tFR11XAXwnOz1K80vkGI/E8NpxUntRvcRV
Wq/ElD27jXJk5HuIFxJG19l89OFFBeNQmtpWQnUdy8Bvdy0lZPLAINdQQVnHWK5WA23C92iiMdjZ
1SWGY7KjIrER7WR5o3tagiazjqRomkKYVBb4hxP8ZNlIBPRgrouxeUEVctJceds5UEK74a6S4Tt0
a9ogLmUowm3foNujP8DsuW5nilq6QW145tpIDWGtGMQAb6kDK5px4+jixFdya3TTvHdxJpf5BW8A
ahvMQHhm+Lp0L5akLDdnDhj6sLzJEgokuHz4NA30nHoePpZW9lMtxpVcZgPS6+4pphC/ayK6Kgh6
bFwLeAzQnRdhf0S6RTZTF7xjg4FI12k+SAjfbvuz3gBgIU7ZqwO09FmM54vWuq6gK8BCnaeoU53Q
VqCDmBT5dT5km4/RJieQAV3NvU6zwbHiYafOQmc1f0BPXXHNIWZCQ70y2ya+l/1GBpZ8ZIJjJXnn
foux607qJNetJP7JCeSjQiQKDYzuHc3vCqgRlMmhe29a1w97h65GPPEskjkwXYA2iF8ty9pDNs+X
h0VYjSawDmmf0etDkJqnu3zunb0zZy82i/qKGRxQKjpw1sbTwNez7JkM45OBH6sPh5vRTbhc6vhe
ZfjxWgCo6BhS2oT1KYzLX7uNKY+rtMtT/SlonQuCk091RJUyNy1Lb0xCQez4tHvPXVgfLRaLIUW2
3g0vLEEWvN9Zi9Nn1trPjqVXa5NAd2S64xdVKZotTj9eHJepxpqAp3UfYRUzm1t3CplMKyJPkW7X
fDuGtdVQuzX7nG6TlZFO5rAGszLDT8L4t/ddQx7NUl0gD6OyUkEQmuWwUTUTDGyuMLfa7IOt7hYb
Ks1eJb3VqY3Tc/2kJFZsabPd1NBiWdBG/RZdrt7S31YdcL1R+MlOuV6baY3sVaXjD1X0rPxqQJ3j
MiWfne5gHMljZVzyShhrN0JMnOUsRGczRHCXOmsXU04ym+emcx+JvPmhtaO7xike4cqSIz3hlF5h
NdpIAMaQUAxEJPUbLGoC+Ob7+f9wdx7LzWvpFX0VV4+NLuQw6AkBEMwSJUqUNEEpIueMp/cC/+v+
r6/drvLUGrCYRYLAwTnft/faCsWZvnyrVGBXo4VoTCzCp1JFMjqW/pM5IKCt4LbAksJXo8YYwE20
HCIIAcQptFfmDTjzVZRr73GXkcQwTGSl6/JaVaaLLGJeijkCQ7YwAdXBIjn71hCUOGlrgFt3Q0lH
CTK+zSPIuQawI0dplg2Vm0lsJ3VQT8GYHSeszMsiaclFa45Nol2J0EM/2HPR9y9ysxektQ4gZ0Vf
61Et1HWvshxjkCowBpr4QKdnc/HuDiTeJgkDm6DslbB5JS72Q9aFae3L/SMIdHdqJaAtQUpyQc2M
ULPY+wthslwmJgFHSMKEitj4CElfkSg/Cu0KSOvdN03t27i5iioNKqosniPU9dAQDYekTNRnFnuJ
ocnvmml+R/SXsAoWW0UeSCuXLToP0kOlWUinJAtRsYJ1LoEmyQvcKALViwBrM5oJjXF5siVEkYYE
AjxAz2tLFhIexB0vsVRta3IzCHO8qwpEf1BRn+I0P4aivuvrypkL5s9Da9GDl2RyetPF8hc7q6KZ
T5QCXkr1Cx7kZ5nNMSmdiMmUpjsb+fBqNMNnBGtwpqmty9Ib+k7NKZUhsXNCM/yxxtZHRK/dsPOU
6mOfGOeOZuhqirNjj2NJoEe5KmLrNdbQn6B/uvjtQ6eKNEJZuq/yGrq+aBDFGebHVFMPqkTnMwla
V59HjBqicVey6ugBSzghXQE43k9yLzyBEMzXQTiRYKj1cLKMc+aTBdDH/pal1otpPZjU2hGZZGC/
6CPbwI2YYDPB1A18SbFcOLBHd8jGVn3dea0Roh/C9Zw+VThAd2LsE41NFmQZKi6RJqzEegRv+A1y
V5BBU5u7JsB0KTX4/IJodi0iE+TccIdKfBHSdGfWnez5I2Ewo78u+hTTC9BqJFXtZ1g1zgTHk/kF
nnAmGIOx0phVsvqCnJ9smUlrW2FRnvQA5KWi1/k3ust8X8D3Yb3klYIGz4y/JoPI4TZ0pwlDMtRV
xY4tGdHVdC1U4lN82UvBkKzynqiVBleLHtPaU7uXJKfD7tPtdABAITHTwfM11oDbUcLCaWx4WryI
r/TkaRw5e2tQfdflwJSj11vbMsFL0QTIEQlZO7X4Kn0DXldYntogXCuJFmF6HfdlIn8AgtgQVtKx
aEOPXLWf0TA9AQ4q1gJRZKuKI961BIO1ocWhNBCrkE9rK8WtuiQnyk1b0fkiYUUo/MCufFdNSQCI
Mdk5qU8tJIq+Cj89iAaaJpZgGst6DQhR1GzCsWhXJvPsVV3IX4OCqSN9kuhdewjf3gzULMY8Uj+x
sm2ilF8FPaC1UaRfcYrVd+hBqcnhaQ4QqlZc2M3Svxfnuzq0Nsb9yNmUQ/GEU/k9kv21rPU/IFlO
IL76VcQYJQHuz3rj2ZLG/VQTLDJXrOILpb7raxVdGd0/g+5VYsmesJTCw3I6pJrYummUk1yDgJHY
HsIYyuGZYxQ1iFQichnICKiDyeN1ZKZ0gZPERL2k4hMeVMGJ6P49qzLakaHyz234ZY3XylSu6Gcu
RgajvIO6oqGzAA3uRytEHSiS0FKSq6Iw4eXYRLNbVF5V62vlVdRl/B/K85h1BGNE9UPBxlvlg3IW
0mRyWlV5AZwHjXzonRmtFr+MFRywEFyCWd9Ii+5NJUmYqTA5YwhGTNawmBTxd3VKRh0O12Mv31th
cC6/GXj9ADFfpRzGsD9DJw9Wei2j2xkqJATiC6R+Uu7k4qSlw2VEp7Cewug+NvqDYqEjM+nJqrRh
HRaBhwGb9zgpj9I7Uup3A+dyI7JjJtqzEeqPsk4EcRAdQ2v2khYLChkmTc3REmCdNsdNo4gvXat9
CAaSEL7XFlPVGjcuxZiY879BgMBKlMmw6k5JpR8hPyMCjzK7biXiKBlbTCE4zDVaDak4JDKRz0Lf
fJbVuGgFntOuQssQItcaAOqIooZYxGdvYRbT5YW1mUXcVBod5MJvP0hzPZdhN8MHIES87h6NVN0j
sgAZJ2BiCZDam3Qs+WCC4KhZ/M0EQKIpQ0iDGhefYRZuYg2+Lt5iMdG+QrOmTlXXpaOmZHSMERkI
5SnREzBtVbotiWuZO7EkzUd7T6RmV8t0Yi0tcuME/23cKh+hn5/riHhzHUVUeGdAQ2jm4ZAL0G8S
HelGBP5iUB78VsCd4f/MuXCRF88ajp2LkLz1aBy0WbaFQCTTY5DRdmalo7TSp9G1W9mKHiHiBNsi
T75af9nYYfo2Sf01ybGq5ApO46bgO0fDaUqGI9T+RywU70wh3sVF5mwU/Vorp7euDEiZEDmRCxnp
WuFMQsssG8ibu1ulcvRGhkxHmSjNipG8Q7VONSF8s7AELT3VQ5YGe1TQD5k5QGkUhdc5GA4iCZqh
lR9lhnCgKF5L4A+NaxlVTUuKZ/QSpbVq/1Ra+akp6Ydflj4T+OKcCdUKCRuDi447xsf8oVf7OR9c
H9urTkUvTaSSLKzsETHkKieYUM5Rv0wDFqZQ8q9xjCpWI9KZvdHYRwQ90KZGTE8elKdX+WCLdjsT
C2AYUbKeA2OfFvm7rlZvSMfv+sw33Yj9lCPkitvBcIXOsfLiGHVm4Ml1bBvDkmpDvIUSzyfBz3d5
2s9eRRKm1kH64ZQnQGKzTZmjCxVlv9HImsWNhUfbxGK3fKlSsR5Gg+INmCZW5czo2Ivzo5I+Q5Ah
+qG4r8P2JezRvi674DxV8ipnerQOdHYUavkn7H6AzOcX32hPVG7v/MYXWSXIA6OT5GpxSWBB9tiG
8iv5ZCoLvZBp7VB6pjW7odpyYsyjR9QLnIdFijIUj4lubcfHdspeyjb+ZPV7Gcy23Rr4QZR89h0I
Ai9aeagJc2d60G3DkCmKT6H+IJhkSKOjIiZFS0AxyZtaUCnrxRNRK3IVHLJJOBRGKZxYa17HjNru
3BnrmqAGB6XFwJoeIQ6GmiWUI002eX3MC4EGAW8Aw0r4ZN27mrr+oka+uRln4VSyKt8GWUIR0wx2
fTSwaBTqtTI1gl3GiO7LSfOmJpN2QoqWuZqrgE4E+MPUDEUv8yVvIqhmqwkmcvyJqBocYNmDMDVo
aiBzeLebv+7zYTVzXNK+Ae4fJWiBS5lzVauxjM/IzCNwJ8jHF1ONjjR+urVu4KmqrGlbGBmQZNN4
06kjSxioV4bSCRu+zxp++croVJ9KH1lYLG2e57RuvJ4Zej1wDiNzxkui9rEci/euBQEV6Zx9ZoEw
Oam3PANcqgE9kRi/97aibjw3VY9cEhVBgzdF6EA/FwpTe32QvnEDc9Aww858/0OJVbA5ZCY6UJVU
C4t8KCLBqnWGJbPa4RxZiucCok1zY/jGZ2jJmF9Awk8Mwn7nbxXiAUSVilVryVcrOXVIEfAIH6vl
30VLB0bRpQqB6BtYUJLoIWKY+UbFf2MTaH6YRf0hK+/KGAwDyprHPMDhjpFpW4ObHwLjDg/jqjbM
r3rUDE6GkLy09BwvrQNLyCgbjvVeFYMBF4TCEWHlUNbFdtf16B6rAFIgRHOHyfXAYa1s8179tkSN
1Rv8FHTiVRJSCdV9iO1G2bBnKcQGTBjvQEjdkc/+MmYN06ExxtaoZD9DNDdHEmm8gPK2qLFSVgI4
puyU9Afgw1qh+BJNxtEKflBBxXuxXrwILDjLyMwZHuPHbHj2FWwpvckaLQyQxxZYv8eW9JmxQJlh
xaydDWR5MGS8OBKla2IxWgPeZnVLiQUalOZJ0V7tqL7ovUp2EDBlMbs2mZm6Qo3BoJdAUAQCrDCT
oLVFChejyORHDFi0ixuVyiFFKnSalD0x/hK9JPMby6UA01zQT6OWJB7KIF4l7xV6YWvR1N9nDInZ
QKnS72mu9AGvahbGWzuyhhMUCEt5atqJrkuuP/cXKS2YqCoVzmJIPyuAnZAvvpK4uq+tfNik0+Iu
SvGMyOq2zdoO6Q6NqWam+GQYyXtHkY+zTSFgNqVilhbhNoj7ZQItv2o6/leqlQFx5WN9L2ZolgYZ
edvSevLfKiosGJcI8wjbA8YBTIMYKoMUmh6TkbMP5gXIHMXOThQsD9CwsCBosq50rVyrmfPT9tD7
wdx2FRW/aO4IWgGjtraUIIHBUQP8pW051kl3rjKaQI3W8NMMBZki8THQ4Cp01G3GFDnyQFmTuVS5
jXssNKymvLAiCIjmq3hsabvjKGUQI8UQj010zFXxzipVxVPFrlr3U7GdqxiDRkKOh6yC5CMjEX25
SkAB9fbExNIQJ+OznuMDFdsnumb8/jl83ZmKrB818S4tKKuzbiU/BX1hrfTrXFRqCKt5dCCrz4Cd
StG+VEZhD5GZVosFLLBF7skC4sWycjfXlvln0Wr7ud+SKCngiC2ec31WyF4kX01Si2mnNktPqBZJ
SZAyfFtGUjOvTbUVfGryckN2C2FQ5T39xqzlQGOZpWvPWYptzJBy3ybyLJehRGjDwvLlEG1Kczkk
79KRf0EGAAdECq9WVVUFFV11wF97bXW2rS+RTh5HCRoaDnsnG59rnW9M0oRpE5S95P3pDGu0ZHSz
v2qWJiEFzw4mRcl9UJxFSijsUTS6+VXcMIFdrYBEcH3+t1ROa6ViCJWWWRYBAHgKTZTgcdBvVBbu
JPplgit3au7RLFZCLV9byDDDsOf/Ve+irrYPmey7fTxdwTEcyt7ooSbEBXpKrBX5RItoBiAwRjNP
En6IbWYLaMFHqeidY5jdLqCHSuHQkq0agAVlc738ksnbs3En3PeLU9f0zec07E3CwHMSZqqyXLVo
UB25qjZdvq9z9mTNxzXFgQSZpTyqU8twQ6jb1pBxdjKt0Njn1FL6GgPtXZR/+nH+6vLqbJWxq2nV
/dzo4q6JMJY3/jvaPV6tyjqG7osPWcoZS4bMlBmPLgz9aaDHrOOfisPebULh1apVE6lCLdqMd0gK
VMFw09n8DBOVng5tLxtlLHONmbnIxIyVda0nF4yV2TglDqftbaz4007HirOKWPqoecdkNijGNWkI
Hvmwj62QiuvavJdVgYmhOD33I4CqRqQqPNZPbU9HRB/w3QV5AwaIDAudGAg+fXAMm/Y11WmRKT8y
PHeT1T6LYM6KfT9eVZnlANkcjM+WwJx9UxdaeBcQGy0UCm0D5ipDg5636F+BR6DpJvSoS/qV2n0N
JgV9MllSRkjh0lIUKGQCuwI51yl+KE+9z/KQ7I9siZN4J7YG8pAxQQ6L1G0Wx2dBLYHQaNBtjJmY
ncKifi31rPmgxlH8L/NvURk+2l5kxqIPG4mxx0vyAtZn+oGj3Oe1mEsEk5WxbIDqN/2YvQpfUV1q
qUccKTtV5STEeWUibKHaV+6rxorJV2LfVoDes5FJBLX27Ee5LRF5QzLIMJxKrFlqjZBlBJ0Vdu/T
VNxxho2ZBSsrTCURTFRo1Ga5nuKiOeAso+pvxeW9OJdfcYMWpA3jR1mEJR1WlF7DQoPQV1E4wUDX
3YEajzLhk1r78CYEG7qvC/FYPfUNbbZ5zD8NAz6oobI0qptTtThzYkmcvQCq3V20XGhU3zLBMna3
u/CpfPYalYcy0fm2jXkBXDBuMgTiBIoSsYSlcW0KFmTBup+csmIcJvnxEndRzH4gXpsyHBxJlgk7
VDamjmdMna1rEIVAZWpq2kVDxnnts5DJhpm50EIUr7bV2Fx6o5w9GQOS2wNTGhNw/gxyOKzrtPI4
eHARm1iUWhPvL1EyNGQExlgdlT0rr6RwlbrpTn1pPqSEv4r5jF+1lOoTiUjlKolAUvJ6BPBCS3uj
GuK72p8o8lNmxFH4MXQSTFKDtnzcSc+KXhmoO97KKvfJa8FgXYAuq427jI6Yg4UdOTHKeb8U1j0t
VikVGqcAWhZj2vL1Hms48Rw1MQBZVgEP809AyY6BzlqFZRk62BJerJBQj5HQQ1tlySRn/GbIBcZG
+qek1OeqSyjD6JA4JvqfKuelgPSRWsCb6ff3sY9rPNKU3mlzEquEFPxbJZk/htbjPWyfxxalmVoz
3TAmFLbNxPiszF/qaG5qBTpr/GMQ/+DOWfpZjZA0RKNl7ieg+s+nYD8o5VOdIKZo2bnk5jImzd6q
Ufjg03TRmT9JCVwDw1I/1b7GJ69IoOUsWbF92TjIpB+l9F/cPtC3FpKfXRmPT9KMhS8oBbrtBRvA
UL/gBnhdKNg4RdL16JuE3sfpBUIEfVMDJz8ycpR0012v0D0gEfc1vEeBwqhi+wOxkHLrCH19BDyW
esgytlPv35UNDWKDWkQijUh1DN4TG9Q1y7Xveh6PKngDZqlO6C/xUjyDvVNAENSsExWfVrLMzuij
3OlxiKU7aTBs9sqm0tqttEROZeOjQCb1sUMLJJcap4FoA5dCY/KufMuJAs4YVoRQtDN1roSTAduN
VMesQvRUm+G+pZdGze1dVtv2gP6T0d6c1kLbWk4DR9lSQ/aW6Aw2nKQ0xvqi9hpV2uo9OTNEiwOr
l8q3VAfS7o/YlWThO9C690RNPlqIyuz9sjdU/C5qNNj4oJK1PjfgailCxoTUCEJMB03BzycvGdig
vh0qDHRsNTZzj2YZ4RMj7C5u4yd+/wfjo8Yv6QTUCyjTUvRvLBHfIcsqLfgem/GhkY3vMm2v5tQ8
0oWAQhoDUReMlr4z7jLyvFlySIt6hz6qgOdaV8EbiaFlrjrY6Sz5RbrOhq/sy0r6kJbUnCpHJ7Z0
s/I2QPiSmsDC8nLbw+Xv692kTJ7BEZSj3ssYuH1deFG66KeWcWLDsh69AlDz4OOer79zo7laZUA1
Oi/uKnUt+Zw5GdMJw7Q2mdofR4ASeGcHmiduZ0ZI6kS1XAdMVKvSgP2+2FwYfL4M+ZuGpkkenHUc
kaQ5uaR+krlzxiwc7mAIkbI33wzlxxJAGBP37KADCkzyKvPaSRNdZHMaswuIjbnuSQM5ck1bVuug
qR7wgbmiVnD4J+qO5FdoUpWAUR70QGZVLSM8RrL4O4S4hmmh3RJHxfcGp6jqVHGY3rII0wmxmgYs
EKG1p7Jhj02+nAcjyR2N/BKW9b3SKSQwmDYfI3IGfLSOSbXcrqn5ERVL65l2uR1NMPQMJTnEenUO
YN2SHFXSsRppYoxZTLEq9apWAFBS3rWzKEFtJsgMb6KDLdHLy2ZT5KA+OmrCUQ55px1z1wznYwS/
mnSOKnfFst0FZkzcO+mJ4CL2EgBGF37NNWKxmI74XfqGKUAbwIFj0g8AghQqGJAxYAUrECJHmOR3
va3uVLEl7SSd3FZivpu2uEOYVws2eQOwtof7NlA+SnUfKIyaY0Si5yT/WGgcClWDWNlb38bUvlP8
UivzmQ6KN+YBvRLizliUEt4GjzmQ74x4vAsHJNVDh9pD2pZBmq0lygN6pt+PMmY4ylO1V1biDq4M
aLNavjYjvJuKgqmWgVlp+9i2cv2Uz8qjr8QPKmPK2jQ6L6lnzyqlnc+ZXDVjuytokOkgk+KYaiQW
uBiLBNEvioOMkltmwGSnRBfTwDMW22wbFaCqe2lttC2zEoqNVj4iARDSgzrWX37cfyUkqvnxTPzd
Q1qR6Z0zEKJFeEF3/xWN2ndHuJy/JKKLaemJwki/jFBeqWLVrocflGRp2GMgo3gm3CnFfAk14zk2
xo0oK1tMmZUjtPIhGoQFL4tGp+OEqDV4bQ8/aKldgro4YTS13VvqWiMnoRWHDyTr92nyoSoL4CDZ
UtQ9YwkjlKctrrNvOTXoA6xO0pNV1KiRrNewQ9pOp/MggEkgVAJQYJCNBy0zH/FaUeDOzCex7g+d
X9zdUP7/b8MKQEKSFPCvwwqe2vfwv2QV/HrBH1kFkmj9XdTE32kF6u+sAkn9u6iLMus7kVgCUTX+
mVWgyn8XJVnXTZ3mnGRJKgEDDevS8B9/U4y/i/wpokZcBjhLWfu/ZBXImqn87d/KIp2CIt9+/eNv
fDSKZ4qoIKZZggp0hS9bfr4/RHnQ/ONv0r8XVRGFxWROR11C6pImeMhpTZOs9aerutGxbO2jrtr9
uvrXJ6ipR4XO6NZDgzjcLoz5PgoX6Z5VtF5OUZ1lgfXcF5S7ukJFLVxFLDaF+9AAMFx35qEm+GcH
M8h0CUv8GQshus+nucY/PkVeMyZLlp+gE8ZNohJZbDAMaxnzgkECDT6oHTbv11CYX+A1o9v0B2jV
KiLhZBg9OaNskTGhYhYgNcSx6MTxAbldNdEAXeX2TcAIciq7XRUgtc+Pt6sqTIF+b87F4LBAotwo
lMxubw9FhPL9sSn+9Da3h/60lW7Put0pwviJmlnyCDHoRdeYfUw0tJj6l9tVHPnpWlXDC/k1ZF/+
8yIJZOyMSOH/x/vUocVXc3t2ii/oj6uq0AOkub3y9tDt5b9v3u77/W/y2wtvt//b1f/9v9/e6Pf7
BlGpbaeoHrft8C+ygn8/0CRks/y+ebsWaCXj8e3qLW34Lw/fXiIuVh4wjSGtHVDj/9OTyf2gEfrX
d/x17+3lGvNEFAnLO0VAFOYq3N1u/OUz/f5/t/f6y7+63QyXnQLGJbWVf36fEhAI5LvlNq4EmWxa
FguEzbFMzm+X0eK3GdDk4tpZruJ8z3doynZpUBfe7a5fT6Ruib/on0/59R63Z/960vLw75t/eji5
WYLozrBMul29Pesvb3e7+a8fvv2LP33KgBA0yg4RBRva96RZLYajZPlwt2dWgQBzyBqE0qFVCgbw
dvuWjnx70u3pt5uzEMa74eF27+2O3+806y1vcrt9i1C+Xfv9yvzmxvr9GlOgh9ZlMovckPPoUiZu
pRw1jvb7KjTDepehh9ndHh9zHKelxmR7WMxiONMVp+8M1RkEoXcS9Zxpmra9kSP9hSGZR82B7oXA
XECYNiDSSBnLOW+akZ/tfl1FyZdDG0z55DiQ/vPq7V6yS/dqHITe7dbt4vbC2/N+3/zTW97uvD18
e+Lv193u8+UF/B/n4boKZkQ1fVZ89FMFXNmv9/OSsynmKet4zaABkrZv5jKI3y6UZmRQJ72ESzoq
5U5Cagjtpm5hno/DbrCicacavr4hqnyJNz3NanUptJSiXV/DELgZgXTtUGfNtAXpm+2wDuE4W679
vrjdBwmPhGxwE/Qw2R5zTUeOdRoUDqFWrmpckW5mSAT51pXiBeEw7vyAi5RezDqapUuUQcZGOdmI
OxRgrFm1M5U+pq41DNE2qhWSAioycJebWV2tkD1SSus7hF0jyaGxPLTMm0yJ3Js+BgIXlcWulHH8
GXVlUZnp4C5VAzF6z6zw3xWzk9ZZg/YQZQbzqqZObHABnCFExV+P0kwUmYlntxM3aPyanSXCZ9YE
449rjVmrlJw7W1nGaDOCOKEtQd8TJSMOaAZvisYIQG5Xf98Z9eKdMoTzelyOoNtFqHG4/r55u1ZP
CN+UbKk3YTe9XSRoJTwjl7ZwJSZaYroo7oTgrhJbwdNrvXSEcuAQmLKGqmLQNLYAFiavu3vZ6odf
O6Ky/HK/d7/btdt9pKnh++1VCCaGSE2xSD0IL80viKoGa+QPsuoNqnp75BdudbLqifTm1EFVMe7g
sy6/sFIy4EFPdaPb7RCp5m6sfH6VQSaFVzVa1W38DqwVxaQV1GiBxtWsjrtfV9tqA+hY3obzvPaH
Wt0FtYlYvkQRzDJyZYa5hQ9fMn9d4LtSh4kTchfDIasbtFvKrDr0tmrayQrGoHGGNWRQzKFlTfAB
B/JIbYwZzUaazuA1p0eM3wqs3sfxzQw9QhfMYkXa6/ycboQfVgSBAtrLRvTHrph8RaxBCTj3yuCF
kmY5ImPbTN2L+6mUp4qKa7OR8V6Ebj/KtmvgyZKJEQ1CAtU3rBWj+RSI9yTmVupX57/3xLFSGYOf
gBiMNPfRaZ+hateCK4bvmXIg+CxHbzbuO3OTBuswd4D56cUL+K1s/kbeENOWK0Naomst2NLwXMz+
wBsSuydQmMBObDuqRibCvg+uxrdebieIeJZbdLTCN3V8LIBMQy1LD1SgUGFm014FFBQeYR6U4sZE
hwrHorfV0INXNwMIKBWvYXPKAipEdaXysegoUwGxtgJSL3Jaf0bI1gZs16F7IekPUCHv6Jd3yIkz
orJFW+gOk/mAOG7orhkq4C64L9sv3Cv1jsxPNNWgTBHTRiD06HI6eboNBQ1N3EbtduAZA2KxcXup
ti+egn6nkxafkQS9Ud6HYKaN5okdcRJbOTlkzbav7EKELmOjwAvZvgqIILrYK5A9lACQnVhUFFct
Ei9bfKmfTWE30oX9IYgVDXh3Jx2zxhHSja+5OglNqLWIvJnt/jnej5Y73AWRIz21x8ghYycAM4Ea
UKGau5307ah4ZUgBfaXV32Cn5pT2ztFMbCnaILjX54Mpf8Qz80iGyQUSdxCtcyE4he6ZcBLnXW3c
k3gdk1wzc1woK1KgV3HyUwTPanMM2I/2hLmwvVmLioEX892I4f5BQ0/QHmOYwG46hrsl2htODD9g
783EOP2ASFZRDKGuGB2s92a7k36K+pwnW2QNCir4ymY7CZgngTqxd9IIrMxtLLiQTqGWwqrjzdo3
0qU0inpE2edgqGyUMJpl5zHqE1LX7QH4lbmnmCCNjngoHzQBuATYqd1Mqzd0mi2SU59KJKy5Yp/O
7gC+vT2gE8ElBBEFrMJKPczJtHLHt/EprOl3SBZx0OdW3g4hOL7+gNoGIjpGwxixLOrjFFnIdpj3
Oovt7/iN+qMOv4iymiwS+vUwZAeDJtEFMZ0qvKJhiYy76AWRtzKDudtJOjNwO3u1lF3DoRBgGr0v
l1SK6GHGJTZjw+CoJcJBjErcMvia12pHA8TGzjNgvwkcnBNU1Otkx3UJEgDwEQBXwiGuP9rMSwIK
8tKlM+/oVtd0OqwVpBT9C9GK9QQ3TXOVE3gWQMaLltAiQIEZpFuq6+EVTYlu4NTGDbFe6ka1Xbxg
zgDR0KHj1R2xcniXBlUn1rjUYZuf2Jlp95+UPY6oTYHCsl0vLKBuBTIDjOiK6t1okNzoRAjWC7dv
n1g40fUv992LprxU3YZCXbvpHuQvn+TQesNHg8RVUgsH1VSXHp/JB6GTHWRlpSMzsIOn8krBVo3g
tuzTvQhpB5qL/EgrtRWp1dQ0ng/9cNDFdfjRRafZcrCpCO8pP1fViqtJ8JroRDUKJZiBl/Qpv2bH
ahfeqRfBbeeHMILLTeXmTVHuQtRXRbfS0U5JiHecvvKU9CiNB0E91v4+qOhOkNC0rkxKoXsw1gjI
Rlrd54h+grrB64fVYsLLcm9dqWNZn8Uz0ipU2BvkQY/kIpTqNjjP+4RkUWp9VwtnE6HwOWBuF2k2
BSiAjvGLCJdnJtReXvXWpkk516GbR8TvJIswcEWtKzyUwkUjRGW+qDO1rPPAorR5t0RyhjkxoBta
KRo/MjVWbJDrgPAMlKDF46ULL9O8M02qmy35qyCeSJfADP0YxD/D9NpDvGc9iXngmjUNWeZHOcCl
Bi2OGyIsNVukdG8+ANtPYab7B33c9Iws0a4EGl69D+VBEoCQe2whEHG1uYIJEAFPpuQXrojQsvCK
cl1a9V/Q2uLVXfgSqXvePdmzoAkV/FmoAlfhRbcrb3goIB/KztwC54eFStyGlzqIcumRtx/QHAsv
rD1SVS4iSh9b36ESXMVrA22M86mRY3vFyaDfJy5047OC0G0dO/l+utdrV3nzNy0qfcQuLnsa4Zpo
4r5ohMbPAVBpW3w0TkPs8sklUoZX4RWaso+0G3/Ak3pvfpUbekPH7/qKzlU7xQj8AyAyNl1EgT2W
G4Ir2JC4HhqHeNdNZrNNV6EtrcK19vC5+iZ3+hMOo7MNxZV8r5zyjXw/MSgwAXjC0MURk1/jq6is
6PvXV+0B0wK1+UylCe362NzwWbhheuSpQ7Fu+q0OXsdTKDTf+wYil6eU3lnsUSPWfMy9K6REwWiH
DvEmRuGAIA0Gd4uqCrVnCHXprfHKu8gdCXwTvaB5YLm0VNJnO6jXkxvtVKe38ZTJVGJxSeSneUc8
MyiVD7TYNvQ1md7OWrpuVawCb0iulQPpIRtCE5uT8Ck+S/CkMGi+BxwGiDPO2iY7i0/BLjni7UQH
QwqDH5/ochZPhRfzqbzobL7SmeAxCcsT6lJ7/jD41C7KahxwYbGFzxQAwmTaRoIA25ZG5hlFA50P
8m60q8gRRpmI1dOTdJHBaj7Kz6jEnXzd32vohVf9fbLXbaJo59W6I6OJjWZrB+XQnPr7eut7b7Dm
5sN8qE7KGqhZsEFjdsD4feTwxpGX4AU7jCTpXFqfc8YKtRUZUPkjzyhWAAxO80Fbh6/tVuv54pNr
7vzdW/M+HrLT6JC6Y3rMPg7yLj9gSZ/XFPTtxBbc1EGjvepW8dG3qYM7qAOP6dpagyS7b7e6aZeX
5FRehJfoYXS69/hCVMGFBsZP9Ty45VZblQDWV+1rcEVDjMf8Am4aAbYWO1xm7ap2pDVnjSsjGbsO
WxjTb4ppGd0HBfRlDB/u54f6QEZIuU1OwkZzjIN2KR3k3nbuWfe5Ha2NV4HXtk54xAAwv3a2bAPI
thmhYHiiwX4VlA0aLk4urxnfygs8JiXbdM/u8Bxf2sPwk5xMrz9U7ymzHipfL+LPS3aKHibX/wlf
8y8gM2wJxhjyiffk3Ar2QuJ9zB+7Yy7b6+5NfIrO4LWgIbNbcVBFq4v4ndNotMXRnp7obI6ri/XR
vcH1VV2C/87ZxnxXn+pX3AnY+5mzvNev8adqDyeokONjsk/28pNu9/fVmXhTl/7rSvTkI5f27Aj8
g48SOb+Hb9vOIamstIOxIbx6F74sO91GuNKaZHjrWNOCQXoDd9AdEVZy57jKztImv+OUuKu+2VeL
J4wK23kfr5uneR8wxrTXInGLI2en5Pu23/8Hd+fRGzezpu3/MnseMIfFbDoHSa2cNoRly8w589d/
V1X7uP1qfD5gtgMBhSrGbjVZ4Xnu0L7EpxB2NKMLb9FqPGb8XvGqxdHIBg68xCijBHmKyj9r0k/s
V9oX9vEyYftta0eXNQr/GmRhGbD4NykLcOPjx/wRPyj+MsbCfFigAqhhYz1tLVLGAJCelA/1mn7Z
XlqbcU/il7fl1j4Eu3E/8oNMN+OP+g12Di5TG573HGjs0vgO/n5aFs/KCcOYTbArGJFibQfiTn0e
jFdwdftgH+3HNWNxj8zk2jgo1wZI1Wjt3GefMAytZhV6PxLwojgg6wyZ423ygjqu7W3Cu+le3Tqn
+arDcfG6RhYLXbuEd0V9I/W67nf+7Wd0N/CvRgUb5QZwKkyVD/EpuptfRtkByl4CUAidCipszVPx
GZDoxmJiYX10nAjKGhFw+g+GwY/h2qYjeG73+WrcayzVvrWn6uB9ZADNwNzdAwt3v1Gr38JX64qk
/Sg+9XwVxMvmvm+BSpCdWvQPzov6VJ9ACuA9m92J+cG79lG98xFJFUGCqj776Wp+YUDsP2Z+RrAf
ueiM6diYImDvQ7c0rdFCgHh5mNYfQLAA0SzGe+MGpO2CJMoyXAbr+kRfyjD5PmfXw7SFB3eiy0tP
wzX/12SnLvFlPXbgMU76AcP1BVOgpfau7uG12lfe2t3z4puIbC5B76/yHR7TK3vrndStelPAxl1Z
j8FLvcEElXgVLCZe3mD3Ea7KtQUUnjFtvLOvsLZmwItPfO6xWmt0kjiQbViNvYDFCD6cH/NbC73z
h/ZmnVzG7njj3eQv5dHet8ewWXr3eoyMzLqL1wxp+i3TQeIwPLRP486ge673wxIdtqP24G6rLTNU
rry9dVfWPXOK4dMV3x7w8xEB2V332dNP7LIdWbSltos38UN0l9xZRxjE95saQvmLziOQLEZlpT/1
vJl3vLP+M7FFfkDz0yBNHK3V5+nb9K28rR+T++ymvcrpBdF9PYWPzoN2qtPlvPcPKFbeuHfqGmnw
t494pdyjjs3rbOzEnz2ihrmI6qX9rH9LbxVrHZeLQZDKF22/VPCZ3RnRImEKtYRU++qG14w06nPj
X7nthnnxwT5g27hFFrjcs164w2XphmkmT63+hMEBuAtgacN+fAwO5h6v8Dze6O56dj7VSYjW3yX2
xK+IQrPz2D4iqBkcbJ6jmje2uPde+BAfIEkXXRz3m05GW9FhX9i6Y7A2Yn0kw26KCERKgR5ZnLfh
4mK4uk2sgPiTK3IJsqaJEJWsnaNRLlocxRDfsQohCGWKcLIsZCTq0pS1YBrchT6QXZRRKPl5XDU9
dKFXrgZHe0DBYdyHJEsrf8B+EUKohpj8Hioy7LTo2CjvPcEcTQh8pv26gma3A65KZpi3GjgqOlqg
xpyk2GG8e9KJyW/rNGABLAqWLhgJ2/ugQqEL2A0yXaIGSA6aLFJA+ki+oYlFVB+2FHmFusl+VRNc
DBgFBrrLVAiYIZShRy4RTPcpcGtQpQHgU8To7osZdCYsFBa8c0w+aTJABJvEBiObiIMmNo3YzR7C
UEMzdko+gHgSfdGFwA4z6nIMSFCNo5iUZ8sxSa+n0mYaJD4nUS0yAmqskrVOIuwN/RKtx7m40Q2D
DrdSTsRodzU8djpOPpMRGGByipexxwalSwAKWx65itYR6RFZ7UabkEZkIq0oQ7oyxivjurLmyGTd
UFXHzA+ybWwQ/pbFJPJ3ek2g/LKtVLoI6jucg3zqCalog/D6sepDLwrZlIUKMxjXBFZgMg4qi1JR
Kh3ZTOKitg8nrQO1IOOy51itLrDwehVRDqGNvnSJj6oqrJVGERmeftesLiD2KbbJ4ktTHidPwxaI
NAqaHe+aWxDobj4TtQFB4sLtd+gAEsTdFJVxptWKo9bq+sGrb9K25HuNBCkPk6fWB1hvANgLYHn+
HnZMvNI7lFErk6h4KbI2Y0NmT9YSF9BHHiareB5vQRHkQMixTkfsEcT2ESGIU4cywQagNgB1vawO
6M2XxEjtZ0d3u/25JXd4cCtWUUDM/o+N8rxzW1b7EaS3A1loJuaKRjXDCkHkNqiJHzeAJcmNybrc
LAuoWbzborg0L3urxifi2qdbedhl+/kqRlfX8/Kyyx7yO7dzWsRMIAb1eOvCglCt6wh4HN51gNyI
MmBSMJo2/95/C/8pJv6qsCDfitSqt4UHaP73Pln7quYH9g9pPrlLFpVU5DNB0iMd3utoY/DGyJOI
Xrfz8qLdBweJn/ertOC5LU+Qp8qL/lUy8Hyk3H+56OWc8+Uvtz8fPlpBjtlh//DlFHnDwakBrdfE
tC+XuRz39ZP90ZYf4uutLu3KAnane4h4XnQUz9Wv3+4PYUVfHisv8sedzlW59fwFvY51po2w0R9y
jP/xfyK/DBIOPIDyEn/8Xy/f88uX+fsnuNxifp9b84k03Vsjkhpo0maHWehwyuLLti/Nvx1CDoC4
1pfLaDJpdTlc1i7HyMsWUtPzcsxl99+2fb2NvMSXy56PcYz5viXftunE93NlAjaIp2JbwXxoxUCO
eAmF2PulCe2C5CL98689rsyiysPPVXl8QaxJdy3k4v5yCXmELC6XOd/l8mn+43lfPth/vIw87nIn
eb3LtlFkwf5vQ4YMFVTO/wcy9PiZ559N8/n5D9zQ+axfuCFX+xeJWkczXczOudjw2bT//V+Kp/7L
0CzDsXVXc5jFuQCDcvK0Ahhk/8t2NYAkpq6amgqi4YIZMv/luYbtwddnBmB4rvm/wQxpgJf+iRky
Xd0TuCRT1QwQSmjU/BMz5Ey1oYSDlTOlc5jMiwmYJorBNNp9qz53YvJQGDrC37PqIiBYFfCy5Izi
d6FkYsLRigmHPHxUwuZck025Q27Luz5Zjh0xCEeEjERCt8GA/KAGAYOibJ+rrlHvoTUAOMLIegck
5twvOCLhKV9vWcByosfouhh8cGWcYpcJCSoP4DFkdfALeKeyWom7JGYM50szSgTILYib6O13h3BQ
9pWJ4Jc+Bska7OGzJVARVUZa0SJS3s7gvJP1mCFbqqkOstizPwwI9zGHMPPsqDGPWGRNBbvDA0xh
evomCYNv2sgqdxoBiGsw09rE+Q6wwVTfsskObyY9PljhqAConv1dCCVjmQEN3JRlemrV/hbRxGSd
TgNq5hp0pgmprAhmStoR6g9xgUEvL96qehAhdlcfomCMjm3rbLyhQy08D1/L2jhOYh5rugYWiMWM
1U8aHRWjuxvTBmHGluD+dsTkd6MPT0nYA6lGjaEbRtTShnKjZ+aLaqePzYCOuI1WB+MGVM6cNIOW
ZXdTAyO1cexwaSqltXG9BzcgthHPZM9nzX3NZyQfS6TfLD9mWY1+4ASdhLCqq+zUqSCR3DTkRSDB
b4Ya5W/SUwh4MpNT5yclvAcK9ZYCi80jcpQmyaMKfs4qMQByenDl8LI0l2hhwvd0EZPonAEsvfWQ
8QLuVAEIdaNT4nfmxoFugN4H8GAtbVa66+XM8N1rsynJDZjaTyVXcECMdO9QpeWtkdTVnY41BQPO
ekrBz0OHIk2Ef5abDfUimHQTULMGfEGZ7x3gBZuwIbU2uco2Sr1j0EL1GmuyEh0iDXpEqg4lHg3g
gctS37c/BnEVe7pO4vE196t2V0YEdbATfo98PcLmWMgZ8wbND0yhEGXXx1s1xzU7sgITOZUB7cPQ
/B60iPj0BnnV1OGx8WMcmMhabKcMGHyH8nKr2wfNhEeYpZ6YQt8zUybOgPY2kqAuZqbBtM6Qzx9D
APV24ia7oIfv3IIYx9t5Y9XDfrYHMBr2eBUpbrby7zx8UC30vnO3R/S8th50LGhTaBArOJJ3bQvv
XZsJR3Y674+msnDQgZYYM+wTda356FgYio5eVtTc5/WAYuSIn96Iq7NiWatYeCPx38hthDviLiVH
Q4YgAex+RED/sUbRdB0p2lFFStw0f0R6B1cgyaydXaiwgIR/lold1Bj108I1ig+ejnwRdANxhYjI
BuDJcJVXxPkVDyOTyVvwFEPAqV97FidHwI4gAQHwZSVauLl51FRBDJ+GjdZ2Gk66IxjxuYM+CD0S
c551owTbaPZ2KQEFBYW8ra2m3oYH6K4AcgF067UZiBDWpqGvJ/HBqhxVg86AlT+HAalS8zHT7PfE
8UvCd5FFOrPCX6KBOpZrBDE8n6QUBpTXhuF8dpbT7kCWzvwcPnIYulms6qR5SXnMdo7RN7gSzPRQ
eI8ouQo9NBzWAvtcetcaQqR4Ny28Hl8WBBO2MRrg29DzSIDrY7z1ajAgzqD9qCYo7fVrEnTWUiuN
eEcHghYNr0ZIih+vuJMtblIA00f9RsE1gLyHr16rmkIKGdbzbaeaP1KLPjXoENsbb8c+am+mFOuM
vq6DfeM9+KMXPDeOJeBzmOPixruvecbUbrIJIkBFC3VSzujITNjjIjdFDNcSQmdDr37XE1oZEqcB
UcAIsrmQmfTrfOlmaY9I6f0U+MpWD9OTmUPhq2w9WrXpOmiwyzVDY6L3IEqO+bYh6EkjOv9E3QMU
yl2cXFipg08C96HkIEqcHMfEeajI7OjucvLTiMDY4B9JF/S5EP4ZJtjMg/tpjnQvqGmluwnyBGH7
buoTOCf5vvQZqQhHvFrmTyVDt0JT8Gdv02jvF8jkFOVPt8D9KPH7nVJr3S4Y0scxIxw5KjX0gKQn
XpeG9q0VAiPJG9CIir+f0cBRux8lWLGdPxvPQjJ1NSaaQkoET5ci9/Q1T3W/IXoZlKa2DlKUhZz7
mJRCrYBycTVMLXD0IJ7lQufPp7ZYoAHQX83xx1waXMeAgOvHQHv1974nL1vHkO40/MmrzsADJCFL
78X5x+gN38aJxDVCKp0ynrK+7MDGY4cSVs3RIJLpkHhCLjqF/+m/1TiG7t0QYsAQans/C7eWhY+4
2ebOMjVm8Djp5BMeCncDNFGsjufsFuYloXGLVY0KuTVzimYfThBWQ7w7vPGIdDRZ/tH2V3UY302w
5pfNc5314IGYg0A5QxAa043t6I3A0ayKXLrl7Qyct3mEiQ4j7JNDVyAAHT5WGWPRrA/+FnneRrhq
ROsh+WkFfb7OBlg4UzMh6qp2+h7dUrPcef10XXYlHc00bW2E9UCCW8uywrHZBMRiRfnP3AOr4Fl1
vc7DygWvVd0FzXRCGO2xtpt2k9jxdNUT65811OQizTDvAw3pFmW2jkk4H+mnbyK7DDaWUT3XXokO
qGojX7TpG9j6SgPRIhYed8hero2CdwK9o2iLYda9olg7z6pYQRX6RkxfDgXG4E6bHCN7unFy64E3
51V10dGBxztu6yQ8AD3rz0XCRAJzYpLs+n2JUoOCgzD2EYTbzB5cBc5VDS4pIIqqoSBa5qmHQhRG
qL9nDOkQM91ryNIOnIbZWs2QFsKy5MkLvfc+zDLU3IodFGADsxT8TECNVehLZNajivHnAgPHNxWX
lPVgeivFDYnflWqmrwM3/1ZGcXfoTGZf6Cki495m2T0+rP1mauJlENskO3D1qlyS3E5RbXzvhz81
OFhrPpbpnhZBy3UJ0Y/5DmToB31+s/GU6hS0aIbKoJ6tmMYSSHuItIDJmAVhZlFXbiFY0Dym07LT
I+DpVnOXR5icZEq6J6mnWv0Mcpn+O8ZyZCFjmXpOwqVq6ntDRPmGRCeDkPXkWFHgM1aDwaw6MZAl
tvBtth2DQYJIkxr6wT7nno2aq4cMfip8Ot68rW0Np0gFm2WkGqLWTG2Bf5Nc1Owl/f+1BHo6ht5v
R1ajgR1CUhvD02jgfDehNQzcviVpEaf6rqjKZRs61QGviWqjgyXICcjsjehhCp+DOo5WKjwX8sx8
HNtrRQ8b7h0vizb49EFwqUaQdn5yiIno5zaxOLjl0RIrT+aEnp7CzSsfYwx+ACsyk950o3I9e4m1
h0I10O+hAyNCA0FJbk2dSC1rsfZZWUq7TjI73FdAPyqnIl1akQBKfaSu2qivVmqEz2fogwSQwU7U
6onX+e8mDusxxNJNY2YBwIRn1XDvs5YA8hCqz4ZuNxtSqj1+n4dByKd0CK4tIFK2u1jDy65vw01b
268SldrkDkp1eJUtZHS6UFV7jYXtexYBzZxTIK8KATwEw5UWr3kCSO9Vj3Gz+zlE9BehWtzksYZO
m54iimg8jVA6kyp5jCpFX0qL9q4xYJTG9jcvgnw/W6F/8Fx+eRQMq1WEtTxOxcVeC9JnjEg1Pri5
DDLvlXlguPH0+KrI7WiTFOom1fvPPvGVNfEGH5Hl5aSGP9sxPWoCLFyqj6UL4yhojelgikWEWSiI
RIPhSQWVt8Nzl9koYevcIy3JY2SZqAnl6DMjBFg6q3xM7rDurLZW1q9xdKrA1RBl9dMCtEzfQ7zL
GyCK3n09gXArRTEE37H7nfYz7lAbtDmfDQM1m4U6azgLJcEuUgzyVEFYL93KaqCUkJMYQmPjpOUb
MwpMjTM6GwDbbYuXbVWSeq4zhIiDMX+q6Gw3NgzUcuqPUVQ99AOeZIWI1Sou2ebZ1fYTsKYZU/cm
ar8xe3hOIb/wWjVHyxsxm4zNTZZs1CGcDroNSjzxymrVhZZ5yF3ohQxku8bqxjWElnhRZinqUknh
7J3iJVKgOqb05eeX2hyyO73SyfuOqMbIaLuMu9tmkWzHFAMkPyigmPXvTgwY2S8zY5mpSr1EKvsq
HVu6Dlvx6FZQSYOWJQDRMey4ln+RD9tx4U0RKQMvgMiSRcCmkusIzsthukW5Ga+7lss5Bkq3U2Bv
2rgNj7BCSeUBelSEPL9vx9nGC53nAHoxpokzHZ4ISllIsOZzfKhy6H4R9+5Kc9F2U7wPfNbMReM9
VxEUejQ9mvNjPiHKs6DjSbCff3Mi/T1MYOz3U3kV69rRNowO7ux8TFFMtwYLAEA5o1Qyz9ahVplS
OxYyvOVwVeEctQ/N9wzzqIVeZP2qcn9mXaccZKGq6MQv8Ca6G7KZZ1SsXc2g+FWkZQezqBkF3/bX
pgrlGeC8fbmWhW875NXSoLtSVfAvTNLXs6HdMZA2B60K2oORsElpq2+WMXsLL4rs5YiVMg+m1a6y
vOoPMg+Uzoh3A3sqdohyL+3MbPFlrsYldIV+075EdEa466kmJp6Zda4lg70MEqylcsahfJFYTb0O
chVIr4KVuTGGyqoNhm7XVKYwD2NZaVa3Xg5rQIUmv5srG7sfzztAifmzkNvSmIwQlvdIxIhDqiIj
5RnH9zlafkDLi+RgRHe6mYHxyf3pu0lcZTl1rnWIi4QBtLC9mwoexFaiyAsPjc62IrWfC2i9Wbsu
oN3iddCSlrHBiwEwhQnMLv0z2Ja+8VaSPOF1AYq9SOuQh9l171iKVWfKgcxE+WKU1EJmu3HVgs0X
hYr/+i6HJytkcuk2Cqaxjj8fZKHMd5VBqk8Oa5fNeruEE14d8CtTD6oo5q58zFvTWyP7C4Y8Mr/5
TRLARNaH44x9Eb7wdL4zXfEuyFCsmZPhmNswJjZdDk62HJE8nmwQO3m/xwEXcr2H6cGoMrqQIzTC
zLyVRaaoH2pXPFgtlmGtpz1VnoEGiu2vo9pb4HkRHYsa3Favt+UWGcMDEysgNRqaP/l2YkCwk3Kn
AYQ0o3mfdk/lY1ggLBNqoqNUSEdhH+2siDYxfovOU2EmcJiiJNsFaoNjbactfU8bgE/y2ia9DSSw
7kjSKCCKxCbGsOlwW6VeRzyCAqXQ/hCjh7lIdagcMnUnM3kyp6cUWOs2Fv80nGONaebn1MBkpJpa
bGIzeErEGweHd9gFRoiEJxk5T6bq9BpRzGA4b9JlsKzU7ad2RKxMd/ryIAvc+CBBIA9fIMCGHx49
RRXe8g+Z8E5ll0EPDTI/Jjubh/TxmTqWSM42TIrs32lqmZzWx2Y1+Q2rPbUHHG6HNdA4Vn4HOVj5
DV9a1lItTjcICD7LGWrBdNTJcCcfRw2cRF7tMEr+oVUA+ssoQzbW9naKLVREggb2S0+gx2M5DFWX
ZfKUx7syYFTvx9RmduJ1O74ei1kC7Sr0XdsP+d2V2xHS0BI6oLZC5HpYmKMNSmTUjpPpHtFs1Qjb
zGQBh26dFvdhEB9CzD4OXB2wmJ88wqWOmXQS9Yt0gOGGr8FIKqpTXHGvvjIBXFbWbaAHyO/4NrDA
afCvyxynNrQqeLQLLDrXShKta3cOT267Loe83xZGdSS9yJMn2C61P+BawtCLSXtnOEIWGnOeBFGT
SkdjJ3buE1CkBCOSLb93Mo6bMlRrRHAiGApl/5TE2Y65drCekARZEI5WFjU/AZkJ3OeiKdfXbqNN
mzoGvWh8dlOeM6nFVWYIwm+sv05dMG4TL2GF3vjtpgbupBMUgivQb8aKrtVpRoR1tyxGjZ2nAKUk
KoQam+WPC1PQkTyoscS4pnxVRvyznbnKVk6DKmprRN3GsIDEuVdCHX7Vzc5Hnnj71kuv0IIYCEXz
9b35xRqcAz57lT4mp8qDkFLbGqrGTVhB01qVBOcAoakMSgmy+y3sS/Bt87GbtGTrdPPDqJFoZtIR
r+OIqGMDzDOtjPJKTzJCUnjenIpJW2U6ODbVja4M/jm2ZgIzsvVhQxh6ESRedW0T40qV+HNUicUN
XnU1EseFuJq9R4Nn7fQMqXg1TYHNzjdaoxwnA4x/1SoPBGgf1iAplkqpvfYN4To0AqN8wHoXtHKs
q819NkevAaPZfYNtHaF1KABmmxEoZBiP0uCBCVwMgGtCQQZ5mIdmRh7E9OmpSFpBSswebT24dpjL
9E0bXo/ih64ms7oC2zYWoMVMW//uVO4M9e059+AVpJnzRMj+2TIbbR3isbJ12vR6cFjCerYPY8OF
+hK4PgFh3CGtGO3p0Hf2TajpO7QerlOM6Bn0EvTO1I1bjy/IkTl7RZseXTRKNHvyViV91qLo66uq
R8Rp6oYd3pLIY7tauem0cBkqiDanln2fKihc96mBABT42Fmzr8EfLJpGJdydlTD+GnSlstS/S/zr
blIQ49NrcOJEu1UfQdvJNnEqxlPRHjBfUCxodaoGFS4gRJ95hrfSjU/Fa38YKPXoOQoSgYJlQ6y/
BeFt2AX+fkK8imhPgCBFoi1Y8BJ4ALnrWjaWIs1whbqi8MUY1mT0MICv54p/lkqn4h9cpX63avPn
+D0nu7NIg/xaIc9+lQXhSx5/Z4WBeo3VJmv4G52w4ECpl6l2eTtFBqI8HtEGU9mg/lc+NiYPiDM/
VHC8mecaKN+a+bGLIGYAHB4H21/O9musDYBxJgODR7R84gRZ+S61QThAGyiLadMPLOXMEOJRoKJM
7rM8hlXnWshS1PprAfxoFSPeb7b6R2SgKlUNuFaguvqco1G81LoIzIsWHuuuLjbtCFIrIQqUT9oj
4MuqnjbI2qB03JmPfoSsvY+ob1Ykj4jCwMeO53xl98XKzjwsg+IppKPIvwUaGLjSsokkAFEwiHij
+ATfR9sNMei21hg2NmoUi4gByySsH5W7OS/6leso96rqtw+hqb8Uk/eWJ9in8+G8bUuX3oT2je5H
P4MY1fdpCDBzKtHNduOYWH/OaBQiSxoHDWgLN+t5+1mDNlMIGYRYMHZnyr4biPd5U6ytbaOIlkqB
eM6gIVbBwAY8N1I+GqXZWjiSlRreXnFUlmtn1NC7Qf5w4fTb0FK+87KvwlrlZ8wRqA5VnUURSj2O
fjKyY6/xplXxU8W8Gg2oskB2hSBzE2jPDla+W9Y6+9ktr4Lc2pvRKAIvSYGce32VeHO7hUQe5tMJ
f0nslGqIYKjgc5nrmVk5/4jkoSoRFqvxpyfUzbMzvA0OSv1+6HX7rEqvw0dgr/SGR9vKidxDT184
HpfowxJDX8DE2PK8q7jbLpQIbHJHV1IZ+ikmqLOPC+WInE+0MOcexCkAS8yHT2OIoBwDPPjirHAA
lpZWVCxKEw4Ob31dh8hzOjkK7Oh14ZRQbBBB/94CIkDYt7Svg3je9+KFaljb+wqkDQ+ttQq3+M7C
8iBhnGhsQnQ54+XC0gMBKGbtMHUNc1fVWbvo7A2532G7S6y4zDFfdt6JSn2vCgyczQh4/rB3NE99
jJBR01S8tw1+JNgx36OpPSZToe5Bo60gAO1tldi+5wRr94ezhSOsLlM84BdKLJb6WNNmQ7wIVfWU
6vE3MiOwWVv8eoi6ItKFwGZdQJewnOQeQyjgYCOJlpxXetXOE7wtYeeNyTqo4GZ8NJ3ikGV1DJ59
xDkuJHMUAjLLGhw+0ASnU3XcYoN0bNS6mOdaqIvVziZ1fJwgJuaVqjAQGjMAgNprlVo8mjoG01Wv
wXiCTpTm38zvsZUaN3rZI8Fag3+2CnNvVaFQIbaxWbHBF+ZNsbZGF4612/ykj3GWleq4y3zsj21A
VHikz9hqPRGzcO6Q0vU+CkILzkwKLx4gtzjuDTk4e6OJkE/Rm0WKrHIPidAXc9xLgVZRDW03/h/b
Locos4aWtxbgGlPlMFsjQZbNJbFTViNcLVjaWhEmUYNfLqcsC+BHCxKuIVn0l+NrXxdSUOlTKU+X
x/xRPV9OHF6IRaCt83po4hIucC9t1mayL+yUhTz30jx/iMv9/rj0l8PP90PiWF3jZ0JX7cfDUp44
iFU4jsyEoayYjLS8tWaHGlQGtVtkgf5kPo1eu481+K3aN0XHOiMQiwlvEPzcr1V0kppD5U76uu26
d1+sMJj2/CpiF/krxGppk+RFXFxWQ92riKqLrY3qxIcMEXm/N/dFdvy6X17PyQkQnq+SirvJg2Rh
6/G/r3TeaM5MCe2CCS9D5+W4y8c6X+vS/tsxf9tm4pC4d5ptJeKVVgNGbyCys3BMVJ1lE5tivs7v
vbImt8m9sikLeYFL82/n/u1SWVdglmLwW9QiFk1eg2U8cdGAb8tzKdp/3WiUAjB42V+Ik6LLSbIt
d6Mqrgedux9EpLbueBJJD1L1C2f6VZW7ZGFFKyISyv5y+pdbyKahDsbi/zROx5FiN/9Z2WdZpEX9
7UfxJ0rnfM5vcR90ekzD9TzLsDVDonF+AXWk7g/se0A6lm4Zngoa5xdQx9QQ96EL5UwV5Keuosjz
b3Ef+18eqxvPtR0LlA8X+d8AdfgY/8TpACvFycgD90Mg12Iu9AWno2aMG74yK0ciNMjaBuB/iW/z
jvyunbeh3k2YcgKhuxhkXR71P/aNPpOXegK78sd+cT3ZlEUhxDaYGg8w17zbNunMed0MJHZ6sKV/
iI40TQMZJMAoXW6UKiKyOAuZnJVJ6jxOcCAWnaI86iJ3ctl2PvLSlrVLMSok8epueOs74eEnLvW3
Y/+QOvmPx5w/WaM4mBh5WNdcrpNrzQtxLW+tpO2+dOp+2wjhkXwGmaGadqIuh8RnBJNbZeHYzT/a
+AHRQYmTZmZ+5H8JGIqz5SZ04bOD9ijrlwNlUxaXI8+HixP/uMHfdn/ZhtuEu2kSGzchpNdstdxf
riRrhudcO2plb0IBv8IzppqXsioLZrowrH4X+uizm2TBr42dgWzD7DXO+ae8/IpfflTZPIvfuIE+
s05zUDezhehSLfDZTJyArptuiFgwxjJxKKWqxKOM0wRZaw24mTxQPriydj5PPtK6pRjEfrUb+ZxO
cpvcjRvbsTJC0C/iJukAe6+LWpu+XNzzcpw+mLc2yKGN3HF5mWTzfFHxAQ1wJZpyM4jsoxnpNq+U
qMoiGrR+36XfcpGfRM4daHzW4GqdiCLXRyRNRM104INPIhciQ9ROkYb1TlbbCfJlQDhZC7MctdZ8
RHGbLJ8sukYQQ/n1VwDAoh2JFiJ97Ix+H6Em/lbPa3UrU4++ALGcc3CXtlEXBjoC+ZukVchCUgtk
zRD8CkmykM10nl7mCRFeGe11oeeUXg6LWs5dCG8yg0H9ESOo2tmpAuQr2SOBI3R+/qgSpR6tiddj
GhEBZp6YnNktmaxKVZmhGlH6zm7twLM2TEav5RfLZ49byCqAWKZ8aZYNcOcBJeS6o2cnBSlGB1vA
XWwC/l9fPr6DThiC1CxlLwIxOKgVB9mUBauDX80kq64B8rpEiH8TMfQzq0OAHjORB5in5k7+Fy4h
cHk3BLGn3WiCCNDqEQYCQjusegVjdqrW4+AA/ZIxryCqqFqs/FdlkjPnws4D8k6FBnxUKphtCTT8
+XNp0lIo5gktdA9SifhQ8jcxSSB1fqPv5Cb5C11+K38zl8Rzsfamk0/S7LlssLk/N1MRtkchGbCM
yLw2yJxkERlmmefxHevZE4HewZz3cVUgIiESnJcckKnpax0txZ0MaJ9zgHKSOQrmhYxoVyFqlDAm
frjkOEjHi5kYvnlVKnSm0W0SBYknYPZJubFEmBh1WBTnZNUX8ydZExqNPEzBlQwSS0JT0gbjr/Cx
pDoFkCYwkyCtbHnBqyowpZMoZO3SdGcP0+45/Ck3dV3whkCNvQ6LjkfCEfo+uLT6GyOYrzuRAJGb
wqDFuIDsz5i4LyWOSOvLl3XlNPjSHlWYb/ooBLF+f8Pz12RNzlMnJqk47Op7NbtCEbQ6XL6lbMrv
W4r5oNmzQnBrH8AgohI4WkSoxAi1IakSJ8XeLFnKDSJtbzuDvosF+6sbce7qdCKhfzyv8unAadpb
GfYktOXF4H9+g4U2lNcp2yw0tO1lE4bKN1XImyeTmBfykKxhuUBM1IrmpfxVCrfCXQs8Ku5EIpvO
GkxSyGQTPBkLNdm2NBN+3Ax+wzvrlUlovChUl5AHwYB+k0ZNhIYHEbmS/MrKEc+8PfrDIYMqtoyz
HtZhmY8Huc2HF+QULSy7zoqPssDrEaRbARB0IKOzMsjmnRlOY1CQehHASccNeEixqh/3NczBYULk
mGTvshCspjLLRh4HofkkhZ/6EU6fp47IpBMw5DUSywr5gJ/bZoVUb47rFQ4a2sqWs3v580uUhCzm
yeX9I1QNnw4Z82UwO9q8PKdHxK/aKirpEZJiHuRbRjz+fTI3ImuXJmgEbQ1QioU3rnXONGsHWQSB
9mL1RMxmkbdRBfJZFo4gCl62ySZOJ9ANZFUeI3dfmnKbIfTL9Mk+ypbJCJ0s5HHnqtz6x3XOVZeE
lS0U02yhnVY31ZWeszKUHCy9Ga292twVut2j/0Eq35QqbEKPrZDKbEKjTZp+pGIq2Yo5USN13Uyh
63auyv10KifM1xFjINaF5ASEikEMMrWkTciq3CiLUuyWNYVZM4OGeNIu58hmf2d0SA5dzpRbZXOS
2nSJkDUrG2S2zu1IXORypdCPK/iFVj6ICUqwkLuLs+qfODKUs09Ri0VNNhPJ+bi05TmX5nl3JiIQ
56o8KZVvjDxUtuXxl+Z595e7xZdzLC8utm2HQuHvD/THpzwfeL6GU9Uoiwsdw1pw47CvFuKGQt9R
tn2hfYiDdXPeJnd0Yq+syWJ2GZ3kwbJ2OVc2O6G+iCWHbJhSmFFWVSniKA8G506WW1bPWy/XudyK
EVFd4utJAOv3/S63l7XLwX9c8XKtLx/xyymX42C3jDiQ73TxsmoiqymL+XftS9OYMm9JUgsvPXGI
LsY2slL/j7sz220bWbfwE7HBqTjcSqIGy2McJ05uCCfucJ7H4tOfj6XuVjrI3sC+PYAhkBQlWQPJ
qv9f61vVTze2KNogFPJdbdeH1W+Fhu/nXX5ZVTv+x20VfXqk/xBO1X6WGi9cX1M97vIqv71/GLGI
NQ42/Mt//M8bVf+72tapk5RavO6j7m5Vd/eycX2r132EEQnIUke/nqzjRKVOfYLqRn14k9bD7QQH
WwBpc55rxEO0eIZxh2SQQR6SuLs4KlwYKozSlOnDVUM+tX69uWxsS1RhftOYXJjWceH1fmsd1V2e
Uj2JWld3XzaqdTKz58CASzfRU9jEyF+39aRrTGQRYfQ0YolZEX3QtNSyvTaNAlu01hIAN3dJitHE
pfRoz/YyPRu0sl3ZdMdxFVevuSOcrziW7HXYRqg2P27lnzHjmPfvtVRjJf34IBx8+8ZfxSRqKVaK
knWbnYzugan+8VqJ8tWoKi2dmnRZVHwyjxIYa2fD5PxfqBHfvHp/4zJnyJWsorhovVEbHa3TtqNJ
dFblGh/M2G/3uR7NxIvF3o2+apHGVTMyrzeDXZGADEmljQCOp+tcRS0VY3dKU8YM7apHRNuv30yr
qIPsK4TFlfhmDxDZRiXI/OdGbXMYIewQgRHQ4wFO1IhIDarO0m7MbonpnjoIzJv0dVnlKIW6HCM0
Y3S23nSLGE9V9VnnFMx3vI6zrhU7tXQt7+V1hKR6BMWRgCK+udyYiIi7xduH6tyoHG3psqJaVR32
sqi26mVyTzyyv5erCXy1RjHXSHi/EejDX3dWRVv1MHWPWhIgpVY1G1au/qeb4t+r6l61LSFgEvPB
LHblqj4KfTki7bERlFnxtFXbrneopXn9qJCb+ZtsHc2r71ctXW8UmVh952qbWu2NtehzXb8sLcNT
vMhhn11mC+sTqjvUg9Xjksi97x3b2CsTpLIAtuuV7bqqqUtmrCZ7yi7ZKKvmddc4KVfBtvS3P+2U
W8khSfogRrh48Jcq7I50gscbT4mOTRf9FWmpzHqdBGJTPdItdSGvjFY93KqboZm2bg8q0dVnMvKi
tTiubgY6s4w9bW9HSlF9OYE3o+T4u57DCkOfg3qEuDiUnrzJiZ5RFVVrlSUglQGVulZd1eqw2Hgd
rutqSe2j7lardQhF4v91jdU0mP79Ny/kXbJ6Iav+7ecq61+P+tsL6f+B54wikefZriOc1Vz5tx/S
/cO0fGFikzQs3SOx+1pm9f+wPNt2PLpSfxdn/yqz2tYftu+bpm+TniJMy/6f/JCO4EX+hVD3DbpZ
qPYt2yEAk7MV9/+EUNcJe577rDLO45z6/oLDOtR1+c6Ri6gkzvKF3CYv1dHCaX7WEbwaLol8qUVR
IcPRaI39WRuxlr/Y4TJHn/rBNVfME12h8A1tkp796VAyJtF+div4oZXfUV2Tk4yRwSa0FsvQnckT
y7L8Nel1OGzM/3Tn2GZJnh45qzrxfnZ41ndsMYWGLyb1wptu8OcPYeaZGM2gvNr7xSe4fNNYE0G/
sosc52xWaLA3dKeLj6KmY3zToop3D50fxtMha0ZmuOm0YJ1Jiyz/lpOzAcAoidAreG5tQyJzLKKM
jIHC1nIIxyH7HvlpIYB/6kiV8sLD7Tjo8yK2Sztan+xBSDyejRAuF8tYCwFwug4mIWLSKj3usCo1
uKHg+pZ+0p+6rKTx1E3EixpvdtJP+SlqNRJuuqww5Qb4hGOcMH1F/YGEFwowfb0G5xVu2W9ROXfh
XsYy/dYT+61tZp+86dvaclsPgY2HKPk4FX4HPKGz1wS02XG1LxAyJjAfkzbShx6t0NrCZUbZXLva
TYT5iXwQPcqt18QisOYFZW/oPnfh5I7vojealxm+/7sBzHgNttCsdFdVGvi3GW2htcXl0H8tSE/0
A90ZgIlRhSUySWYvQ+kW26Y23A5F2DSTezsbk78dG2286QjdICWTq2O17QrdzLZS5NoLATQoQKZu
IXvCrzKsExl8hzWwJ6l1MgfHBEpo3HndbkBDWXLB7cfqMUkJ9SEZrqBl33SeTt86MSBT5TJ3pj1e
lZAYPS8cy8dELC2M16hIeoAeDNyqjR8hXyZHGP8S59iCUECyEIvcOWtpZ6BYcw38ewv+Vp+5dZql
77powFlpZQXPpibnPT963gJqotfbEF3PUPgCWRKpXEdsKbaJKrsdCILyjTQJAdXavfzk2zR7Tz7N
N4YhvsdsZFuPTa5lQZ10VhFhoSVr+qnsAFwSjDkEme/FFFwoKnSmxJpcxRgI2pbw8DFqdr7uw7te
5uFh0foXW3SkMBtMfZJ67u+bxhAg4Cx/oxtVgu9ZoLvIAcR6XY+11kJJUyKNOckwdL8ZkXQ+9on7
xcWPdKizNjkU+uAfRr+gAGHbEHUxdO4L9AZopG3kBG1UnoiJiA72ONtYeieKg01HtpZkpBK49gIi
tmuG24lEp91S9M7OTHHbDWNRY2eLDHh2fXzQ0sSA7RJ7AHwTcQj1ftjNfRTdgNb4OA69t/MqKZ5H
2qUI0ox8Z+YmOGldmEGWOs+I1oo3h64h1Vm/JtrH6t4G4S/vpV3PlArR5bjTND6Euhsi4S11DMj9
jA9gjh5lMYe72ZlC9HV58qEkXO1tGu3wRhLDvbM8qsATohDgYa6f3el6529TF1dmvrpWvFZzvlrO
mB2NKI5uhlQPsb9oqO/AhR+02CMxR3ZGC2t07ve+x2SvaOx8O/lkHi91WmHSdIwXh3Tbresvy9Gi
dP9h9BbnTiPe8qw5BkGgeVGSoYjn0J6j5OzEhNrW+DUOxDI8y8lsWENmJ4nL2iRu8a2ThX5apsJ5
LJwixZoRO1CXc/vBzJzmkNNOwsS8FC8ks7SHHOXLeZlyJyiSUn+B9UyoqSnCu7zQi8PEMCPg/y8/
pHWqYc7q9EM2kxvfVRZMIbtEdiP5+u+ll5Lv5uGw6au029Y9WuUBHyi/HMKUvVougWidhJcTEGK7
yXHhpfUu5kNqWa8U8pC8kHC6C13Pv9dRPX2vPVx4feUyqEcfgQ7D086Wg5W77z25W6oWTtyyuI/w
jxJcuUuDvhL4dLLa3aSnc26YOvisLadzURYDdcSqneAZCydoBD7xQpDj6nWaeEJ0YWzM2CHrzKER
g/PZCkYuCnvQJN496XXTKe/jcBt2MtzjNaGgrNUcib7Je5y8emsi7D4UWQWlMJHT99gxqfxQs9vF
Q+o/4L9E2RwiN+nzqt/JuEjuo5a0R1y2EriGx8BXNvJQtrUkh03EB2cexr3vj9lpxMh2lINcPSsE
kyeUJ8+JJXpiqQ0raBw8LGYLRigianuXpgM8Kukve5peISZlWaF6n529b4wkepoa312hITtjRkac
pxgeRIipoRKRCGjngxBmLnXqOwdnBWIFHMyRvidCKOcU5sz7IRxRjk74l0aea9sLIbckWIdk9602
9Tqsjzh5nNtBa8EFZuhP9My3gxAxw77KLXFn5AhR6Y+VuOKA0yYekPWYE/Kd0Qn3diTM7JgX/N6b
eqBY7oHq9UMwR1Nm8GZ6sp3JB4DoJjl3+0OBTJS6PAXfCixmF5t7z0jLXdFq5R4uf3dK0sbkzMi9
dTX7WzEAL1v6kG/VGN2Nn2kkfHXLF39yQL5pobtP28kP6pCZizUR0GDlDSQAf2aIXkvAdT0yNQxw
0NEFFPM2Ypd+HtsDhK1hMyNJ2GsRPs4+IeBohty+K2x+TCikw5NdecPBnlHplb3BtDC3xa6bUF4w
LGAi0VsgkgXI/yaEy2xYhFnGPgQCasCI5YhAC5ICbwoohC5IC5scuNqB5ND2xkFHsoYfJhtvM1ky
cPJdvLgM2I52BnxM1yb0vsWqQBshevMLhTtdJFin84xYL8olm9Rn+j8nmAoADvAZ6pitTM2YAj1c
flhTO3JR9+St22akK4l2i9cpRjBityemc+ToIjlnzinsXTtbMCHhHexMZ5p3VWhwMhLgdn0HzAC/
4HnnDsP0MOZ8cwviZXznhHgPeuXiWSXttGV8etBrtwn8uo6JhxyXPWY2WM59RL5ggSKztsg9SbK6
X4ugbaCNDPJGswHIilQAlRkGYKQmDqh1l18H4HxkYFyYp9z0N2Rq4tm2m1Vj72S8D1DI7ehNu3rV
ckZdB8fX0FdV+txvxlC6Qdf62n1jWc7ZCY3mQC1FBm4szR3uebnzQ5jh0YIz2HSIULMY+O77jE+v
bmChytH5miwAge0e5Rlmkng/6Oi37XaZdhjacB0ZGLKtGIRmprfl0Y3S5lh1Oej7IYa9bTADnA3a
BGJ9TjcEjt0OgnS+cJCnXBDfNxEDuUsyIQ6dm6DVXUAW6AORhJoP+dxjPHcebN199myOzsipQijy
2YA5XgOZhgGQ5Aez39RpgqDf4ccnBg75SiPdYDB7rKyREe9GrbN3kdAjygfh584eMOtHhkSuCUfd
pPS60WJDJzIAfuOcVSEVk9r+lpqoocseeU8IsOFojpZ+GMpkRVcP4WNnV0QGptVEmxdPLlpDLA19
WiC6zsODju3swzQLcbTJugQUvtTHqbV7rhkL+3SZTijgYN6NM5kz8wTyIJQLoZZmH931szBvQ1FC
/F04Nmx31IkaSQFUzu5UfnLSMP9Bgv3yJR9aWKdeFibV3Vz2fhoUul7HgaNHjgmez9UpcvGjPhFw
lSD/dzNiGyM0ovl+6jsPI8OkO6c40/GhDLk2LOfW05JhwxgFPwrGmALmClUkU4ZwFqZ4qqCzRb4f
nswiQx1vbv+fz6y5iP/XmXVV9m/lL/Nq9Zh/5EsEkDEycuH4GKalAsj+li8ZDrFlhuHqlo0gaRUi
/SNfItBMR7ikm44nBPNrREV/z6vtPyzHFr5rmbTzHco//4t8ybQMEtD+NbEWjs7UnT9LoIZnkv/v
iXW9VJkZhjJ+cGivh0aLCTarymPZQA7BmnVC980VJ7fOBfPrgHnNV68jzgCrv7Ga9bdIWs+DXoLQ
XbgEDuUPr0YNW/fii+n1H2zw/py/7W4rR2aZBtH0bu+Xx6FxP3Wieiom8eDHhOHRyPT0j5nsvy1L
HlRuugRGEstN1lpf4gwpPxdjxy76h5xg1yeu+jumjZxdMwT+IUc73YwjlyvMFr1tobAydlb2CEjn
kyaKz5bUkkP1I5qqYJLtoWX0x5zZJiajhUvb5POwjcL8EPGwjRE7ggDD6DXPx2GbuPJ9thVC3qNy
bJNQDAdEh6a3kT4OqfFtXvTsCXt4MNA159hv01vXJC96jO3jsITkAw4y2i0T2QaJn7w3g3cuR4Ie
fYF/ctwZJgNV3UOFTl1xm/hDUNgd59a8IlatDkk0zxy86AjTYx+Egm3YO+HxzkFdDLcpSJFIOHuH
SW4Q1YW3GzhhmwK0SmrKR8ZDZT6Lh6YkYKLOCKywI6JRLP9ZS7DRLq3+yKQU9K/GfH3JmJM6NbNp
gwuWISAS2vmr0XYzFp/8zRiIV7cSKJaJTxZKvCqGQs/bW2n3xcfMviZYVkE56DemX023dRPvDc8O
UoMmHYHvFZTPdiAbKHmH3jFMwex+NfLxg7PY9t5MUXqXdsTUF5MfNmLK0pUnH5ophnTs5T/STKN+
UMBytgHY9L59lCPPsWTtJ3c1GBRu4RP1aL5RB4eWK8ZgJgPulGcEuVAHWR0t2OVjZ77XLILdUy5t
c0IN2ip1wbjRMw7MRvYcKXcQFJhapgOmQvdrufTltoox1o4SXTgBJw36m8mq34qe07LWgxnSu/S+
MdqMVvTi7GfrFqc7cUE1BuI2nTZe3iTb3Pzh63F9iovhlVC1JWjReiAHQJNf4QyxWi5vvROdibTv
qu+Mh4qbtDSzjRNX5cG2hMRT68Y0C8y11FDibRjLD3H8CVNBfrYb1Np9Iib+nxhhLDOEoWMaSS5A
OoNG77a6w/C1sb8zBC9jpqt6++BqU7mP1vTRniF0wfHtGjtBbWKTGSQmtHZ2kl712bfIL60FUU0J
DavWLwk8sd23og3fe05gpAkZ6FmkSaoUZSLwQYjjxZ9uOd9ZOjEHfTrRVWrWUWeCJ8gYyR0f6S6j
t0mHvYFSgDlwfYRctpPoI8hq30Dlws2XvjbCm09ubS2PLW78eSj7XTtil7Mxp7fgIzBUVC2m+2LA
aoNyG7RPTT/4oDfMtjxP/0qBe1e5oL48rO2UBZHYvPOJY6TtcU1nhKz21ak1CH8YewgtWsR0qrRP
M7/ZNjpaoWNuSr0yz1kyEZ9BWHI3zEdBSPhmceDPOrqFdTspsm0+QiBOTeBefnyvV0T5xB5QdXIY
Ga5keArsHN+QVy47v7Jpt6RVIHusK7pdzofaB3EzhBPoC1zZVf6KZZ1fWMkYuBlCMqcIREyhimHy
nw0G+qSnGPrY74m9f8PQ+iHL4zdRJg9lYQmUWC1tlZBmTxNJfMLyLn5JkiBH07IzUjIuZr2A5dIf
mqmr9rqTeOB5jE0vh/DYQgVClrrThtMg8vYhThkL9w6jGdBw1ADLZCXJ5avsMVl1lDmeFbr4bX6g
KnW+blJ7dCsjBrWReszlvvWBP63TiWuBVNFkSD1qbBn5jzdqyZisx0Vz3i1aE+mqkDGVHG7VgIlV
OaNW1U3Wrt7myP7Rj8tEIDqOx4Ps/AcAS6ifgCrgU8ENP3hT9NAt3YnBPcbTkLIeU5nbhRP1zold
c+uZrnYfU/3QF33EUcv8xV81HR7uM4Z166K66Wpyy6gpo/v4h6WpYHdXTqW6w+hnDKrxVFNEXNyn
FcCFpwm0+3omTBcgJAn+0SIEXWwuHyvozFZWefeLWI5xl0AusocHXbMM5FTc1CIyb+woPg1dQTZJ
a2Q3jTjzu8puYuGg1Ys+92Hx1M1wrDB1URyO7rze80+Wq9OKaeuooEiNN2EV4iSCALi2j55np6Ky
pLZ1KyyQVLLpNPUvRT6vvGgGnJ08Uno8OiYCtnmG/k7DvE+xwOaT+MFwGk+f56SEg3YPKthyXlU0
lzBL95529nKiSVtWlxaQa373Ryc8usTFkCK07Jo+Xgt/f7eNlN/g0jtSi0bP6bGNKtq/FnFeWpsH
TU+t1p19LuDMh3A3UYFxLuzOfxCdVpZlN/aTK+ZnWy/GmwJtrOPOTBqAVISGjgjMGU8cnF/11Y1N
he9Ezl2x17G9FSWZF8XUUTewqauOYWbAXlt/ARZTlW2vJGGrRES1Gq8310ak2oaBgMLjZOIjgRCh
B1Tq8Rl16bxd6grb5/optatnrUiaP6/d+WuL/pdtXBnbvSv0D9e+7tJLjNtJO/JjqjS5peBHQjox
9rVN7aM+FP506Y1fbTNWmIjANczXMptz9XMgIhJ5oW3hNdTNH6YkL05GA66m8DB5Mom/xXn8XZtj
jzCC9fNlmkMe4Spwuq4WNAkKhKjcM4MDoDe/7lk05HpvFkWHpbRe/bWHuq/VyHMau5iMAGkDgf/7
iceSeaBD4XGjns1ajzm1dHmay0uo11lvfnoZdc9QDC/ehHjyl/3U01z+netLXfdR2yoSx2ypeSRR
pe7XX+78j6vqjl+e8/KvXl5O3X/ZoD6zn97GT4tqLzIwF0Ygczbf5q2G7PGfd/jTk6jF376Tn57u
p/t/WlQPvd788k+7dEM2rjfs7ZyBObXo+DzT2DjjvJ4jFIbGIWyX9qjuCKVRg3Fb9ymi1YperYtq
XRQvHCQc8rF4dtFn7yny9ag7PbTXv1/saoZ44CXhFhkhgUF+Pu2oO1soASsED5pJPOJaKkQVuq6r
GyMux2MbGjuqDUZ7rHOPlLwOObbdnMtpfROr+anuSCLTuYwGiDp9OitOsVeaXrnWB3FOIt0mR/fB
LdBqrNmaioGkBNBqdVbo0uv6NQNALf3ykGrK++O45sCtWkB1067iGbVk0oDY2SnjAL+Yi5tLkEBR
+ZKwA154DMFrbdXLF2qrWvxp6+RZr6VgQKKUrNL3wUFWzRfnIk7uUJ2mK/NqpC60TT1fC+bMfEnG
+C0yIeUo8be66dcDLWUwvBEhFQRT5t9Kad74qcW5b5lJ4KII0AFjULEExmze9CNJGF5NrE0VEbPO
4Wj17wWmc5yiPBcT07905iGkfhrKJyeZ3hfMKE1BZV+9jxCBUdhMGS2b9YSgtqmPgXOve+Jx1//P
XK+Yo6xQY/zzKdaFy/hcyc4LrxA7bPUABlZRFyOl19HQraC+KtOVjry18td6NkSgtzndWyXkJBm+
OUjPpWdkfZiBszIkIPsR22GR5jOyBzSCgCuJT02MqNrkdIXJheLL8rP+vqXHuFf/gvq/QieZT735
sFglBUvberrs+M9Xq1bLYfieWpIiU1XRcKANt1y4P8Oq3BjX19OuWtxMKWGM4lhXmcwtug1wOQvq
1lL05XQ36K59VMJxpROeVn0Rv4Uf9Qpuu34TnXrqf38x+BH+zCFvoslvMXkDdrBX6PxFHOxBDwOv
VQU1H5n6ZtTPOtJHiw4E5S0E6urdqPvUjVy/8uuquvfyg14RYr9bVTurXf77U/XlODP2uFOHnPqt
qX9GrV7cCdd1tXTZuCTkFurIGS/fV0RS8RGU0E+ZHcw1EaGq/2BWh9plUR3f6p9j5Pf3AXhxRFz/
5WiNYpgZJ2r+8FFpqZW2moY5HSV1mFA2Ia4pkvbXqi2p/yOmoSoax3qgdr8shuunlmxDJZBT3gf1
S1VL15vrNtq59l6i9a/h4/1yDlLvnU46l3y16KvRiVq8/Pf1Mj+I9G6uKP6NLHeVXPbO7INWbtZk
Dsf+5ql/BISLiWXupD5sfz3k1NL1s79ucxHrb8sIu/Z1Z/WS19XrY9XS9Wu83nF9vl8em5QvQ6Z1
nMM4Z6oT5+DG1JjVujry+MSz/qzWL//8UqPaSrRJ36nnuv4G1ZfnL+BISRBSP9fE1ImOVIvxMDCU
UT/E3y+qR19OVXMluyMK8p3S2iuNvzqXqFW1pLZdV6+S8f9pP7XzFH6faFqeLv/9ei4Z1Q/0esyE
3vozvvyY1VaaecNCz/Dv404tXfZSi7+uqwddnvWnvX59gV8fpRltsu2dj8aip1t1wleXEbWkHvu7
bddd1L2mGgWqxeuN+j6uq2pJPe4/PmutRG3Xh6gdf3mp32375Vl/eaVoPeFDo2rpYjBHX4f2VBIs
+J20uKhGXm8WzyK0VdksrhvV0nXbouzwar1RrvfLnlcvxnXXn+5Ri6EN6gTnK6fkdTziKMvA9UD5
af2yqI6rn7aqdbW/Os7+eiSuJZplhNvQee9CBsfNd70LHLj2jzlNLSZP/V6UNdyOhuKbD20cPgTR
loP+wukENPFcu0/UhbF4L0PzUmfdyW4sHTyqI7+Udnl0oIi9mEboP45m1ezMcHzO0jrZVy2RvXqa
xacE5J3uiA/lnJq8wZCiXpfXt4tMSnKi+xTmcnG7uAnlRuok2xhFFFDDgqxLl2odXiFoLusM7Nc3
fDmdLKWEncekainmHbAhfBbq8qoutNebX50vl0vu9Wp83fN329QAQT3t5RV+t8/lFabMv3W6Axg9
pn4cmurGU8fudd1fx30zpXPKYur4XdeV+eGy8bf3//JwR/Ry5662TQ0JJlWb9RpTeG6ZPqg9x6zp
9ubcPF1MFeoQ/P1iEtFbE3n13UgAmSC5manhTdt86gcumxCd0yn+7pa0yWu+6OrTlNruMSlfsyK3
9zSPjxTs4E3qAHmZR92MXm9/6urk0WidW28mGLcc3xIvrb96mkU6dyG+iEF8CGf9e22GYruenoOE
of9xMlZt1eLGGxsC02YpF1RTRqzvtAg5UtMNhAeJgj51CjO7oc546LXh3H51IuCqZsTIsNHAdJnd
Y4Ss+hhOsH1QkLebZCG7baLvvk/y7uiHtCoNkZ0NrrNHLvGvmYMFFiyJ2Gla+MkZBvBDM6GleWHu
hGXuZupsVPlGqmAUwjeNt1bgQwLEfJcmvzvP1tqAJZIsokrhgBQtdfB3YRZt65CihaxZEgPEZkjd
ZImSCQwlNQ9Ku3rXDP/B1mxMu2N/cGrtR6HNAODhsQc1qKskF59yxyYsnsIcMBb3cYzTt1iOEXRN
axX2I2wJPw9O8+SBEfJojqIF5FMdcYqZ3yy/7O8HiZ8R0sRepGLvtqETIM95xxx1Equ8roqhkjFJ
HgKZlY9Npfsrces7NBrthl436t6KqFHCpbbGlNunHELNdg0A68p639iU1xYHI1hYFluwaB2wiTxg
2kblvINKBCD1mJMpD3XM2Rez3u6nKmP4SRMBbVGxN+p4TTUjuQxMfxZRtjCQbFk9FU+ttJ6nqvHO
Qjb2zi3LXdt0L0g+rZ3rRj4oe/85RTO/JZkqeUrF8BrHKXqRWftY4UfA6GJ81GBvw/vxMVgw5TkP
RnhXQi/fD/B4UYmDaY0RF5StWNClIXQYJvvg+c0b9EPQZUtmEjdmexvpFN2tC2Xq4Gjll8G7LyFP
b80cNw4tCQrlhvtSSOON2SezSrRq+7Ibj3PYhrzdmaJzSZlp0CryYcdvzpR7AM+rmxHJ/S0i0L3l
EqS5nv1jaz3rUW/azeDMSrrqMi9v2wFuJLDvUz+hUrNOdBdJ0q2TL4ir5n1GgbUZ2mPxYEO3ZJ5L
r8I32i+ICd4R9nVBbjgfbeSYS1e+u4hfv0lL/5bWc/ncjll6U9KaR2xlgJ1PjPteUiun37K12+ns
L4n3POUGUeFMwkKYr9UU3c5t2R0nwXWlosM2mBXJ7sOfkZuUj8gE3nGkHZPOq4O0JV+97J17CQ8b
icWzOejfFqc07zhTZFQQhmnDZehLhuh8Y9ac/tumec1TYQfgq9yt1iZMDtMTduVVNR+/LfjTN74F
y7fK06AN7ddqb6KZQnHZfcWHOuxT+RpNEF+X3rx1JvOr5g1+UGkJ9VtkId0HWX8vGxE/pXoBCxU7
4z4il3MWQKFGq21vXa+FCO9MX0zX4UdCjVgmycpPcb8bYeyQP1ZkDw70a5ILwO6gjt9auvtRRnax
MzqzCqpwzreaNLc+WlbeHb/ZVEfysfYS87potnXtvyMe/QFoFrKnXG7zuHxym+xMOXYG5HPKHOaa
Rv7ZT7gajhuvbPn5aa327EW8ht8eK5O6Z4mIwrayJ9NDzdIm91z+HAEs2GncU8T3GMjmudJb8zvx
C/VYfZ5KYrxx8+sgiZBV5HyQmpGfgXzN2M1QJ0bykynGz/5UaPtcymBGUbFhgAnltjgjMMkCS0N6
atekI3s23lCj4agdbMvinxafRlHpN034eVloH+VuYBXdJ5vB1AbXNOHli3lGd5hRBAmf4IIFVRui
6Bv6bjct9bnN1yI5DvZzWxl3HnZ6u63ne3vWwl1iw0hOJNelIgJ0QPKNvGU8A2Gp/WFXtnNsyIHs
oV0vYe0dRisrmMHb1GmX8tSvBp9iGspTYzMjdEx7oKHJUR5Vhg+oSU6Hni9VNtN0F9Y9JDaazPua
pk3i10AAhjkm8IL8E878HIED0Kmcwu6+rfAeLi6ZN81s9zvP/1L39EzNllZQpEc/tKj/HiEG2vbW
0zhZ7smqxoIDytzj6UPIQ8J9KeLozlrMF6HX8J5llp0Hzbqx5FvT1dr9CufL6xjmn6YNW7tIMeQj
P6zECCw3tQ95w8mSU8PGLQjBHkciJfq2O3uRK1B5T/lnzo9nxy+ibaTzQy2lTegJJyvT0MD0Asai
Mr/riyo5QNUriG7x04OVxV9To7pPvcpYcwugk7VI0ajl35na+Lj06dmHPLcbiEphxnzoGoq1fnJH
U5yU6NQh9QTSbaCF0Z3pmPV2aLz7UNcSIIzg6YbRoFvlzE8CidUB6R5vq0I8Wpb++cao6QXPHI5n
XXuBM9rggySO1g8de2sln/UOQVn+FoZ09bVlIO0zpTSfRMMxkZ9GHSfWqD01eZbcmMJ5mqV1oDFH
xo+1p3gEes6Ut/7EId54ftDJtXszA2gyWg7QkCeq7EI7hrlBJrjxksm4f4rClpiayjx48QRCgk8I
pChwzTmFW4bGTgtRH95Oc+d/iJJoOrX4uZJiCUwHVZELy3gqKmLHYbumusRMuiexyIR3Jx6lk4yc
xq1sxxXqxiyAuU854/FRZEFprhHGfTEHYWJw6luS58GE/yILGONVA5VZlqvGX+uiwISBTbZy8xIa
j1C277NpRF7x1fLR90hrpLRlNvCYlxkxHAIrERPkUsZpTQQCuv9mJl51SIazGE0Ef9nZ1l7llLmH
CB3hxsxhG4xJ92VBl9pgtvs4S+0x6SCDlmU2bfiRmDuuXYfSrDHleOKLRKkxF/V50kiHyWcNnetc
5MdknD7Bcjgabtmc+rSdcctjEo+tU+g2Gp39eDj5jtxBD2DAnMQuIRuP8VBuesZNNcRty6iXD6m1
pzKcE8K0WSL93tXC+T6cmr2f0XwyQWpsWvlGpY3IcRG/1yUR5JYbBvRr+STI94lPlUsOeZWMD0tB
fKj1jEoCiVQiNATbXFBzsmCjrGWAWS83XJXoBA8Nh2ACObzoXkfUFyjK6i8eDjh/cI2N3oH29eMf
hcy+oDTBZEhd4rYt+w+mtMhoFqM4zpH3LS6yj6IIM6JPUwKlAY3syYhgmGSI59j9XDD/oR3tERlD
yGxg1MltIe5c7asbxc0hGRjNS+2sTct0i6/hqy41wIoV45aoZyjG2bQqs/hDMnZnt1ogo6M83WRx
DzWWk3JjNvlOGi5d3wmm47BiKB5JQU1P0zR88qT3o21QzdaFY239EcJnLO9GZACELMVbx8OJ2Irt
FC/IF7IBH6L26JuYLuA4wy8wyf5y4f7H6QC/b3ZOZueLWyYXzBnAOQrCMPmqjjnJoXvttZxMBuqV
X53NhGZ6QSYstp/nhLOD6504o7+sWHmHMtVZbx+zWff3eTF9Xwb7R1iG4yZBAkSmBuEn9l2fYyMA
rnFMtZFUnxSe5aBxCAtfnqYwvNe70dxEzclde4UJ/c4lGaZDmTbtDq65A58VGmRhrWcgTn5WNz0O
xJCgW04ZVeWHpZNkBJOAsWn8iUF4ph80lM0bq9ePM0LWp2LZIXqhERoffY1YdtnedyJq7/tSIiWJ
W+0BEOAeUMLeIV7jvmcC/X/cndd260qWZX+lfwA54M0rvZFIeenoBUPuwHsTAL6+J4KZKd3TN6u6
XusFA6CRSMJF7L3WXBrK7lMSDQgr56mJqJbx6L5mmU6D0EigbdtuxdHvPoY2dG1GAINf3sXOuC00
E4sCiv7OGEqKsQ3wTFtcpfm0DmhLrmJbfxor7dPBALIqrZjJguOnm9IyMgw/8ZZpw0tVQIns0Byk
KoBjJREOGfTcPrUJd3Beb8nJgQ3qwIQcxUGfukeBaOGQx2QGGfMIHYaum2dveeZcOREFIMurEvTM
qCw6zeqP1OHtRR9A2+YoFDpsXfi/99hXPyzXEi+F6z1X0DEXjZF+RrOJwofwsWC4uxsMjq/UPNWJ
pT+ltfPcoOyhQaqt28BODxNS0zA3coIdGrFRkTwu/SrYaXn8VLZmdt+0qNGzlPzfCbFTHCmPOUit
TaOS5VGM2RpGNWRUbXqGpVytIUBuQpd9aVsxRw5JKXhJp7U/dOEGVjHKlaJcuQjTIFUfRqkiNU7C
EEQsG2m5JeSAcHfsDqAnl0JPsaI6HsQFcAgduSXwjkmwiEwGOvowCOxFqrty6lhZ98Gtzv1mA/2T
PkzKLTdB86VZC5XyJmIVbTFNerApLDLkogCrLz4UdxFgkV50oZOsBdXQlLs/ZjCsr7OKOGhLPMst
xecULLNahYuoa63njOlSDOp+CeTDXRJuky59JGxTT8C2q7YZ6doWYlbaYkMNJdeOm36VBajHGAef
W4w5A7F5IVeyNCEP1xmtTQjSl2kiATXof7FNhxM4EJNZcu822wyYJ/ifcTc28W1mE8oUesOek7pY
xz6q2bh1zrkP08UdDGVp2wjzy7q/nTN+LB/xVuhA8VFr1Gmqh/SY2TknHEfgRou4+gNc1Q4h5tuN
P6ZPamxwmeemJcg13noO+mxU0/6hLu4G0Ty50V1otk9xWwAcDSCVJO6mz2N7z96og8YmSX6peAE7
z3SnVdIMCKy6ihOakA+jUNM5AOcpBFa9pu99q+mBjQVb5FsHqKqlxYCBa4LFYABqZxzeyOl8BjNa
resrAbPbCX+n/JbLShk9uOfJVyTsdyz22/kj7mO7e7Woci18O32sBxTq8djurDbYelkMDRfcxkp0
LzrJb73jXUXeBmdat0oqsp5+V5WSHHwfPDS3iDudKQhC5rjcmEHG6AiirjWxS0sLcgt34QCW8akr
nNk+18crCsNo8OqO20D3SOrfCyYF/UTsQHhup/qkDtHcEShIC7TyZo3dON94tXGPV5EerO0EK62d
axDjuauKetNgB11F1UA2naEFa6eL06Ortf+7gYZoeXUksv+ZaHiao0L/z+oNi8JfdcGXN/5TF+zZ
/7CwZlo0FBHwIfFF/PsvXbCKZBjNr0fCKXDBv2ANpS6YWBTTVpH/cp/81gVb//AM2p4Ob3PRBhv/
I12w5hh/1QVTRHFMMlANGF4aPWbqz3/VBZueWzb24OhXBiNDYApyASDZmOc305YuhU6CMoAFmdPX
y1Cl7235YKty0PZKbq8k/WGsDRqtyI16rCH7CwsixYm4TATYbAtGF5c3ySNz5pYz3tqBNETlfAm/
nfubQrhqtouM3tsn4wXnGsC+yXdS6yLxrpbuH42BcPsuyII9t/NFt8zuUPcEyynMntLCfQ1H4w7T
gbrL+9NQatOBPMi1PWrW3u/PiZJjt0OnxZy6fGyC6SEDAXQlRLZXBEHcCdc5kE7lhshKjTK2my8D
070VUXw0ffwQVOeKRVIWx8pjTOGj6l4PvonfSMuYbFf4nLKIa25efRgFfR3ddm5Kw36p3OSuqYLb
UW2fEasCTrMqigzUO7DYAVjLtGaLaBeZreVfAeglOCryftsDNiJYRtDgCh5wtUVetteE7MwF8WvS
RKkXTdZzlY1nQuZuNSN6tUqbzhbZOfkcL6T76W5S72xVKZiXv/aeBWnb1BnTBHDah3jazn+wDZtn
iiVgMWhpDzk6gixrFokYCMcKvHHDfcHbIruaqPv15kLkd4VS4KkoSKcgxceMjauwzV/LgF8VkSaT
NJukWaApxzCqf5Wu++BTt9Cq+sZtnEcv1J4alxZAIOKdl9nXnubzu9NDcAgCxQGrULtJMMtNA1MP
UQPBD6pPui4DkpT80zXpvRNNmE7cyEj+a4X4EKL5cA0fEiDBHkGyDfH8TU168Bt4GwH+YKXcGNDE
8Mr4ZFLZ+1o1mWdpIT2F3PLXuHF+6zpOoFGdJioCyMeDW8/Rz2mrfVH3wORZPoDKQiMHln0RhtZv
6Mjz7PgYtwECa4fCtS24YIM3xq5rrbyUAdHodBx4dUhWQUWl18HgihQYvSodzip1lkJ476VFekEt
SMfLXyi1ExxJxWypcTwQM1Dca89A7BCYaJm36Mn4Unv/yhgYInM8lWqxK1T3Fh9Ms2C2STVuSm+i
dJ8L5ZwAN+4zpMqOfdbhZS9xAVLcjpStIJ4Og/f4OWnDKbWB/NKrOXeuqm7bxAiXHR4qaJm39Vy/
q9Tkqdb8ZyP3Tm1HxB5BHusggs8iso7o0VL/NFv1RukOTovwt0ogcZVuvKO6TunTpXwyONrGLctH
S9ifHcGdK6zlCwWh5iKs03uQANPGYpju0dE2XJzjBHPRbTIi8HViWVU21ajGvMnJ7VxUqX+y0mqX
Bclz5eWC7hc2xcZcqtQGND26rt32QVCsXKZeBhyeI9lm8LrI7ZThZcDkcJnZZPqmBbDotox39b3o
XXay41DCV/EOWNfWVOWrLrGVhcD33A7GcUrVY4griR9VzZlXu4nOMKkcf/MPfmWReaOEFT6wOno3
s2Gv9tnab+p78qHeWY/QfNg7VyEEFdt5l+xB8Scbw4+voiq4o3jXd1vRU48p5u/DnIMdpbuCkzQZ
luQOVUsgt6tsDEk4owPUaHirguo3JvFd4J1yr35oa/XOCyg0txrndB8bN114zcibSkra3NpG9CRM
9M8NacJV2+2FImz8xeJGz8c7qvkpdwkOr/i1N1CHg878jfsDgV9L9gi5SEc7Ve+9mIMZQm+1clrx
pVonWCrzTPjcpNEXlma0iam4a4065EO2D1rBHMMcdYohUx6uwwYc+sQtJez8+z7sP/CS36ll/0oH
MsUtlp9MHdVtq3hbvjncA/Mm9PK9iHH1OV32pjCTRDa86nXzsYCi0piTu0xIitbyAryRekdBZuH0
4284Dw9CVFszijHW58d4mDaKXrZrBpAjZl3TRrUNrM1bOWnHgIh+TlyVa704KUSq8AWJtOzyR5U/
r7tOjPFQo0BtMOHFP1773ZZCpfdhx1wruvAmdq2PaaR0hYqSPxJF1zQ+xrWVc/2bplkdP5mnqDeP
QZrvkth8ZgT95fj6oSgo84cTRcvQdK58HYPtII4wqKn4ZdNN5HdH+ilr02T6rlvlUs0G2ELpW8iE
SQ3uVD9Jl1l7ZRj7IcluzMwv+M0IFuhKzLOdh37bXOq4ztI0v0379CsgxARNe73x+gFR+aCu3KG4
6SsY8PPZNcx+ZVAK+CfCL1TKBK2CxfdbnyIp2iIxYj1XXm0iKqkeegQ+VtRxUPsnsCOWjFdObu5/
9PmUL5vZb5BP760ePA1DdBfQvSxgISzaDgRBNJcYMLSRwdyCATVQZCsusvcKRKvj9Hu9qq8GJbkZ
8Yg3wl9aDhf5nFJxaIutak13dLIIlY37XeFXy9qm2tom5rWKvWMVt8lWgCgthQbZ1HkeBloT89Hu
6aXGoJ3WUkBWeTCQPyKIgw0a4z0zaqq4AaUDQnmzlzxU0S8PX97QrpXMuU6F8VhS0MkHOCLO0P2K
Hb/dTq4AmWQsu84m/Etp7lDiY5Eiyrz1dhqzg+UwFLdGod8Bxjy6XsukghQ1vUoYiNs3ml77S50X
ufmDV3mbpkzeTKGTjBQxAZ44EJkWLUo7O4IH64h2K7neDRa6OafaFjmKMxj25LJgUvZ74jNqv+2X
HXaa2YfyYgnAEarF46XKkUtemX/FkGIpCpW7G0eIYdbbIE93dmkebNU89DYfuIymR2/IjrUwS/b4
r0jro3082Z9hom9th3JTLJR3D54uAWIIkEJvLxJicVJCvpoqfWXGrm6LMobiYGz7RLjk+ST0IwKw
A4Ax9GNk6VAKScIro/zBLjnF7ax6M8z4Icerv6jr6ssYm4SkhkcjUb11XIqQpLn0qmwZD/lkYgyq
8VjQA8CV5D5BKrJKFx3knAPk+M9JYodrYk6wo6Xn0WbGHxTxnZ35X3leq2sFzNSA2wzm9rPdugc/
Mv0l1SKuN6JdGNnwbpD+vtQpQZbG+0SN3CQaWPNKY+H8yk49hlmU7BQK6pQrIt6tB4A5MYUY9VlR
cCIYPUeCjy+1b3gL/pDnoaR4gk9vgZGjXHDFPJgmTl4sxz15cdkyM3ogreWH5d3APH8VlvvZYARa
NoR0JHg6F54ZX48hlq6ieCRaeqBooN40TskEfIIGPCcl6a0tSIw3V0oy6IvBDc56uOvMdN+p+HiH
JPiVGsl7XAVvVTKdQiO+a/X4RIjatTPapGZk6tFosIY0GXWAggNR12LsSMMTpeiWg6y6RxTzSk77
sbAsjwyF9L5L7SsaY0zTBx+osrLJYnEjiuDZKmhsU7I8WpXBdTemI4mPWcnNB0UPaffaOG68uCHx
fXixYsg+WVve+Ays+SpdSA+2podP+jTMz3Nhkcw4ZFsPAG+afBL7Tm1kOgCt46bljh8x2klEgYRp
OXm6ccfZcG8dGZErGIdweeM/4DwnwOIhapx26bYqttcwula9gASj0CIJq78tDOI+44YL3Bimd75i
8b+pTnHqgKtLev8tMMMH250YpuQAaqyRhq3ZFM+JBnDBrj4wJt7FCpm8wBLfBle8OGH/OXbtlz4R
CKQU7xHhg4tS5bcCZ3nXKVQaUsq+tddve7ONCbPr7qg6bEeLWJbaP0Jr8tHn16+E5LqMO+pNVGyp
eZRNTF0rcl6wCRz9qvodttxiRy19Fbq7sjSXeDUG9JOe3Gpd6eFfdD/CVokWKuJSTU3O4BachRPa
72AsaFY75LAm8w0Pw4P4QvoHrkHUxPXa2d61FcLs1Yrbf3dvFu67Efsh416ab7ti9q7rmkMdWjUZ
/3eNg+9q+OCCc0fWCw2dW1HqyyQAq9bGax944rqIKLI4CTKVmFa94RX1LiTSz4ofBzOnsxpw+1/6
ZG2i2puwhwqC2ENV4XiJzSMDgk1NNA7uyGEfuZO5LDqEuaFzFr561ssSh0SFrLAamAQ19jJys02v
d1dVQTe6pstNRW/XTTrmc+8D3+EdhUprV3fVzSi0J7V0f/llfKVQaeXU5QRzewrVOd0ICksTvJKl
UPR9H3FOtYn9CTblNlHcbT1glEqm6CrMuUJV3hPqKKp8DbZZI5rdco55ro1ombTaU+Jg4natbQXv
YNGLbBc72XHwH2Jh0rFM51Gt2S2EHXMDjICBKNF119ThJjLwqhoFJseRa5Tnwffxf/lCa/dzwxK0
C6SDBwXH7yp32hY9DxgqO7syBM1jn3gxwwyf4AshO3dOJb9rQBZ0W6Rfna5utaq/yvVnk0jbKPQ/
g0m8eI713oX2U2Ay3vbcA/PvG7N0fldJeYv7E1JCVG6HsKS3zAgJSTHMCOsj1vO9pg1XdXQeNO6X
gV9sQWr1OHW3mtHtKp3BAp0i0FRiLNaRnccL/PgPTVUe2hjGXkKyGBDgCv6Ck77hIMR1NwtzpiH8
FdZnM6E5HJTc5inGX7VRcqejelh7Y/gVuyYijweL+55urz+6WWU1mJFDPpp50QZLfdwPAnrc+sHC
tsn6ls9kKDHCkmOdCvNIRl9JYZd+/a77t8jaC85hVIk9wmVJgPiU78M5pS/KugpWP4S5UlSZz6J7
y8YcLF8oHxtKvdvGGGxGKApAYmfhn1TO9lLgO8xwTFWv36T0TS4Qj2w7FBhkRtnAeIj7tpfuVDmE
oYdus5Y62ItINFSD114QfHMRptkmQbRt0txLGZuduGfR9cNmuhRjRJTsrbnnOytwCc3FiBrinPyW
lOfz97KsJoAmgtDsW3b5Q5UpxZdWqPs7g4NWyvM8y6RDJ3XzcrtQgnyVKNtKU+h7pwJZvPxaaaOQ
XvFjVb7aGV1Y15Kpf1md0n5tk7l8QdwPDcEWWAgY1j1P2BW+NcciUhA2Wel40VLKXyVpuec3rUbV
5a9+D7kn5GM/5N/yQSP1Usb64a4ia6YV3Z0U20cXzuJ8IHwfDfIZirzMPr0Uj+cs4ZW/1EX82gaw
dvSWcsdoVe/t0KzdOexM/r5m7kC7AbmxyWB0cNRRAsnb/ZwLmk8FZBp9vOMCSz7zvMhi29lOwbQJ
ggpVjsocaBdMDXAXSjvF//OPf3wGueqkeF81PYQ0M3/Ey96L5mjhvJ+VbrMzQQrbuxobkt0Yq+Eu
nXvr8se9uGJ+nDUX7bz88f78BY0qPNFkc5WJANSQZsw6dsNXpcMOJ39cuUDXSaCpS4DrfFTJj1QA
NM9qAYl9/ixYFM6pPambUia6NxknutCVzeWl82kt3yn/2H98zOtK+s4zq1ceCT1Jpkh7feo/nG86
wLmdiUH/+/CZX2BXEy8wGRaXwbiTR/DQWWI35jD0OjhmDmWpi5D6P/5fGFZ7+GmgYnNiLeX/lv9S
ftopvnYZujE0LOx6fzmS5DeeK5xy8/uxwjHX8xXJ0icHPhHY99BJbxxpfJRHnlx8n60/DtHLqnx+
ogy6Q5l00XFf3oIDc6s8tU1OjPlMHM8rmvF6UENV+pfDR36977NebgbzUaiCy29aHLqhE5F5yOtN
KTOVr/h+/5+HoNz+ln9f3iO3L6t/PC83/3jsctiW0lIknyKVhNIx8sSgbDpkOjutSCH496Srye+p
e1a3CHQkMLjUYzxTroU8Ue5xQerj2qZjNbW3TpxQrnSv9JRhoFosWpHc5i4Q5XoWSwBZptZ4m2dH
IrDhHnl6S40IGs7OUFAWVCQgKyNeNbmg4Q0qT6vpfsltR9rgSlI0V07htIzGfI3mKlRVGGcY5OTr
/341d/1yI1z9Pkkx1Kb2A3zc8EiOTnj0I8FdQG77uk2Wn1zt9Br9Uq3CgRsEOYoWUAH5RIBRhvZ+
t7Fnx98fiuLvTbn2Q4T8Y1U+9d/pmX88L98q3xTNSE1UUPFwZWET3Xz/ux8vv6xKMv6PRy+q6B8P
fH/A77/yd499/3f57GBbr7lfY/M0iGb+48nv91/+nT43H/7482hHg00Z4ZCWAwqp4P67P/Pjo37/
mZYS2EIggIZJNps2ZtF3zMFFcMivCy5agn9/rEoGsJ6N3q7z6Rr/u/2CaALe97yQj8k12ZeRm82Q
gD5Tle3f8s1HCT0PEoOSI6C3NUVzbiPhnFvDh+Hi/72dZDg9KVQxCJVmFGlzlwvvYkaZL59eXdab
goh32Z6xpABfeqBVbnBrq2FSI2nF/RRT07Dpu8oX4tSND8Olp3OhFbcJomYzcdfMl6GQ59JEJRs6
MqWPdBdEPMiJHZlfbfrkjkijudxWZ3S63MTo9prRO1hfUMPzSSvXGElsEbTUVCqRdEbqFG0CpjZ4
43PVXMRlH5DCOTUX3HX577U/Hqtr1WEWKjJqGnSwpHVeLujV14fLY7FKJnNWQMUArjb77XviwrZh
xVhydu5JJrhcQ4L2TzC4fCwCjEiWCiET4xjn+6ZuGP1K2sEA1yK9tN/ktl3rT34BvUq212S3LaIz
giwSRQbglX9148aZVcDsmorxPK6r5oVck3v6j8dgWTYUBquPWN4ILh24y3ow72ja6v2udb2l3J1y
F3935H548Lv5JmZPDL3yttpdQhql/0Wu/siLTPC+97MJXu5BUwarfO9R+WCco9mH7XPuJAZ/Cutm
a3OVl6l65rxvfRleI7eDMY43FXmT1pz4kvZtIY4YQ9r9aP/6/w06pAKzU6JG24aaMcfZkL4jF21O
GaBxjGT9/diI4/6A7AIiq+qbAPbgtE/RuxF45Z4apLUWTf9iSZeu3E+B3EVyldCrR18PYOPIgPfv
PSF3zPfeCWuymBVnHIkKZhd8L5z54vS9eTkpIQ6ukzH5krtF7qC/21Vy/4hCL3dEvq7kTiltb4O0
197KM+2yi+SZ58aIYlBm0BIJQb73c0V9dMZd4ueAQeM5k2UenWMkIF+dUSjNhKT88OkkrMUluQi2
Q+rO4Zdy+7LqBWhs1ZD5s/wJ1fl3vPze85rc1MyeuSPM/8uZEROz25AE9E1G98bBw1I7n1CXc6mw
o71dUD8rXVrTduYOS2O2BUmSQqgQjAoC1l+QApyQVw94KA8pNMtnZSiCnw/K2p7KJ3ksyUxJ8KzV
jzRJ+YR8zJq9hYIBhDzSQhlNM0dO/O+GpJmWrf1Xiohz/RUU+V/Y45e3/IuRBgjNtFE1GLYLG3ZG
hf9bC6Gb6CQsy3ZUzbZVzfoR8Wj/QwdUbnmGoesO8Y98hn8x0jQiHqk4O4Zrmw5aif9RxKPm2X/C
xy00GrZj6RYoN8tVdfWvWoik6aZEdF50k/uvMhZB3h3sdBqWDRItsiA2ftE9hUblHyaPYDmzTh7d
IfoMYGov3WgOFZhP3O+FK223NMYZmmirdDAAPmM6lAt858e2KlLoKhbIggtfpS2dDXyX6zTo9INc
FAhyFlMW66sWFJLX1zOiVivWbWgg1k1te2sPk0ugbeiQO9iLddlkya4z+qNvEE6cKv5N1aXtpjW8
p9zlJgIkvLJ958aeoaFivOmqKrpN3Gzvt+ZJG1yGx012bXVJvWfO+A5W5VD6BF8GgEcW1UyUutzQ
JQZHXoHkmrwq2frwVArutVVhn40ex7SVWqekV5OjQjceLFTz6Q/+hxoa9mFIidUr8MSDEidIwnTp
IIoe0z5Ntk2uCetYzgv6VUjn0zeRBfWxQr25qs0aOQbfRokv+SXGHEUir7IyiUSukez1MCQteNV5
H+SBrexaKDHQpYJjMkFPmroRyRMIWXl1ld/Bs217N8739cQNiEqcawAq/21BXnZKR6wFv1akD8KI
r+JQTY/jqHcwrSjW63VCyFwXWqtO1c8RJicNCkqikVSHlVvHwq5jbGvCFKWM2jf4Hm3cEQrgonlg
QUbinmygZptbOaFu2lzKsDrKksTa1Ud/YuZODZW2T+Bu9Cxgaub02h7314+QiD/2xPfeKaLEXCt1
99swc3imo7/DZ0Kfzx3Kdd3m3UEuhsGs4U5YXyr6hJSKHeAYO6633TwOsueMELn2vRhmtowOdW0L
DGxj8O8PciG/0B+b8ipfT765rHW8GSE3yWl5GQ3LVao7NyKloRlp+i8Z5yKDXOTa96YcB09Obe7c
DNWFjJ+ZB0Ry7XshDwa5OY2kIGpW01/4TvJkdC6+23koLE9TeXSI2HoxsshY/wF5kj/i92NG6Kh7
PFUyjETeS4ltZHQtb7ISESSfAY7lr9wSP4nkAskxj1xILpA8z7OoRqbbJGEEQziM1vo81vkz8eey
nSYbe2xvTfpC01pyZkIpoarTtyAhCga0H5xbxQXjmLTTwXBROlnzQm7KhU7fBWUD4YeYM2M4FJrm
b4kwTHBHtkDLgFgsPN0F7jaMJPSRnMMqis18mw8tHUH/2S2AExcgV5yoUw6uYTyM7pRthDTuyg9l
rlvSlnAUcrLJB1BC5Qe5kISe702vKTSiBylEO+yEcX4DGkkdNE90zQ1ilVa5tieMsDja2RzdoirB
mgDPCbo3C1VRxoNXiWgzmcNLlBEjFCkhoqXpkV8WijD+vP7gGyz60CMalBN+44fWS9m0wbF2zAd3
BqLIjygxOWGmAiSy9Wwl+TnyiT6Ks+rFUb1qPwqE9CdNxA8jPkvOaLVZJdNt41WzRsUs12ijT/E0
vLdgj5aGImjI9VdRgMVkvtMtdd3/BGSX7ieCBxi+tlio6/vUVaNdkHRPqolS2xWz1dN7y+g0g5DM
bj2YrXV6iDL1SmQReMeKV1RRSyWQgiFOJeizY3pdYgfeusPwaxDTShuSX4FZgAQbYmPVZO6E5wZl
uD4fCgOqmhosn9apvyD8IHXSMuDgXXeKMPhtiniu0+UUGSOcIVhYIeq0QUnHboTpm+vo5cL8iupE
xiWij65MYIyTw9EUZNcdzQBVLycavDguEjPaj61+rVXDvRuCLBQWeiwVVP0CB5++Hjvub5Y77CpL
HKdYdIfSJaKvHsLmiOXjiY49WJQYdY4b5p+JgQVxcLsPRQ3MA0wIrGfwhhZUhqFd9PQmlHCte/1j
NFXJtozHsxK7lFZHyovRkM+CFJzOthKesUYYR6exsn2euIC0jEWQwibKMzQdlp9sGwucaayb7WEc
i6NSe8aiIHRkaQ1NtW06fGdG47drK+r0VSDORRDra8us2iUKneVQR/7SHSbQ9ham987oFACA6Aat
rjCWNS66jWF0xtLNkq8R0gJ8zPGhS8czaXviAekNRgZD2bSFgVS/QBmmzh1NW+3JaNC7nR5TH4JB
rgC7SW/ayaJl6uCm0vNEOQ1jyJuDT2If7JML32lV+WW3RZ/9OJTtsE6cWNtoBfySuIQTPymH3Jgq
wuNbkgbS8mi0rkqXIFgquBBPnU3WWSDcZtllPU4ZKxnuRVw3G2Sb4yoggM1xO0x8pVWu0KbRimKc
9I7fkPYjYmOG8/i3mJDC23ONZ0QAYXcsPLqvKP73RQgQWo0+IXbT8yJMaxE6ynUHkU0DN7/suZ/T
yeQE6vPwV5P15UqdhLPqy0rbK7kYuc56ayIDlGs+zCeO6RjYtqaQhrpEDPSp5caNk/mz4vE6SflN
bbV4bb3mFzGaC3/wrkWRHUyH8zZBZEIzJsAEELo73Mw7Bpf0HRPOzjDEqIRi/6rJNOtxAuS9GQsf
BU6g7O28xEEWg05UDl09aBvbVDq8F/ijiVfAgU5ibkfnrbC9j1SPuZ2ohFcS/6GcJuRHWRFv6btz
TmrAWkA2pwgWhqXajd2NN+kYCqjkMTIQ2DpNqh+pH++m1ELShaVGexaEya5Kxfw12EhkHQ+R6PAI
sG9aDYr5O6kd6zavH+oxvMJchdk0aJN9nWDAYlyqH/Ki5+PG/q4xKA35VpKtS3dXK/pwoyfePR/0
Bi9st2wUUV0TfIErM9gDI/yKR+NlKgN9aVfqlaH67tpU+3oZGCXRBuap0xhb9qTqLFos0Is6U5Xr
zBcYE9LoqBrV77Kg7Fz3aghzHzldrOF0M1BTTBketrp23gfLP8eKV20GtbqO/CleFxhql0OiXbXd
cEIUEi27HDMsxsZaxVrc9O2D2a3gkqHZi+pjCDC/duh8BmgQUKX0GBy1Br9eEmH+cLGScOkPFr5b
aQTL1YzAhuaZ1lS3Ks8RRCYsDEgER3PUaIikOCU75RqG6Jtlvc7Gs2PtV/nCCgW3Is76tsIFmCXJ
jXAYyqhmgKWYkXfevBPLk26cSXmb8maD0e0lBKBG/9mMVmlIYpHjPYcuOssuapg/mP6qDEW360r1
qAyJs/JMnDpw5D/JYm73/BBYjeNzCT7VK5X6ZkIUmSrL0Imt69QmzHUquR0pAOiVBAgsRvSR2X7g
HXr4rLqBBkvnjn0cQedzeepO3Evx3XU3tVt1S41MkJWe6/ywI8wTGwVvpkbFzolipjlqv04GAAdz
WnAo/iY9+DtmVzQz5U9hSDaX7eSCsek/I3XlJrfEnACd/Gkg+gT8eY7WOSOWWUURsLpAUuYp0R/g
FLlZdCScBsMh1xnvEfarrappvDcMgv/6uMSZI5ro6HSOS3E+qi5tSAp9KbOkJF80NmkioRk8Dnn6
iBlk3ABfHdcVWU6IBqlqdsAPg7kOJPPAp7mgIRfxQGMWuixF9py9lFUkrjomTha9QYmUhToB44bf
kmnGAp9Uso3C6KqeqwnkGr0lgTKuDT2DOtn3W/lwDecpcPR+lxHfbhTVeACPOR6YY4yHSLVaKBTZ
fHhRTXFd/XNMJxqIMgaZTDlr36uHbi40fi/aeVQOEsOZp3XXEnwnF+U8Hs5mqpVne7A3K7Ivjble
2JrWqK7ltpf64wa65lnSxrJkjn6XqzJlO54T6uSmNpek/I05j+xF0hKDKDOLuXaFiBwYGGK9S4di
Oo0NAQ6Rqd1bRvFEkkO/4y6CK35Qg+ugr64nMzMfzMAnpsG9UbKCg7vQlHPsRJ9daCTbShTOcWw6
tOkljUq/jYeTOy/8sP2aUjvdpJiWDoqgtahhfkIk0HlildJD34Y+DGCINrpmf0TBWIJ57MtlFjkW
GhMOkTAqIMMRPXPW+nHn54wX8tB+6wrTuqp6/5CGUYB+tmRqmhk6oHHUCrYtmk1T628DUy5HNMXd
FbeG8h6A8TJT6metjQOEQVh2sGtZpDRoysK0cuux9+3kYOvRgvLW7zH1i+tWa2HukZi4Tub5omro
5tq0ek5pR4O+2wX1WdgW40+16LZ1bB058lyuq1wy7Yio3kVWICaKbCtYmUo4XOveeDukzTWZpid2
hLcrUiu+MbUvo6mTk1nt43wCiw62e2Xkcb1AtknHegKOmDVOsWk8DMdVGY3neEJHqtloTROtWzXF
MNxmHdwfiDLX6FSY/3PALCyh4GDEbLrsHJQK6pQdlSCr9wPRSX5u1ieyTxqMSUND16Tnfj5E8XVj
k+9OxtSXhb818AJ/6yzbasJfQAQNLD7zponc4mjgTligjZjWWcNHt4xgScaBhp6ZnGbG98ie1OkI
SXXf9CDjRwc/npXqOlXA5rNC4r6J9aTYKcLfzBD2dVGFEcBUNM6eNt4Iz3lxXCTE3aDtR+C8Cv7V
23gIw42bDG+1F7wq+WjctGPVnwhlWuZOrlxbqkFUYmd+Ru2UbguTzsHIHOvWUAfuhxY2DEYtW4YP
p17L02Nu9Yzn3GWuwoUfYUqQYSiMhZZwpYotcng6Q6vOOIJtJzq3UXtljZ15inXlqHbJuDOH7KMl
zmM9emlMiyaOT4gXgyVhbMNtUgX5DhE51ZRszax5vHKQQKiMKNZ9TkLFVGvavk5f0E4yPSnYr6lF
5E7Y4Wzr/i9357HlKJdm0XfpcVMLc3GDHrRAXopQ2DQTVmTmn3hz8fD0vSGq/sjKqq7VNe0JCyEJ
SRGYe7/vnH2GAH9lg9iu5RdtnKSxObiqfh9FZPvkkm8TM4IvuMwQ2TTBg0qRzUw1qMAUkK1O0eHQ
yeRTSQiVP6fthVwxJQ0eEMc/Sqo0B3ZbbGWI087JCo7M2t6jSpV4aYatlo7pvR432ygOgosTjMZ2
ysUJvMpDqo4DRmobgeOyxhQFtZiSqL5l1cU+Y0a9KRimMu8JsRrTFmPWd1Ui/K9T9tgnCca1QE3O
PSxqSJwJ0J1eaKdy6neijLurm2CY1Cx7ABSyDZIBJohExoih44SC3npKoYw8auG4+SRTc08q+PeM
/CtIC8xxlBDvg3s/toN6VbX+JSIc51EFBtNyfhEDvAOHoN71pJZsubqmXlF/09S58QSyxV3hqnDb
9XymaIxBQ+87xmSEgiGMD/N7p4rSu6z5NmBG8oCf1seotcNnZFknJZPOUdbsAl74j0G7ZD2B6WER
2R7ZpXj/wrq8U4W5T/rFb1LL9ly27ZudacYF+w86dPyLfqKhzcTQWW2pdXQHs1R+dJU97TpBN1gt
rNe0LvuDKZKnrnXrOy0yy2MntOf1Qgsz+zEkeepIWNBwpyU50/sp3Y9L5mxb1OTy5dMJ1jYHQhch
VnG0m4iH8NoR82CUTX6LDPWOu9GXJVDgVDjjA1437RoDEYhajK9dRWCr2ebDlg414Hc7VTbInqqd
bbsvXGiyozbpR6bA3ysw49cpdKEbgHPeBfgx9sfZLeQ2sSvHLwf9pMMU2GVOgwJXdWz+szFWqPJz
ivmTIWZ7jRGw3sepq+2TtDd8qsbWpswVbadYUB7cCChspdf344zWZ6mmjmA3E/s7Kto9+sEt51SD
QJ0u3VDGyzFcopP+JgZV5XToD2EZaadR+8YQYzikxVQuMqVNnkTFcbacGFtmI3dFSnahEo/7QpYH
N7P/SBi2vwhG951kFhkpinXVzFNU5RKtyfSW2JnpBYtp1eqn0RONBPYBOOslvYL3OSbo5e/6tDQf
GF733lCnyTYe2sBT1LEEau7+JIYmxNoC9712AKWQ+ml7oQKfNSgZYHda8SwRp0zzROpZhCfGHHVn
1+bIcceY9KpGZwA7W4zmLa5YJznASBlq/W4dmaktltPCRGGIZee1pb1DKEGpnVzTeJFcp0XbFb5Z
dtgHqhA7NQ4Ln1vZpYebcTEHmLOA1E8Bg/W2pW6NOxhH/2xeZx0PsB4ofhrP+T7ssu+AX1z8Lf2j
3WIYt/T2bCji7CYdraNMl2iRa5xTWXV0zCR47uAQk3mDaB55/ZBJrk8TgQZqGuf3/Vz5WuiKq5tP
DOp1hzEnFHpVS+eT7Z6h/dfke92BzcF5ZcFnN51+egqJvEqbZDhQihIL1qYnyjGIvSjOorvMZOxN
ciDqfaavEmsgfTs8UFX+s1YTuAyOO7yZdfVIdwxYvQTsE1t4bR2UnvOUGpQ1aaClCDqurm1TcHDV
SxdjXCPxMSIYj28Sxy6zVv2JmdTPflbHi91g7WfGSBZRSa5ES6gKPZXjMBdbUBExmU05SkdgLluj
pdDR4cvZViIez12HeqpGhmhoTvFSqypdeCO4t8RbmyTdJ4G9d1/OuPZbB7ccyQIakrb2jlQJKlGA
h85FM+GSE/2DrFUYxmaBsUITwR4AkeKLqqb82WiPBTe6UObuJeyjT1PmMkYk9442IAs7KOU5B5HX
9AIZMvcZ9crkiPvhmGEm10n0K4kpumClB2/ugpjLoUpVmqDStRywJGX4KZYaUrhR9roNNJyi+qxK
p76UA6oYm28/KnbpdRYEN4IbtQM2wLc8rKoXJIV+3DtcZE1SWRU57OdKCZ+SoDgMjckxVtD/0BKN
CWhDHIuJjyV2ScsYcmT0GVNbopdCMv240WyjAKhJ34hFl9yjEnKL/hzV6RJVPCh+0Br6NV4+paFS
u+AIlhRTBvOOQZ4NUB+q66b2bMRhhAO/GTxgThbTB9md4uSxtAp3W/ChsBAb/RDFjFBTWd454d2Y
1ea5Tutg08oM8nOaPWhKTHjEwD/AdlsTczoK6b6jQ0q3TXoOTetjTGZnFAIVojCxH4SrHHqpN2dj
AGMsGjq0fTQmtIJs7Ugj+btuMijSeqfdo3wP7qAJzV4mtfDAqGhnDCF/kbmJt/FMWi5SYWByZBj4
SVnXRB3OPcG4ioEEQCn26x8aD6VHQvCEhyrYWEagnm1QBhrTs5470VzEO5FIhOqIlIPYrh80dVHe
VVxuB5NS11dFuNIjkPdZzZL5YIaGQusdr+Okt9cyH7702axxlQ0pXYxidXjO+o6xMgXSJv0sJLG4
Zj4blyDP3b2c8m9tnhLlMrn2we3VjHpkQefEKC6I3EOPHPjaF4Ciz9gMd1CTFErfdCyPKfaKo6nS
dCqTe+7J4dlpg+yKnGrrKml516rtgnOL99UYMzE0w8eA2ua1ADsSD5/jIh4uTordwwoMCcGutRDb
ukzSSuXRTBL7vC6cuk/YHcgTIqPye7Mi2VHAFCLijCGkzJ16Hw+2fdVRTF/52SCzlHuRWF9IqHWP
wfKotZMvI8fDmUl9TwGfa8FgWJ9yWynuJBF2d4mhP1bhWJ+TGI30xJx1a6fjtoKK9Vgsi9EFHVd0
j27PTBV0Z30vxWtlu91ZmDgvmTzoF8VuM2+WpUktKpHnOdaSY+mmg19k2k2PlPFJnZfspmmG8jDO
mC+Fhh2Cf5wXNZV9VLqEHCKVFFaThmU/E94aO4xdXa5dHsEnCfCk+X5sOH/LcvyG0y0+gC2HvxdK
TwGgc8Wv4Xgi0jT22n0fRlM8JByGLrfkpx4raJSpd0pYanfMeY+zajOpI0tP9DOD84yYQ7PB/OBk
IFtssg6bDh58IM9DCPynDUV6tgqGjSaF22xyu6tT+1IxuBkwNcXamfpFatbHKucinGcKjmvMZgkV
p5vTchAZfZ0yzLwg15ZXm9JhbA66n1XG82DqZzTiDimyYXwMnSDf6LKleSLd9D6dIBXZJHBiP903
KaZF4RKDmxOpWsegvEmQwnKHZ7zR4HrRwMSOzMXTG5E8bLDvxFutLAyU5mXP9cPlvO6tnwB0/lAT
S+7dAjDRBK6z6fM7ENGSsnuzBDnKjrzTGdh5GXmzCxoxojhN2h6gp2kc273IuNUnTJt2Q455oStk
tUNlvXckkUEkd3WvuVlfOsUyyByh3zxPdrWfctRMajZg+snaR9XpYHWVLd91ZJheOd1zFbjOhQLu
c6hxL8mCgl4vLNCt1UE0QvCFFeBokfl9ZM7NwUHKqDKZ3T43qe0CscFXrucke0oHCy7lqcGEbq8o
ivDx+zDq6agoSa35wwjH8lxIexviezvE2L4NlZtM0zWfCqv8ok4lgJlpeOs6RrbOSNTO8js6R5p7
Y7Y/DRGJzlQ/F0Rp9xI5PZ7M0lNou93Pwas1Cmxdipy5BFoUiF06tzaNp1PZimfoWiTRjJ+FyX1n
qEW+U8zu9FtWykffb11be4Fh0D1HsijIE1+KvflSS6qWbmzXkDEWUIQpI+GRoRjB5aRSBqE840qA
zX4VUmkgSL0M5pT3/jhpGo+mVXikeKieJnegyGq1ga8NEcN3nGenpHVhJgmoBI4aPoSEAuIBIJbq
Q03EGGo4aDXYli5GmqDmb7mBlnRUlYNb38N7JDptCXNZpT5q5mI1CbEbNSTmnghRzX1pBNomSbC6
rYsoS+6ClkgzhVLNiSyQfitGDu6cLtY5AMa3YUjzwMlSb3pLvprzoDNnifE4M5cpz0mmhR5N/xyM
jEMZw9Kq6jxxhthRSuSkQV5LaMzlu0zJVtT65M7cefXZha4Xui9agkkgTEAYuAa3v0A2NNojPF9M
QQLMfPySdbFm0WRLke9jm2LoyS6dypff+tCBwSgpZTZijgEW0OWXr2sldLtfHq5P2NWU+LVBJ4np
IaPgOh1O65rz59r6MFr+YKWuP8+tJHosN7y8GhEMhz1oWRMWzrAs3KJgim8opt+LukNzyMLk7nWc
65J2EO3O2WG+t7GW1Sqj87ku1odokWl5JSXpAPl46Z10OkO8UBkH8MdYvtu81DSp5y8yjHQVKaRc
namq0zSmW8GANzFq5n1OtG8q9bM2GViXl8qporJI13rpKpxzbfO1c5Not6rlch219LqWLmsoX00E
5cn9uolG4niM7Nd2+SXYxP66aKs+8ocevlO/pOi8C0Qth5SfqaD6Vrmb2ZLfeoeiWWGFeI1aMi4+
Fr1RXjpdq/d9lKIaMXtwSGtFmOagtnWNJD0oPTS2pagZj+ImnFTb/b/WdWmuMP+VrOu/63gu/z77
8v0tf5N1qdBqhKpxhSP98u9lXZr4i6PROzNtTV8IN8af0ZeGTfSlo1qOylFJTcaFS/NXWZeh/QW2
AZY8dF1ULjTn30m+1CyDX/N3yZeuY9qG5lI4VzVNCANtWfX97TEuwua//kP7T8pd+IhS0GqOkXXb
WCKSWBek8cwnLdZnyGjMpYsq7DGacRlZrxSrovR9bb1wzNknYLd0ULkhEwo5RJzRLpPbdY0SR451
5T01ahVgrvLMdbFKQtZt9od4WpFph7s1OqojotawnJ6jskdxtEpS1EIL68+qPl90Sii7D83ouvYu
KV1XKQCjpO5FjpkP48h6JefARuS9WpjeRbumZFAZaoruf8hpGI2MMzY7FOb0sP+2qmfud6B6zTZs
ipQq+/J03y+pa+tqki+9oixNJj/pO+QNeiJByi9/MWcCx5GKcJusWtB12/vTg8TETswTTvAcCbc5
0SVqLRpEHw+xz6LUpDKfnMgDSylwnYo5NVVvXQWpjXtiXV0XVHfbkzNCpsbJSmrFTLMQ4DzmlI+F
hsObLIU1T4DBacH9uEJVlYPC6TQaJJTHy5NNC0nFpoVqZWOGllYc1s3rCz5eRSnk1Ry43M0lTJlJ
yscJBfrJKLhdrGvan2txR2PK++1paDMBU3QDc54yUnJzaDIxQeB+tL5wfaz3yx/yl6c+9v7LPgtj
kdlOLejrjHGX/9unQxf6207Xr7Tu4/2T1tWP77m+MV+4dwh0SFbVIVU72vuaIlqdq2bGTWhdXZ9e
F3LOvjpChby5vONjAUXxrw9NMGkH6rfvr/jY/vFas8EXUQIBV7TyNBYOf/kmXIRQ7+vr5o+FvRwr
78+vG//p4192ta7i2OTGbRrPH29Z19738/sufvncf1hN3B805crj75/wy54ya1r69Tqs7PXH/ItP
+r998seX/uV3/7Lvj+fXtXXxy9O/rK5PEaMN0zmDNESHFZgJfcCPw3td+1+3vZ8Xvz8d4y48/LZR
KTmZ1lNngqcye799QtWUC35hnvk3i3q09jqXtI/3fLz6t92uT1jzQ7Q0QNdG8prEsq4h7awQx9Kq
WB/+tq1cvSPW0o/+h9X1petTH+9cd7Tuct22PoSczxVwfZyvu1tXzaFFP/uvP/1jv+vHmAKfdjcA
KVi+j55Kq/+8rvYk16rbpJm1vTrY+7X3ulZgp9UMsrZh143rwsl0QdbV+tT6qnVrS/Fk9uwZDGQj
k8EXLRx+Gmtg3IhzseandVVFpVXe/7Ib3YKAChGNvNe1+fu+L8XAJnOGqR3sUsI8abloV4oURA9b
47e4Fl+CGUJljlKgiBbtWN19SzMQGHU7LvTLH9OgenkZRYAF4TNPFeKCwYnPkFirLRjNBUu5gX5g
2OF3Y8ZZWHDf2QyplntBzcztl2/5/jMmsFEbAhAjJmt/y9RavX7rw/9122qS/OUly53hIzBk3cFv
D9/907/t+v+wG8NhpiqE8+4Zd9/Nmsvd5n11/Q7rboC0YZL+Zx/98U1QX6BImsr9r9+mQYRBxebx
3Q65GiFX7+W69mHAXLf9/pqPpz/e97Gtkkta28fjf7bbd2fz+u6PXfx7H7Pu9uNTPnazbnOT9Eue
4nmeXMYQ43JfZRbZvK+t29aH3MFvGqRtDMO8Yt3eRw0Qtl9W16eS9b66vue3Pa4P8/UOuT79/sr1
TfOy03Xt/fmPx+/7jITiT4qZ+bMGD8sulTtTr0xA4V8hFeTnaM6pSVPG1vIp3IzdMO4bldK4wYgU
sWjjo35SfUItOnC4oMyTqPqW9mjAnMldEBFgqawIWXpopu6+zvNL47olUYMoZCtyatPU+WoIuipV
zMTsq6VAVKbHcBwcqZPGAkNI2I9TwbQ3VBVKIw32rrkH3MYIYxsbdw46kxuOP6Zto3NK64xCWiyf
6TvgWCubz1msfGeGHO8nbYlSmM27cAAHkuhknpmfGrdw927sulsTsjC1l73oKLpnsIf6rOg3FhjR
Rkbf0wCF3ATgzGjQC5jBANIq3TGLhXw+ZsOuIN+uSuUtUOKfaTEEBLaQ25tY1oUpQrQhrBeGUJq+
UfoDy+qkxTlmRO47ln3KdPVTbqTjHfDBizo1AEVk60+W/dQPZXI0AYVHNdrYUrrb3FXGrWgnYtWH
+JH8RMW3wizdvPVFmdMZB0g7Kaq2NIvhrg3z5zKL3+x2Nrba8EVtnrqwukkBckIeylyl9W4v1zl4
9kAUOjpMPUmFsZr65lLQY35sQoGEPPsgrOwgERuddL3WPWNl1Trl13IYCQZvQ4XLIpz6KTIedONH
1rvGKQ+i/iUDN+ek0fRIQu2liCXl3WD0OyfYdNMDVMtToldngjx+VrlGnKCkH2BWSxlvqNqd1jYB
1HR0okERxcd24tl0qq9kDZyGlouqVI2Cuj+Vy45Kr5PrnUf58Tt092ijN7pzmQw6ohYgC3MpP0a2
/qWPHiDj56CgYiqGAo1HVbV7Wu57QYd4a3hWVjD2R1q/62J+ljUPx3FwvhQ4pO7hW8wP3WfnSYWo
vbfjCZpJo/yhRAfUc9Uui9TX0p3LfR3UVGcQ+cLPuhlZ65UklJsVHUSXWlJrjkRf953XV9G8EQU+
jxYr6aaAnkD5oDnKJAOKnMSRTzfI9iPZ4/mPbR+U7nYw6akabvsFYfXPqphG3wD+hVbvvlfbfDtR
M7w3tTOlvT51AzhPrUWmAsgdlzCdsfqhWCGBLi5yo7xCNVOqMFM6mp1N9bOQ4mZ2gbarKg6HbQR7
eCtmoChueoNFhk641nFeN0mKUBButZFXtJqCOEZawy3aypjZCOTsGyfsOXlm7bGa0UgKzWI/QdxR
ef3SzuOD1Vr1tokX9LTendZ3TFUU+ZE6XYuywZgULqR64PsAJuEV7nLOjybNaz8QVIyT5KFjtL+p
msw5W1o0+AGdSxQsOXx3cZLlpJ2RqgYev4eQ9VD7PtJ032Low0+Beuo2FtYR5910qDMXy7tjUMrN
uoeKs8rr4rznbk/9GA9rfpvojG6E4Qovn5yXeei5h9fqIjEM2p1thNpemuJZ70Z5kUn7VC9S2xkp
+hwni9akmoiiMpmQMYSWadhcVWo8EDX3o5HdRmBi/JME9qDSfImUrtjV83Toh7Q8jmKm9YWyvIUJ
i4a13c1J/ybqssEtA3CJ2tvslUpd7mjK5a1eb00l2HcmWTo6CRa8t3pB6ofItzXEJZAkK7jTV4PB
iGU0BddTMGAKxamNVbODuK/NbUidqRFypznnlKPxSCF905m9P6H929D3pU3cZZ9QGHoELFBU55v5
hmiucnAF5SeiR9RIRSFdaMVG1cbPbUtgiEmzueKfi1wE4F4Pp6yMroioDlYyPgWFvDVBZe6d1j1n
irR3FUQVv1UMZYNC/LnUFQ6KgOwrVcmiPSqip97QhD/H7rGInYL20ogIKmmgzsH6hMeGNTLCStLm
prOploR6osV2baB3uzIntCojhFuiuINRm7uJ5glguZscEHxZzl/8qdAfpV29cvYlG0Z+1WZwCb/J
eNS6AbFBgvloSt5BOIfnRJf7sW7wPE1FT9sifIk5Tfed8aaV2kgBZZSeJoGfUnh6GgMXPlQfOd7U
Rsc+ae2NRmxSGmrPWoe1pnX7i2p+RbNY7CtATG5LtEge4AHQ6vzJCCBShTXxW8qiu0Bit7fojz5l
9CF6Rz939xag7TOJquiC4NLJhMYPSGRPTlW3QatzBjkJ98Z2nG1oPRCnqflxxTk5BE0DKwP802je
SLK5k2NKcwgNAEPWboG4p1hUPtWMojxujSrNhU3bpl+ZIJTehL/LbV13VwYdx4dFI0mkRr1va5o3
jKTBziY+2R/NLXXi7ZSI5CENTZ+rHUa/aRLnuIQIyonnd6GteoN0Bg+YJYEyNO5b1+t6St+dLfZT
H7zO1lR6YnRfJ12dCSVFskiUrNdOwVvdmeceB6w/LHb1IrX+yOuMDvI4xR5nSnEAKbGgofSnYkRI
kwZkNGX2WbfAtQkZoOgeXW2HLiDdJtqir7X0LxL5v+fWQKhsh011pTqHyabQPhblFypq+XHuGRF1
ZJoopvUy9hMI/vylmEdMdU5xyEL+w4RHg31154t0IMWnZvNcdJjsOgM9GGD4u9Qph20/IQeTGs6K
xgGjOQNkR9J4Xz+qrb7oQ8udTTzYqeTcsNNg2HEhaf22f+uB7YZkyaCaDG6GnYXcbnSTA5oEo7Sl
yUa9YkCXcog7ge8jiV8DQoJPc6Lc2Z2gCTnuIg1tlupEy5FBzVwn1myeLIjgCizDGEirNV3o0KSb
SuvvyoJcuQnwhzegBK/aYVs4tbMxnPgH8a6Jh+zJJI6ETlyrCsJAyqreOIqreDTV911SPDsUiDqu
x2iCSRdptOFaJHRpAlPvtmIo7sD+WVvk9ro3qeVTw8gBHG6Noqa9uQYtspA436zVq3uTxAi9Vs9Y
8karwx5gpIxYEyhpnYrqL33qkNTzIv5txsNoavR28/AS6/23auCj1MTZFSpyeNu0SWkN5AWO0KMg
O4BjtN0hvPiRjq/WkJ4mffyZDSTUSlsh8iPUjk0x4McWqb1JBElzudXU3vjTWJIkVJkRnmSLF8dF
1kZf7i4gDM6LHMyPEl7rpiiwM3UFUUJxWgRHyRCa8IBLVSF1sVTRHMp+6XSBbFXo2UWgW7oUeQyc
3Lmjhx5rWeMLaahHiWpsJrTswDVum2tucLWK5NER/ffOjjkANJqPtHjbKIt3SYfFyKTbLSPLouJr
nWV1KLIpPrrQ8MPmmJqDdm7duWA8T+ZeMm4qPVU8t6yMPdMHoLxfIRQboHiXS2dWpNhw0Yd2/fdC
HbiYRB5/cURzofO8cJiY1u3Lho5pKCwmLvkj+DvHV4rqGhrqow5F2TfU4snsuh9h06eeCuaxsqPP
WeJW6Igi/aIIki5i7EAREUKzpBVdRmhh6Hnjrz1N46xs4Lt/ruOIGEPqDNskrS7cBxluWfhwnAru
cOm6JFlw3ApC/oTRiL2ULig3BHUNKmw/VL/27fRVIXYgNFY2bvmYAwPZZ20e+IUZHjocjz7IMni0
AQ6wbklvUXv9PrHqWxZyM44M5dhhOrpWSX9nxj9qR7+rB90CHW17WXyqFMbbkCkpKid/TFDUvbZH
rCRcM9o65swxCpxXsZECOZnYMESDwOyQKRqV6JTloHHyxZuezDdGJgQ6DPT/Av1OqdhH2YKKBUJn
ISu26B8lwbbVMioNQ1KRm5We45aoPbueSd6YrkEdqbsizD5F3RzuixqmZsf8B0dr9dKWZ6Fj7OL0
YnSgdSYodcodYzv7eDbfuil+Jnve8otg+Alj92K72HG1qf9phS+U41P8DtPPIR+NVxO5DxrXahlY
ooQdtKXLXjbd1UJUpbuHUARnEp+AnMIIczs1BKiF8G/45sJCvVI52sWmIYDBNNcGoIZXz+ExpCp8
oEb/ZpYNegEMYXiKj1aENBn9xh+VU00+8R6RGn/vdVQwEpHqpnAhgrpDd4yy9kedB7DDx/HsTCYM
cj32iXtFcW3DNVZyv0xIBq3dq2k3e1Fb3DEzGINB+EDn8rWE/0aS5wuaIvQ5TJI3hj0945Hhv9q9
IK9lZ0EP8VRN73qVXMVkjD1JK8+pk22ml6+l0N+icrhAsyU5vYdsBwO0Qgl4VyoETIJNjA5AnvV9
7fIvU7SHuk2Vm5qYwa2aZXaTwVkoLuqBddMw9sd6zNLr+zbNDjGblWD8P94V6iAscyyGu2rZ0/pE
Pxtv7WyPvmx7nyStp0Y+NZkAZaqhBbVrrAAL3XGY0fKBZ0z4IuGLgvKTiGxGsQk6qm3fg3sf4zMM
PKKqTXSa2hg+tMsC8f9DjeKryMuzHQ4mLC8WlCNn4oFmRqKEkb5vK6xJ7pHWcsr/ua2bAeLqItb3
0kEk4WCQypdFx8FY2fLGSaFzyW/r3Zjr+g0nlQ7v3agODvCOxVil3xrwALekRuk9dCDk/3zZur2x
xKeY4e9p3e7AML1l1TjDLUJ78PFaQw/0YxMitFhf8ssTaMqxZb1/8LrZ1EsycqYSrM3yweu2AMcU
ozHDZ3Ja+eum9ck4VYuzaU1P7+/Mq/jOthU0bVHyQK2QuITpRo5C/DDI8ecYy+A4aMZVnZLsMiIA
uq0LZ+a8KlvL3H1sy6a+2AcwPr1UVRJlU1F2uRgw6VMzNRfwgvn+3i5G6lsS3DVFiJGKwon4p2aQ
X2ezcvbvj8nGkyQBZsJD7s3zUYWmh4C7W9I497PLNaSfsRXGshM3102VezM+h8sDg+nN+4Kp1Zcu
iebTJIg3YxRC3O1YGNwc/nzdmPYu0kUVDeKyzVZL6xzm8S2v8u6uKicA/MsRNVfAqscI10iWN/cl
o68HoTjhg56UT1UQjuf1ZesCjj8wU6eoDuvD9bXoQHEYyUHdru9at8FJy9DQp9eMhCxUhKF7ywrD
veHswkNudF8JyXNv63bdzvt78jfJ2nFUfsfysqCbjpWto2dd3sks8KZioqJsw/FXThiVldC1brIq
7VtVRHKrRcTzMMeyb+sTOGiao0rmwWZ9uD6BmV3cyUx69OhbhYF/RJ5abhhk1U2M3Hrz8vHaSEpg
vSm2BrTBRE1OWANmJYgeqsJ0/FFM5FnaQUGgRiuDHRIMfI0L5aJbFqBi2yM1JcxB6JT+n8fc6M4S
SfMvYm7++Fa/NenfR9y8v+mv/X/X/AszSyG4ypl0+v8h4sa0TcuwHY1uvk6OTbHk5vzXfwiD/r+h
owAw4LA4wvgl4kb9txr+us0P+LuGvyNQaGocdLZqkEq1cGZ+bfijDFLUiQrbpehFiz8a9RuFsYHe
Y7Aw2da1j8W/vy1cuWgrIu1f74ZsKWVXgiHDpKEZebJbP6tca+/rO8GK42G2YzFR062D7CHIhvKc
uTPFOn3g6k8CSjvUz9HwWjqljrhr4LZjULp3NO0LKdJH9gWu3cy6E5jzT4u/2d4lFUEUArGbUlDS
JTUmxnRoUZVbGMez0QNKcyta0dHnqqNgVeekIijGS9sxZm1kd+MqaGzq0mFGU5fTKSj6a5b0r2TV
HjMc6/hsapjhbmKeqsE+6rA+dlHAFLAqF39ewI15wqAT5q+2a72RxEAwNswXH1a+V1G5PZkqraJU
V77kFn2RvHW1YwfLZuqMH1qLQnogjo3PYT6oI4wdlYX1XdKLcoj/KgURcI7d3asl0v02nonpwceP
F7zwEq3B6su00Om8JMUH1VbFq56Eh8YyuyM6uZ+DiAT2/eIpVZN+03Vu5xOjQIBni5SeqLfKyF5D
/lFbm2I5zFC/NAYHnFSf+hrcsE1lKibDyeKu6DN349L4gmae7YvpBzc7d9c7Lv3WhLHrbIYX23Re
3cUyX1qO3Pb1c2FZP9rQVT2hqu11ijGVDWV2q6MlxogyVg62Cr3Ypz7RnmarNHdCVPvGzh9mSNV9
KXEbKQB1Ecdife0AShOjTM2/b0iAwLGcoMyUqEW53H3vYzlth5HjgLjcr6Ropn4wMAPIrFe6E+Wu
LDCiCrXG2GGTGBehpU+IE1JsAoUL7S6o1QtZlgj/xUz9sEJoPkkvxWhCjOtWqu5bb2n8+CrSSXGj
klMtUkP1e9n3i6f3TbGjZpepOZKyJU2nTuXF6bPcF5yQ2OMYphO7yn+vrO6r3GUc7XC7djRuFLEl
7meqkKfc7M62QeZ73jLriwHv9oNTMrEqX4uShMFOr+Su6/thV2U483PM9pKwFylBgs3m44gvbxNS
6tWziGmESZXRGOtTJalv4xBrONqwQ3dLhkRuIfVX9egOXSL5q5ly0KyECrRoI5861beszr8xivdJ
B+oR29iPSZv9oapMfyPz2BVke1rmRD6WeCvIaqW4EZvbfg2lNY/NNP8ghDnApPEgAPDi6C6BZGTO
g0bUqh5mX1Mg6dQEv4E+/hKNsj6YKUHMKEHfGMbjrW7FRjGMF6ci9L0b+F8pujS3SXtW3G+jVj0t
19eNMwmXfxpqvr64AkcZD4T0eE6g9/gehQrGJajObRD/xAb1yOVxO7thsi9B9SBbd1G6WgTVRmQz
DFvRGc96UT1DCwkOigqke0HlvC9sJST64FOcTx2hjDrjS+uBe7VLbF5EQk0zgx4mQAgL7D6h13Oz
035xIugU31TU427n1WA8xnLBSCRj6teFYyLiBTeQPrd59z3h7BLKvOMCYJjao1J2G6MjKUHXxFkq
W2OOP5lz25NK0zCLkgNThyY7Z3lW+/EpnKllmgZ2AjUZpksyD3SrjB9z2Isr+Q53Y0xWoK5LrFzC
C9vxJjPcBHbY2Ac7R/Fspy+TQt0/tCvDj13zGtrON1uqOBbJe3XS5KAGVI0Ty3ksYyTlYaZjBKFz
bXYzFB/jHqmPs0no7W3DFLAVrgpOsbmZHgjKLe4DCSal9StVFh7SqC/C7TFqk+WJW3wCkELUfDuZ
XiQqErmcYNc4SxLh/EeVmwerx2r9P5Sd147k2HqlX2Wge56hN4KkCwZN2Iz07obIysqk955PPx9Z
R13djQNhBBSiyAxLcnOb9S/TTkbhyqr6XgXYkfWXZnbJPVWcSk0rB1enbBflGhxNu5dIV49Ja9rJ
WIBTWNPyG6WJ7yWdqs4MpE+KvUbeg/CjV83YxlUF62q1hfG+1itk8DOAf4tSgxMMQghNHelVp+QR
CigUI8KsuxFBALuhh23KElpeos5RiArHtiXw1ltrWvrxnDHDd9Pkp5yLh0BTj81CsVLSQYT7Uviq
x+GVDom/JuTe9NK5jMqfVTleGQzOTWhmNvSI1InU7M4SAVjC8mxRHXea8TuW4YMVefMV6RHZL8HI
UNl9z8HcH1mbPyZdy9y3r51SwkS707tvUMIJRN9Eu2io51irXkmgdFMjBiUV4h7xqUQrT7BiRzX3
vXQ50aKkGeAjgQFGRxZtjsiPaCAMgdE29Zl2pXyq3yg4Wu/mKSovkSr9GCf5vpnnM5k4LLGHuTgP
gYfrBEiwnD1LHTrVIlUGvyssutp4viUe8qkWC1YeCcoXLaHwuehIWlZEWydBbB6DC+5wdouM2AxG
R0m1yS27CX/o/MuKC1yIaoG5gyytRqR453Avo758w9JY9ING+QjqYKf2fHZoUA2zsMdgRXlmybSc
EfbczfmzKYeoZ/GZVpcaHnCGSH3Wv7VsMjxTwTtnkAcniAgb7TTjno/0a1TLq29JchuLOGYQp3lO
x1o4Dz04VGWt2pXIwuN1AouRfV4M6aOuZzQ092PFLKMk9muogN/z1Xhd5H5CMgh3Mi6Hm362WqeS
pK96sFxLJWF81KtXJDbxbkiKbwAWPPjE2u+Y0u0WDaUvYR17/ORmvI6G8TTH8U5syEhTG9xJUrkx
dxJQBlLszDFrQjx1OjbWVqc4LAUvphROWLYr84N3SjrcMo9sCdeMYscqkLQoqxN9G48Yok4fhCCR
DVG2hjco4xeqXak09lAkLadchDfqabE/tUaP1MrU7S7DE2poLIuDUTqHCPkSzmT9QyLH89CY3T5A
i3rG7hSTafM6dzIwppJbQP2ia+iC5PQ5ZvSqtQAV5t2epG1/RnW06jSxVEjJxDNVjHFmIK1sDU/i
/CW7xKy/+p4OQ1FKE3HCikgL1WznpN0izqVoNFDdoVonJIAbOb4EkOwlqQDA0zG+gYQa2YOSfxmz
kp7x26Qv2otj/JNUANwD5Jn5VT4ejDnuvTFDUo2wcSa1GqmoqYG3aAI2eGASLjY+mj8uq9FIaLhJ
kqIG4nutkeiOYkYdKxKdRqxTkTmdCoCpTeKd0CoV5QZWew02JD68qPsCX9uzRqicV7ZMGFS9v9AG
mINkh3oRU5Tn6AyqYvhptOnPJRF/tI3xEERTtqsQddlp37/X0WK6c29qxyYh0WNmfHc1bQbCweFE
L/Lp0gTKo7WMlVNSFd0Rp6sFw08KKS5KyBznpqWF5MADhjo+Y9jo6jEaE6X/lLtQu1oGQdOW0vl6
JTzmuVndaUDRAVS1Wsq3wrUXWualLuMSoI+BfAkrgCaTEF/cmnAXAqvWE5DlujVIoqtj4ZTBro0w
RbhqIMi+ZsCXglycA/kxpw8XYXgUJo3Vf3ODaDPcS4qKADkDeyoY18Sg9CIcFukQu/gmKWH2LyVl
DwSm0hFMD3FsJXHzliscGTGzUfRI2SUFNXcJ55AzMtbBG9L6S7TS+tQmSn3atnp5vCqaKB1kATJS
aUBtmYxxZrZAiE5Yji/CnJMlmM5nVeu1m8jgxtZY/8/J3B9Ghk07wSLAT8RBwJojuZnyVDkY5jpt
NyyBEgVTObnEUEQIgwsklAlucaV5o4Ybl4pVIQPFuWmN7oRpSbxvg+VuToZgP6WBYY+icZyMTrHT
qUasPhj32VAhDgPhPgRQap9zEwxMUneTNHc4G4R4hSWGO0vkoc+ickI9lFzqwLzkdCS9VJ7bchFv
CRVFyYiLUq/ob10M+iWqQbDHEOexbhfzlFf1g2YBaImFsZfz+1Y0l9sFv2m3XvLaA/IjxtIqCz+W
dX2XiAGKKnNJjqQmPog5vhYBKwuvQJiApbf00snuwMwN+Xo+3pABVl6L8RxioIT2h8npakJ2zNeH
ZaWcbw9/+xsaXqxPmHEEq5SjQjFEYHAfhDkYLpKT7a8i1Oe8pD+rVqGKvopXRGoWMAX+2B/yGIdd
fJwUS8Y2e8hnQhCK8DvBhItG+4c7TpmH85p3JYN3KR9xB7aCgolIHGHlyVtWvm6uTja/9rv6I6yU
xdVbTJsl7I2ggTLWEuUaOU1k1Mftie0hJllQGMKeBKspGk505Npew7HfmHI46Bsv8xcZc9scMMNE
3t6+bHEWW3bG74dx1Y5su7Mg3NUqWUp9G4hkSAMKbcTM7TO2B5GOnQUIWNLKKP39gNMqIrQhwtVu
ZfVtnxYIIoz7bfP3Hy013uONOPsbxU9cky6YawXkE6ybWI0sh1A655vt9pYPYXXkYvyKKdkiUbAk
mryZCNwtnoWFBwHgXQtXdgI/SFu9O1p9QERXJCwsUQdJpH6Ok3JRiKtPY4gvdRmQf2D0Ue9Eq65p
exDWw6GUXmuR7OJ2RY8nwklb3Yyt9VJtW1OuLJIbCzYcq/DYrPZBm1/QtvUrk0OdjNeeHtzdeKIb
+7SsSKDeYwFJaI4l7hkXMIoi3u6YFhkXeNvfzIKYnyykJ0AjWW1ON9eibQvjXIwqjB4+Pr5G1Dwb
mMk8ZE2HkaQ8vQ2rwVEgOl2HrOK3P9O2FeP1TgMl1B4hN35gW2sLmetIiJI4ei7S2hChViSro3e8
HnG3NrXe0qZqP+YZySASbtgp/lbbw5b9UK0GTiPWXBh1FP72p2UhZg6dCmvg4ukXJ1hZuccbg3fj
AW+7+MfgJaH0PzEV7jwCge+IqQ2Zw67GVslmjv5rc92fV9FdasEF2hiiv8iif6ObbrsAmg3sksIq
zn3OMnzLyRGX/swiLvC2hiOwZEClnr9GEVkk9uY1tR3QdizTfV9K6bFGfMA1+eWHvXpz0U1UkMuK
wtd7/VivXviGYLTHJrayZm+qq3uKfK+pOJhARcMQNFk1Gdn6kHKjUMJOsN1YibXbA/f0P7eowNOu
f+9vT4vbH3HkGkluYo38x/t08gEXd9vvkHk2r3/7tKVV8kMrfk3VxLHVKu4UvzZVInjoxXvmJusf
kyEK7LyJ6ed/v3JoUVBO68O2tb2QYlWyA73BbV2kSchJ71aanu+3PXHloG5bltK81n23ikl5VZMC
tbliiDHVuFSaUwlFjAwe1ojCdPbXO6jDIQn56y6CEt/S6VVGk0Wq/fvjFUiSuBtUlBvXc7udVsvk
9G+728O4PvF7928viaBp7rFWNpwtLACYqeLLoem5QtiQnwDgyTIbYTn1YaqkUj2Cn2EMgBsD+QCG
1tMyfznSz/gXGIlO8OhtCZfpAOupOAZb57QJkcxtExi3dpaaMaEr74Ttam5Koz9tbj658PHwj4sG
H/kPnSRDOI/k2aoog5Jfbr8wcE23EsQXhj7EQOsv337+thuvzmPb1vYQVfUbPi2K+zvv4O/p48E4
i77ZC/6vw/kj/qCg/5wGeY2RkhoitkW4Pn88qbUNtXwwKCpOq8UhWViblJEbKFrD6RA0TtjN7sC0
ux1JcN1xkzEm69a2O4Vw/ex8VSx2axyrNBx+SzIVRn36plXTOErCjRzhVfrXRrju6mFfH7c2qYG/
edKoQjz9o31vmx2e0HY6UrrfdislSv1Mkk5/et3WssUO+ydNULw/Nf7tNb+/A7M7cVfkFZyv9XvR
wHI/FRMz2Hjl2G8/cHtLq6++zBPMMDTCWMombQQFi4JlgcfuKitbt/62uz2hpFiY/O9VlHv33v2P
//s5/ftnWc0NPhndf/3HX/b8r/LmI/9q/8cXXR68x7+/4C8f2v7X9nT4VTof3cdfdtyC8zzf9V/N
fP/VYpO+/YB/vvL/98n/87V9yuNcff3nv338zLGAjduuiT+7P5vlSyoKxf+pFHMofsYffxNi/nrP
PysxpvoPw8LC3pAtyxRV3aSmMn613X/+G+jGP+hhDBWdpqlRo1mf+u9KjPQPQ6NUIhoGRZO1FvNb
iWn8w+AJywJENC0ZGtz/pjID9fNvBvuqKWE6w8fhDyTrprzWg/5cmenlNooXePOHOXBJPvYz5v8k
PeLaE8wRlndg41nUGzctnAEXHmRjq7NpazMx5EhNZCqIKkYFxQgflpAXoQMnRlvj570OUtp8dG0u
2Esq/6AFz/DpoA7o0F6HNP6oDZzfxhGDpBJbjlMJ9ulka3R5krNaHaG8nVshpixMtaEuWkIloWn2
WnoW08Wvetz05zEkDENeg8uxOMkN0kCVHFgqKyIvmofzMFupJ5YjfBtTvGiWLjsCDr07EOkfuJhg
aKFO2C1NAYm8bb2ruv5egLTdWAAPBjG2DimY0g4YBLBNMXcwM2comwEkU+O9JELQW0V/YdVkQKEg
2opJFHA4+qybIAsPUnmRiHdpymOVqMVPAhXeEnjIRi5WzP2q7+HFgvkOyJGdetye8YQFvpAjUpKS
3PBnIUmwSYZMFjBy+OoEfWmQNHKxJDezRsUNNFg5JQiGOHxgvviVDiRfysY5z1J/KKQr1maQFeg8
FnVEyU92OqYmkIW66EIqUnejJv2ZkkWPz1F0mzdq5sql+oOA1e4aqTpEepKx9mUoPggPeSSFXtyS
pQCJ2t686U3ifmYMsm+sAMCg7r+T7mrJcvjCArOEtUB1QzHkz57i13EE5YT2TbdmwSiBjObnCxKJ
eKXP5ap+rbO7dGXuD1Li6Gk2ui1mHLctZmOHvBPuBaWQUBOkP/Wa6vQAw2xnaYBoiTCGfmzk9+VQ
kvAoSQuWPbhIJzUBhdQ+71ozBuhhSQ/ClX0GpZUdsS3zdYJUbGnEGKQ1BNxuTOEpLlggFlDwIOTC
ZWOh5eG1W5xIMoZFWS9u+1xOpX6Qs/m+Y7bvKOXYHgIM9BxZr8644BP5iL+XoNQ9nbfGADeDf4nj
amSJtwYrj97tRP0BtnT1QsQKTCIHX0HsbrNS9UiOQowUIicruowUBJhgi9EDkqnYjZQ9kJcQP6cV
TMOFxXQwheNBbltPyIwWmEHT97o149icFrUXR4TlguMUK8kiyql7QXe4IYTLGNXpsR9CImFxJ1hC
eT4kWOwwVIvOLDNeh2Pt5mV9xaIRinCBWW2fEwMqG8ZZKlNPazFFE/NsdEaRRMBYbD/iRX/p2xmg
YEx20Jze5WS44k0c2GacYK7VVfdQIrRzVt8ZY2LepEkEjMXywNYG6LaD8ZUS8X0YczDNZZB9STUU
R+jCH/CnWWMB8lhL/imk6Q0MtpmKSbOXud4uGe/0NAKQoNZQWsDPBg+TNK2w0cD3E6Qg0V08LRdH
J+P0RGjD7VyI0b5Ucc3BC0X3WPGPnQGBte5ek7k+Jb0Z7bMWG2Bz+SwyE/P+Xr+ESQXBbqoIggu7
u17rv1KYFYQ7dSqsudkxNIEsTKMH8VYNGH2Gel9fFE6X2qG9GQr02OBK0LHPstzehJLoFOF809Vr
7FWqeWK+7FMjMB0mj6lrVHRAqsb6WTIXxEbJBb8LUA+9itxs6I+SiPFlJZUCJjyiQdnpLNE6DlMx
7ZMQWych1EcnKeq7qDDw7TYJtcCYZOo15aJmdO2xBeLYJRH0FeUe6OENP20cN/L8NAovmdzHXt6n
LwIUOzDYCHuiEW+HJVXvcIHGlUSZw9eU2Y81Va0tdgV9hF4+RqL1GuEA5BYSzuCLPJiwzAEXavlm
iCP4wmn5bM4VyOyAEX2UFvtmjL+kshzvLDDdnbqYj/kgYGgrdOYDWAiR7/noK2V4Gyz9/RSvVHIs
w12pwY8DbyVqWUXtpBNyhX6Be2N+h7CRceron6ouV++0+MvscM7Rse6tRg2bQvA5P1H714WyZbvo
r1aVXEoxuxcm8b4T65+qiTogHnL0EaMJg5ghLyYwGvLmVRJbz5SYFIfVFO5kmGauSS4DwgIfp44U
r1MqPeINhsfVtZeMpwKO8sWU4P8tVST4Sv1GzFl8wl37rKQWqEG5YF+bVP4iRV+4pEznxPiG1qwf
MhQCwlyjrlIOcyW5RSL1d4aSlbt6uSpBstyr2BHu5DRw+wkWsdQnyEFIzbCJSyhxptKuiQVtUDPm
Ce8fmNxLY7Zuq5EQBTd/moyHcJzBC0XxigMNZVcNGD7rK0foIQlE4lKfKW59BGqB/1OVPuuGON5Y
qHzDKqeQVk3VfT7Fe6RvsK1VegMd4MaMQ+3S1MXdKOMNnqOxs3urKu0CTjY269UX5QfxDLeb3j+W
8WvX+w+90dELgsuiflqBPgDVwJR7X+uBqDKAIDKBW0/XFHCEwMKRVhx/LIp2Iya18KwgxOlV68dg
4KWOAZHmG+ixPC1XsXori1vY7UdsGnAosZaf6dD/APBU/VbF47LuivlEp4SDmcI4nkcn6pwPc4Kz
pRCIlaP2DBX9Io3O3KHFS5niCLk+uBowGZRxzZ4AK3DnXh7rKsU3sstuq5yxUJhbHeagGDioI6LK
giw/0511K4yJWyilSUHHmjenbpaQOFylRIEuSUewhfQtTw1eTpV+MTpxH/aG7swSueQLXmVpzgCN
998iEfylrOHdlc7sSxENH/tFYu+jNIJtaF4xe1uw6n9tGzx5OkgoSRymF4I2nZz502k2xNtwxlxe
RoF40w3ZfDAGmToUMQE6Lt14QSP2U1tBAtxOrZ2odj+lUJvONaiog+cAPqEcSfKIlq9CHNT8nAw8
oUupfNLV+r0D+dqnLcNIiMeH21lEh3TZQ9xRA6U3NKURvZqQv0RxrXogHLBQssqLhkK1J3Giz64I
AJOF5UfcQguQkuKmKTWd0b2TdlKsPsPjlT25ipm/eYPVPFe3YiD4pZkTitFFDPKVpHomGgZqvJnb
h8QXiOXyGY0J6T/M9Oys7NG+pKFTGTk9fIVJP6JHv5pFSC6L9Cb0XcskDmILxTqUgVkm27Mc7qwY
B/oOrDeQ6NckzCxLoSJIYBCv2VR7WakQad/r/YFwCcIsClKBehGIV2AOUi7Js6nU4jXJL5FgPcSU
4w8Klm+4Us+wIVDJLu0pT0zwcbyRnQXnvhxJo23Nzwsd/aSVTJTKEbK16Q0ShkuFkMgQHxPBM0tm
gcZUH7qmlg9dcIlIYb1JVZSva/TOzCzfXvMgd4mqx/OJjBV0P4J4TI3iQTYgmfyyI1CQjB03+wNw
ZRw3QJxbd8qjn5tFgZ41JTkkwWOMUD4OpgGzs2ZwsjAFvzbVhpwrNOW2iUbuqK8PqwfX0QPh++f+
9kfm2ETGNPfKuAYpNutSuk7pTHlv4obEa+ENHxMbp6FmcM1xrWqtTxdxJ3paL14hX2J1gkzpuG39
q91/9TcwBgMzOyz4t/dmTdbsiNmr8Lbj8/7VO7bXBbWEvlafkOkwIxr+9GpSGQqgrj/ejd0AwlUz
Wwh//uOZP23+/opQVxYbvhjxH3+8WxBkwQ5DkqmR2XJefr/692v+dtC/X0LGPCuvivhxboH3udbJ
TvjjLP06gu29aYXGKVcggfx+umwK3Q6M1Ny16Mhwi2VNRbjJXtuaQrNCo9sT5eoDsm0BiuROGDCc
/X6iaehujLWVZWqQ76QOi1u0ffhIRFvS4gZRbw9BUpxKJvO+tMJKa1f3p4ftb5YyRU5YUI8kf2Dx
uz4j9gPl+QbBptn033nohpwtWCbXERrQ7EleL2iU00J/6dXXRO0N0/+ta/8tnFdxAoBV1vuzwbzl
BEunoG5I3WBGXTpq6B03dH+z6Ze1tOZ7Gla/UUGVLkKfNcTUXQnjwYRo/Z7fD/NaRfgdgL09QcKI
h2Gf5v+CgVfcLlwGwQvG9LzhxL//PgyTRYSJfN5KD72B1FbI+U5hfZMV6feRVJTeryD3X5nj2zMK
4LyCBcD+d67AtvW3XXmee5KYTrTos2ZhMLL+ggzvWn8r/2w1hm3LXEH5bTeCWGCbKwq+VX22ItCG
XG+7v/5Gu3Mwj/bTwy3uocdbxIiwjVayIDwr70W0bH+1j2+j+8YdvfRc2MblhaAIOzzMXu20juYP
aNON/QgVUPNul+PL6Pmdiz8aGVcubkBzcrYCV1oOwQPyyGN+zsydHzygFr0D9fawPIep4gwI6Wx/
ObaObjfu2/plZzpneBm36AFfsLc8T7v08FIYzospePp1/uQPvcMX4jj3oAFzlD+l3BXSB25sPz+/
BA9rSjwTHTTWqB7xojowC77jt0k+U4A7n8+mC/tuHegUjnQkncPp4L45deSU2FdbD/mS7iLOBb7t
HB2uo/VFLa6cFqyU2+W21D45PXMqustysLTXjHn0+zRfC2t0FyqzkXysW7cjAmr2RMFrYbrlIPPX
ernVjQMy6mk5iLLOJOeG7w4uWRci28Bf9Hb0uCRkR61ZVMk5S/cDxn3fZE2AWRiZQ5SpSNrN+MLv
SM+96fMzSKFuZht7p9HTGRQOmJQUzBftVtn1FmJolw12LSxCl8MyQ3IHISBJxlWvEWF148maUc/b
XASmBLp1MVkwfyoaAy40TJbDe+l9CFz+qlW7CrVz6DTpw4jgtlZ2KsEe5LFA1oy2L5tuoIJwFcrX
RfUSPKUghStwUlyBhIUDHvAziE7miNeFce3Sh66FK+eZ6UYPd8HVa/qnDuGnaz6Y1/pgmtcsuGXE
cvlPfSld2ae/k++wjdFqJ8AvovPTZ5Jd42flqthitQt2REyp98UFys5wiY7o1u2jatrjIytMqcYt
5Yf4KVIW41ybfvRDvEV1wwkbvqhIF++cnXx+Du7pFeEU3WTIkNzFix4HBy3U/GPfPoqeO9GznstD
3Fw6wbXyr6p0ZOGAHv0+3WU/ivySjLqXp89Sg0PfZKf1RbzvbcuJHdG2voNPJosa12vZ3VSXSD51
N8VTVp2Fwzc6ZrvGhvcwZXedvDdQDR802LtVsMP9iBaNuzDJU52bK4rDFEfLjso3CkB+uV2ekw+a
QK8JnmgcVAlg2e0fhpv8J8rp5hlTWVyIcZyqZpdGkTzr1Z1FySStHiXMweu7tnjj7R1KR3k9H+q1
tRD9Olx1iTV27k7TO7FX1XylPXLJ+t0LMXGfPk/2r2Al71KyH3akWYkIQ1qXhpQtexhFmQORqL2X
iAsprnx3gjQYUPCby19hV8N9QyqEdKdWFxoXHs6RsX7l6gRiPhTLJXrm4PhIboiIC2u097hh1Ora
onH8ngWPhr8sl0JFSU7aPETHxmtHpEsEHj/M8rcwsJbvP2jJbXOQJccSzlF4oVFmhqNUO031+GM/
N/yYk9kes+0sFSlUzKe6erSqT8iNsC59K3fr5lA2B6ocBsBW4/GRGFwIzQ9qmSofoJkPSoNTALbs
425AYlVIvkSeqdR/KMEtjokw9g55fZfO9Y6+oi7eRAhHWXkrVxfzYZGOdSdhLcJNjJKT+1sqZpCV
w8BaPJJ8PgLu3kthW+Vzi3dcw0TM4d4DC9RI6IFg7Zk2171HybFTP03JJn2mOfTLrfVuXrnCMjXH
nt72I96Z186+iaN7zZ8/uYN1CQvXtUOgWxibPe5Dxj63rqPqfih3il8RJLCjK0/P5NJJPltcDsMf
joO79t30sW80Jb7Dl479J/3qxKJodnnTciy+NXZcfsq5eAZnmj38G0xb5UhD64NSifwgfDUAde/c
KnAj50/Rq1xkkg38NubkN7OnPuhX4wJZjHYS974CYJC7ypFGyC+ZjvMrhaUbzgG4GyiGv6ivvYQh
iRtcZ2+U7fCRnhNCXnPAk4CzZfRP/ASVF2PgP7gwu15NWAFeNvPl9D50pZiNcFypybBIiOdR8teR
Qw2dwY131dprFs90lsgk14YKypdEjFqBa/hmfNavZspISqsXntTOL76F95LBXfCGIxcLGEe+6pKD
K0R+gKDH+/Pk/U19EC5fsJfFT04dFK+aVaPDncTtuH588gKSQrerxQfM7LmDeZauevt6JfcFY1ee
jWr3Yby7nH3hybjr7PHVtK13447hj+to+Jyg6GP8ZMMfHe5qRpE0xm/a62xY4h4Du8iFXkdC1aF3
kI7CE4Z/pk3bUIrbCs6ySZKQw2C23C1cUZoWv5Ukul1+ZmFPc4Axx+VQOF1MJdPDesg78fODlsdw
YexwWT/WZ8Yv88pVsu64mgsjceuRUHo27nI+j/HAfzHeWYadKz4YWw1eTqeg+OJVuAhP0pGLxL+X
5HnafXIS9Idpx3XhNGkXzjibHD+HReNnCB0oenKrniqXoiyU6TuGF00nR+E5e5YfuIzlmeE5eDAu
nUuLVuijfCuhy+JcGRdGP+2Ouyw/87HJR1ScZK7fTiYkc97zjYvPUIbHA+k96DxoMzQW1qS8k64S
nNWjF21f33gzcxRMbmwrP9FVrs7B+/jMhafzyZ7pBqUjdx71kjNHRh/wyuCuXd44CuWdo4E7zRjK
mdXszm0F5K228f7WtGeSX4R3HlaLaBzNnfCRZp8f5tA17ogmmLmNuC7YE6te9FFoJPzQnDtXdegl
aazUfPgBhs8ZxtVEuaP/513T2kh15N2Bm33zsxj8+QqW4su+b/ZVcNt+clsHhs9VKaDb9Ls5ZdoA
P8ixLoMrxAdmUcKZd846ZO6HtZWqbib5Mg2dVDs/IDrJvJmYLKjeeJt9g8WbzPbCe4y4oWIu0wP4
QQTw2j8xbnb0qfU7Vpu2po23nILyHN8mMwxVn5CO/DDYaegWp6BHlWtPtPoOSifWQK2NBiM3GtQH
F+EeC4x4P3GKNWkViJ8BPwawkqjFe6Jqek8d9BP5VPtFYQl/6PAAmZ1a3FXtbdPsOv2xonyQkZye
SDvt8mE+sEhHoWLTNUxrJydLtrUbp5vQeLqd69ci96Fexe8jF14EDYB4DnNOKHeE5KVddyDw5bye
fKnYpmhePD68ZDnIose0qXIZVs3hJD/I0lmHomjs0HvZ4+d0hFWIRRQgQEVYRvLGcDryMSPOByoa
m4ZRbapdPEKsS1U+axfCeCouIgURyQ/gwRU3FqZNw9oMzPJSNSs2vHsKW8lezJuo8eb5lpk5hEgZ
ojXNlRmxelIdUXFLOn9mrlyf+/Cila6CG1f+RUFbeGZoNZ4SVpQ0YGwjuE9Dh9IPc5q1gZ1r+hHm
+p+0WYZz5tm03Xw/Wc5426he+zbMu4CZv2ZLoo9lcf0KlxEWu8eF7vt9onqT6jEGFsUpMm86du8m
80ZC04S1j+Xoiuv7Pp1c19wLT03j0dLKV/orWsAkIpOwxcnrrUvOdCjEbuRCPqDlpn4JE5hegG5l
3i0AYPKBoiArDGYr0078iQpfgeIhPo7DiR/MioO2hYmX07LeYXhl7mbLFO4foYOCOzJJZ8Ro+710
Q1oGc4NVEc5EeGSA2imXad7LoZOf28+p/c6RJAh3VPeI5VvuO+0oP0rvuM24quEHEZ0x641TZ6co
X8n4NNSjgg9KAMqeicgoQKS7QN0bP6wGjrYavdUy5gMfeOaoLGVi6yEjpbt7Tn3eGLJE9eL8fmlO
nArzkL9XOPoYR1VzksaNejvqdvkuzk5Leo3vBJe5pavRuPZMbImnHk4dvO08PhMvJyiX9g0jBto1
Aymz1u5e31OyyPQdSam4J9yYdvvJLYcjKTdxgmAUg8Kdtlr42x1lBiZyllMUB5AvKMov4E0zeDy+
/qBDn903w5Rxsgq3Y6y70JlwcSPV79JLmTihsM+kXX4ZL4CPFDvbOzHGTOOd4m59pNJC9STyRABE
pi741y9wSPE+RzixmxtXpyQ2AtfitCQQ1WULu6mhUHsDWVV8Wzn9ljNxKxNT2f/EM8O+rYm5Uz1o
tgl/iG47yBz980ilWzsmwmtKs8FsQ7kIJDRox5mV93OJ+dbNXHiBQmALU1M7nl4nDZkHPHLc3d3W
+iJyy57ferJQKj9BnM8zVI/wiCg8IsPU/q6Lrpb4QUGdQ9EJvCjIK25d3TFKVxe9dGc+3uP97kU3
28SE0DsWR++okIadcW9pfv4VPqFyoA9aqNCdVPGUgOziPZJCtgUIYNTNUdT1xTlRmIb4hNv+DAHp
73vVSU8Fw6BdvAi9h4NI8IgSqQIl9IgLLJ1SJ2Y6gekvdCPFnjvtvgUYJgar9glhsCh9YmbxbtD/
1O8Drg5dyMopcpjeC6gxmp12H9yRGIoVG07rz8E7wXogIjaeLclDeAHf1e4tuGXVDxPNWXGoan+k
GPkgLZBeHbox6T04W/ddLaE/h+7WuEhEkpFRkcusDofYN+VzQKzKw3Sk/6EpYPPGVBXltLKvjbPW
3TQU2hus7O9i7TYcH5fsFWv8MprJZ3uDIo64fhWEI7Wq0W1COjhL7a65Zp+L4vR3xdv4Xmcs5R1G
YHrJ02Szfj3PzhzY1rE9MyrLpBl2dvOD/4lIvcpP3S2FmNbaQfgFjNaHq4VvDTEoqqOOu4n+InFx
nZCdGCsTkDaIBx8rZ2q0E3jaI1ZoO6gLhey2O+1MYIM/k32JLxFSzPfFm87aOaJ3c7tzKNETDk7B
9ODD9C/hfnlM3XRkbRkVmPI84NXQGk6ov8NecGrUfsZxn1TMlVnv7ZbooxXMWxFZgVMd1F35bnmS
R5/JYO7Wz6HpmBf9CZAF1Qb8pIuqscKAxWd3L0Sl4c1WUGkHuKOOanliYiOiAe3AtMtGfKoTTZtd
YsyRvPQUMqG3rsLpNOcHyhj6XXiq/fAJb5U6cVI/TRwNYO5Kb6q+pZfppIk2pjJoyveKk99DFLSj
c0R35kiJLZy0q+SAeNMrkAS/n85lQa3zQ7FxzR+KHbTGQ0Hxxwneal+EUaz6pdvqx8pXz/0BhmV9
+xDcaE50Nq4CkIJtXEu3PImzPT3Ee6R6EbNQ+Zx/TyzvrvXkTI+xm3n6iNfWq/4WvvdPJIuI0TFx
6ieVM77nF7e7ZDmL8BG6XT3ZDKsv0j1E9vIypzdkwpam27QPXOh2h7XUYucIAewtoscehX1TwsRg
suWXF5z31j6x3Fn0+TcVWXoHw23/H3tnttw4kmXbX7k/gDbAMb8SnCmRlERNfIFJCgnzDDiGr+8F
RnZFVvbtNrvv96GiIpQSxQFwP37O3mu/xa+souo7E7Jgg9sBg2YUs34fCgMdxqKS4IyuZXSxoiV3
sfYIO2/EbmIvJmPnaD9UXU69pUZQa+LN5vDETZap/Iv4yXeOTmx/VAgKsTbUZgWijxr7FiPh+f+J
V+IdT7mb75xVvsdql3nNrvZqcsfEAXtzSl+F5xLsMggwDsw1y2u97q5/s5EgUNM6r9ldtAEQBM5u
3NSvaBQKSHipJ8m9Rpp4YJjFqYqRDqM2B2HQYmwW3YPhLMd74XoBgxnsHdaC/MOh3eXdVgxk2m3g
0jAYfKbc5IQ+viViOSGiBRq5st3zpD3Q6ld3+XxmR0mygl7IOY39n26Gcj+uP7gKxIIlzs42jG3G
+Ep6LbarVXgMt/0vRn+cmvJFYjM3WQTPIG2MJ3vVvrrWHonFInohVB2cl3FfLPz3efUOnltGQwtE
gW/JT/QKuoYuDO33pfZl0j1ZuttkXPgumSg7tblLxmvzk2J9hHIZs46796CZssrjvvixCHJGqUqL
bpHfaWRcQ5LhzWmwBzPn2+bhChz5jjET+iDaByiAqBBY5VF0lMoyfiufIJs0eIIW5tbZUeQ/TdUe
KOVjxJWBIb78KB5qrIXEzyUH9E80h9xjeDJ6MMvb9NVhrwKjYnouYSO/4hzf3i5zsM/oJqlqIZF7
y2EfvXdLhU6RPp9ewhepbTqxhLoYPyrImDg+u9V7+UJL9auNH6i0lE1mnLt2GRhHMuy0hpZwyZhp
2rJ0JHsX9JZCkvuONMRX571TFptqw/Ee+ihvqHxqX633kFWUkTjefky5684ctkF8TqDRp+YGqUD3
zTvAKfAnO4ri28Q12Bp3+uNAPfEM9FPI++RDcO4NVhOXSLHQ1rD2wCCvGBIUjJdfy8/ys/gCwIMm
e+5wqCfkAqgF9Opp9lOBf5OLYUWp8h27c3+kj87uUT9wdURbkz7GxjwN5UNAf2Hf7lXtx79rP6Pn
8rVczVXZyb/kAITaU1AtfEJYcOJa/nfVGNwt82LAlgQhKxfPTtQuvtuFjntpGxxoDdgrYa8w8rC4
LagAWIC30UZ+tguQjNw+PGrI0O2A/Xg7oEXA7ezJLStJ8EB5e+8eYddfynVxTOy3iTbaWoVYCEcW
8cbTo3sMrsyrQgBJ6rv6RI/t5YMBkDWvti/hKyUU/nSE+B6S/OrZOafw9agBSAFinX21j2axpC9+
0lnJkwUWQuq8teAcvyHL9nX4hWS3uOqPxbO/64yF/RrthwtX4ncVn2WODSt+gcBmP14Mhdf2VXnR
s7awjz7qhsZTjsleOXbsyFwK/hnz2rSsNgAECi+4EsMTLk5JuJViJdS36WB51p7ijO5GIh7aHutQ
v2vdC+jgu1YJzsE8PA2ygbP/7a+9Ps+C6pEaUrXdddAXxMi1IMAIrM32Y6fYCLzgTGY9AIvb19wK
rDY6ng0+8r9EuUgkaMgIIJus/P3o/fkv2fw9f/5pBBLdg3pp1Tzz2nk6dxP13v64fWtrzLLtMcGe
ow8V68C//zzGSm0X9KRWz6YKxap+/3GTyt++5pc9JXromB8umqGVxXEYX8rfvvUfP3l7DHPWzv95
tKLGzZYmzRMK8b0TggBnUAtHFgfR7Y+gmn/H7a8mA3ttdfurY2P2XNkqvoZmCA9/vl3+62n++Rq2
i+qvh7h98fY9GMmjLVvN+s/33b7+55+//xZmGNb+8V8SI9RRyLA1/fkPjk6AH7Ay3iVyCyHHl1Bh
bw/xt19/e9koQgPOyiO3VRNQQHJPQ5AFvNezc1ZzDzfKxzXeWRp6VbaLZbU1TTtcM9lXN0Kv7oOM
mVcU07ua9As2K+rR/qnR3G1XcvxLiLZTJMGBHfKJ2iLesGVrt0LnMQqUTxLr7htDXF273UD6/Opa
lTaa4qKr1V9DHY6VzsjCVUgygutMC0UBjYaWFy6HG0/0mp2NzDSNjrE01lJqW7VGVoBDjwBfE5ls
mLymfTyAxzVnUDEaPPVS3rQ+iRx4yOFZdzVWwSJ+6vvpkPmUZyrmMwlsWNuK2F0NBrVllZzj7C0I
iBKky9FzeDMdd6c0EIOLmGTVPq3X7syrD6NT2GRrQ7NZu/TgPH0QQrO3OyzceBL2RlY/l5HyoZIu
kJvJ2g8+exCKjQ6+FI2A5YrTVOcFQADXYUpqCtLK2nu7gz9nTTR1fPs6IBf1Bic/IzULvKIuTQ5H
qCM5ATB9ZRcx3fcgQKxXGjR0il4q92F67H37e2wHsi1L8Qslyb0a2G8BsMul6KbNkHxp2j7o06+8
ryEL5BNFQNigX+1+wtz5ZIycHzoVD3lB6t4mjKJ1qWwnQjdoQnGcbgUy3TZ/tTG5aK22r0mZR0xC
sBxzlsnH1isem1qex1Esor5GHQV4PWEiBI0jxLaUkdtW9xa1GMu9X6NqNMRz526kc7EMgMSFLVad
OW00yzkE9Dxb88rb9Nkg+tPc9KSJ+NOg2koHF8iMFoAqIOCRrkfGe6bH2ncZd59NoPoMGwyqPfb4
GpEL7xhImLuWOHTsimYIUJ3k2lYDEYx0duFWurUshwdMbsbXlDAu8s3HrB3fsrKmD+p2dFP1FJ1R
/q0FgI/DDtprA2LDKPJtUtkbAGk4ezvOVMY8p6awjGNl3IVV/KvIPEPYM6imfy4ddtexNctFLpth
J5P4bkAPtGzMYdko9Zw3nJbHqFHfJzCQy0o4ylLqnCcz8TJgHd012XRNrIklRZCv6WN0RwYAf5zo
Ss76TJ8CT0tRXkZ1vHZ145sraaVp7YvfOx/taJ18ptKYzYQ3qcPzMMiDTKNVbVUodzE6wla5H+3g
yQ7zfYatnI4V7Q+9F4/DS53R0EldKXZwBQl4bIUXRMaz3jlk45nio/pSdfeH7GG5SwrergGKSWiP
B2FqQAkrHtwdQSsL6R9aE+6oQpbmKjT3JNweJ9Vfo/D1gR3UhPG231rviqXP4SEtrWfU5ISB4n+n
8gvuJ2l+WDnyhaGgjmYiNmVutVJqKDf2WPyKRwjcYPBPiVo4XjIdET+ftCqh/qhHd20E/o+v9/Fd
372ZGstcpQ57k8DUlaYz3Q7BuaBGd3MvJXPX9r3W7dnFHeeh9huKDLjKufwxmukJtXOE6IVjoe9H
gxcX8cGymteo43SRiR7vOopeJtYMO6DNJ6vyJdUyc9Oa07FUlJeQe5N313wDXFOuNYWOTKTunGBk
VmkRi9jF17HXXrGcTWy3bbBRFU7MUWhiThh12kO4r/ym3+mNdW862sGKRMOJRj1mYUql2gfn4lvW
5S+/Zc5jMoAkESOc1GVlRLYX2hDLhE+srd2sBIh9pgSY74uYiQv2573rdNdiYvppKrQ9FdYeON0+
HbMhOodpdTXL5rnK+yPv+XGqxbaioB26mKkplivgnKQruRe/r87ZNG2UsjxHhk7vI2djqG0s2X4W
/RjDk14MxiLQLcwRRXgWhg4I00rpyKuJF7uatRAoTD0goXtXWOrCNJLWU2X6pRROiLi6/TEs2lug
3HZEbH4mLN5eq4efDrCPHdLg4WD7HPlZv9OqAHWTGIgRkcLZ7VPTRT9tJMaz1nL1TwFqdcOFIjjv
gsgeinXmSDCxhHaTnFK9JUPZe02bn/QzvIpJwVMXZN8msEPvl2UwLqjC97T9tAhpgLkketB0au5p
2bRCqL8X2QMOy2MwVM0RdfWsKqWhrhW4m4Vfb/2esAS/zV6UsPskerlcguRij517dQYciyxNwTcB
8KjG/jmygPspzCaRfcLfQzhXMvcsRwTsYqWk0IEG296ohcEYOIFoWtAxL1uaIA7a3qEsznrO7Asp
bg4rq39VQbAvMGftajCFXj6QyQWR5hW+OhW7mnPVdi2NkDq5qJOAuhSuQIoi5sFmS7O2NKmeUsQl
tpagIBgt806P6aS3nD5DOmKrIoNSLf1U7nKj0Ly+8XR9r3R3tg5FRlcZM2DrRWsypFstMf37gJaj
Owcx2vr45aZ0p9SGllGW0aKVNPQT55iBUlqGsnN5tsxJ8nwYqXQ0Gu1l/tg1VbOWhgrZpKEF4Ig9
8FgWxAhibuRDAag14AmIw1ZNV35pibX9/16y/9VLJlTDIVDvf8b63X/UY/qR//q7Ae2vH/rLTGab
pPrh/rIsFRyZTnjfv8xktvsfhquaumuaKmA/QeDeX14y3f0PW+iaZjvC0S2XuN+/e8kcx9Y1m/x5
w1ZB8/2/eMk0Xs3fGX/8fpXsQHSLLvY0Yf2T8ZerXVxnYTJtS2BDy05O6MEZEaJB9pJRybxiYJtO
UqBZFau5J4fe36cJNgz4HHPJ8csNGaDmwCN0O1797a08F+kYFPn/yclMKKK8nTMEeZX/fHI29lDV
pHzQHdx2/25za1PYlQpg9q3CXSlw5dE51nLPbPsZ+MIULqtfRmYrRibpn8FwK4ke+A2ixP6I+/D/
8iTmT+GfTwKS/ZzHaFqGJoT6jydhNiom+nDYIjKPNirEi0VV0qgZZ5KY7V9m+mYW6GDDrO/PuMjL
lSmhESqvasJTTDn5Gq72VDA8EDEmFNWJSAZR02va0jFH9uM2PGcFcepv4+f/8sTN//7UAYIJ19EN
R/BJu9gi/80m2I1OJNkPtqZOsofbvUo7LVdC1+nQ0PCLB04wDigfO8RuFXDaWLIuAt56j1ReZauk
Z6JXsJXM7zUAX6rNuKahR5g1v2+bkGS+1PvsGZDCZRBhjYSfvpWkdSZHfRtn7cHO+TVtGD0QPwAz
A+H1YqiSTaDOPQDI/Z6onAgzF43uaavZtbHIsEqsVJ0hw1hgCyvTZFo75SObp6DNrmFimAxgSnG/
gpbfem6QwvsGuwQYx8np2ILeJ0m8X7q+gqQIan7jCLK1Rl8uAzPfGV35FATKWRmCcjYpptRBtOYE
Uuo0oZlpR2Kb1Lz41Hfod6fl1aav1A5I0WyZbWLK1wWcaLJr3H5vdWG11EkFA53Nd9cMQ6z4fENE
tVMXbWIlYNhHge01BhQLLQkOpU1IDpyFZdhYDiCItyC3o21IgDGhzqD7pQh+3IBAHvxVmIEcQnOE
D0S2N94KZ6Kimi9wXzhcWBH9Go6SyFzj8tpHBe9dcrCt8itVDXx8sZPALgrcRWie+HFGEYaJRFpU
iC5ASA0TKROWXs7HzhejC6plZCtbkji5qwod2LQgBmUqz5UVurNmiTF+bG1yd67MseN4zRUbnR46
J4NGT1U146btS+YTPSPEkm580jIHbErxbdmKw6VE1DyuVm/0GWLc7lJFqj8K1Ey4XGc88dfAMS+V
ocwZvP1rY8VXMw+PMIOXlGjXmggnvdIRmWTupdM1vCGhCWYby2fNcBRM5nacjfVjHRx6aWF7jIfF
oMevg5mguea/ZBofk+x7Zs/GEypsJlgQ8bqJhIsmmeB60PKUIRqXwFJozfbNs6E2yJli40UJICVZ
Pm6GfJ6P5QQqJcTpVLx3iIB5KlP4Y5cBsgOUzgaKGsUEs97hDbcAfi8KRvGJ464mDGULuz3NwH9a
3SwedcTEDHbG0de4EPMeHYCGNKg1GDunubrT43ygxEG9JklKvr2CILI5B+fjkwGv2wtcrtS4Zqyi
yugM9zdZYhn56S25NeqeYqW/9FNGDAuknj7goysSC6levtFKlqVaaZLHnrQP0pIGJbR3ed/D8bTq
NXQmleFZeW6qQaxs21m6VC9ypoWMjpGTwlGtumK+MHD1rNwJnp0dgEZKAD0vzX56j+XYc4xnbgaA
5gSxkBHywPcHKwJcq42wzZLekDMg1kNtOKUvsakxgur1T6ExAa3GMVkTtsfQH2OJhBXW1YjGUnIL
4r5/yUez8UqFLnc44ZZSgV3Hvs2r07l6IxdNSx5lz20G1zBK+UHyVre1wpy6alw+Uode0m0ZL1Q0
BE0GHBUyEWOCHhey5TDklVwwfMx2iL3ktvhVJNR6ii9OgfJiqM5XZxI1nhrOXV1JZvqaZ7fpmlP0
C82NijtFpyc5fzZlx/WBhfU6cgJcKs6m0ONN1TAQKztuEsQd7pyqQZ/PKtGultq9qhmfdcYWkaSj
WDncO91Y1izV3M6EQ9lkY5DtgsAu4da+fSJdy8KMI3s1Dco35LXHemCNGHOWdoNnPaT0dKKto5Uo
IgNeXQ47PRfMNYeURw/7hE4FJWfOZ1SI+Kcob5epxXXc8qaUBWMcu14ORHj34S+I0HRkk6umV+Xq
9ouoUnidnDE7XaBOq8k4UKOXxqlOesz2crtM2BvEKkAENImGQdXErSHxuWnuR9yHJI8Eb7dLZOpZ
zVI1+Gk42WYkXZFvFuDmk6hCo0fAsA7zjZwMm5pgAC35EZyAl2XD5tHFA0hFkXCLa+nJNOk6Seih
TZBoCxo6zMKsjOe7TAr35CfETBkAeuhFLN15r1CycUmT4ivQVXUxRaDC5mufTBwWAgM/X1fwhjoq
jOupRWfQG69NqiFeGnwEUlxf/sjmjYXrB3K2ulQY0Y76kKw5YX62kY8wDLN7Jbun21WkuywrRjB9
AKI41bWzsn12CVXwcVbzBQ5mEvUiaXij0FBfVvRTrAJFbce5Ej9Iv6xjVjLFKq7EDKfzQWVdS+s9
56NzBYtKNi/RRQ2EPqNppI4gZSoTDcb838qs3CdB9ZWDF6NTT+qQFs2cnmrlZCzFEwYL1eU9Vdr5
gWRFFyd6sebfPBacCbvklOn5lbCWcSF9tKvSv0gy5XEvYUgk0IOJz+zCV012w3LeOFxZrdt0whBK
qxlhQbzUlOmkGTlKzzj+Zfh8jyyr54b31nd0joRdUq4qcHaLFigiuT9XKyyXtYESWB0a1YtcG9wA
q7dmsNh1bvgdQ8htsE8tU9LoUKXoa8M3nyWvfikx3NzqAGXguh9Utkk+kxvEf5XkR8rTDqkbdjd9
eEWGADk0mfHJTfKDGee9NOxzZiqeWbR3I9Ep0OeoguLkJx8uoigqb6j8qzJwcY022s0OcgF28xVb
Ldsg7b8AEUtXspCJCUGQCjOOqgUqm3/R1eBDRvX29kIUpJb0Hr1UYReaVArpqna+EArMmNe/bgve
00gIEjdoOZUNb+7vEkRjDC/x++Qu61jZcFm0xLKMpeWu7PhU6v7GEsS9hdzm+MSfZDu9MOkcuKET
RnaA21dRaXNQJvoEf5pJde9WW8MKl03TOsu65kLqfAV9WO35ZoJE5zhWyi8OJcwiUm4VAspgqTji
UBrwmoGNvQbpHHY3L6tayIdED4g2eVFe3YDVrtL5QXG0moIBXDixnvFeNOSJLMsMGz7kndhTbOzE
GfWVbvIU4mEfDraE9MYtK4jeCmKz8tqEe1kJeDDDRuvioLCwDBZSSPcM/xymaa2pfLsGIo2kG7bJ
VDlL6c+lLoTPgKaEBqI0MGZ1T/pjO2ytpsv1U0RgLhX3h/PG2ixdqGpswWMu3tp6a49wo1Q7eKCR
nEA9qsfNNNfxg9HQ700vpZJOa33kReZFsA2B+jeCVVkBPrikT7duR2PrZryfxBTymY1AN+IkOBUW
NCSRccHkTfbVdN2jqCaKtIjbXLd5X2PzVaHckPp0FN17My/scawdIgdMjDF046brXxL4emgFfvyU
W2cymH/oQ3fgFkRtJtpTS6FHKkP448y/P5OArUkXstS+p3mTnbs6vcYxAmDlMyUjwhO+eyri2z5a
nNsgVLc2E3PDSq6kYTkoUtiHlBrNURwqNAVVgaDRABpKdpcxqOtA41qFN4V0qKBETIrr7fJzJYlN
4JqyQq6sqfrIJlS2g3Nvz4vqrZ4rhux8K4Mi8Z72MHdvi3GsOZdbDXJbxOOGzZUE0wdfR5tECBN1
T1JfRYAHh4+y65pnErVmWT63iJ47F2YjJPE11xgBEixlaUMvDp/1Ev7HRJnhBuzOmYpHwW+Sr1vt
a1twBH30qI6uHDJJDV4aVbFlPUARGKU/GC+5uym40yZ5dzneALajhLRUfx/Rc4u05BoC/eZgnD1U
Pp37uAGUgrazPsM6Wxck3ni5w0k7jskKGpIWUy0l6jQv/1OSbANC5oEFzNWGU0OI1N59yQJb13Ib
NuaVgEIB/tF6St3kIY95r2WUXu2GMb+FGlGfz+5gSHvn0kXuhZAM1kjCGdvRvN52x0nh4Iql+4hT
eF9RgnOgiFpI42fDSBEbU9UU9vSLAmVpz1V8mvkXEfCS59c+9OGdG8iznOsGNwM4ETTcVEX8Q5XI
MYR9jxYmWcO8IG3eAtykuKPzQRFQwZ5kEDIX/0Fkfoj8u4tYJCZiOvJUnJNNqSTM+rn2bauPNpEf
kWQ1f0caLY25TS07qpi8Q2xT1fd2Pu8vyUTREr3N9QKRCpfUmSMAIuphsP7LbH5vnH66jxSEJeYg
P4v2mlRsmLePeQofkg6UuRvDNmZacibjfqsY6V0PBBEDZn4VQHIXtYg3kV7amyZySRBuvpi6aGPE
hE6Jf+Yj0pKeCgvaUz+x2t2u43kfrgxjC7r/x8w6yvYkO0Ncv+u1h1EdkK7HlEij6L4pNa+GZXXr
RurrzEx/YJRg/8FuN9bzObfHKx0FMoTtiQFLGR77MDF2fXtXqll0DxbmoJR8EEbhrAHGKFtFqd71
yHxuVecjdN2jjfEktbi/Cg0BWmqlv3LTlpuYK3fN8IAlppIXaCAY18Nebhhszoc/dT6lRIVQPYDQ
E9Yws8XI5mJGtzGAuz5jPYIGb0Xl3APQGo7r4Gc7z9CC34fOIlhbMw04nygItRIGium/2cUIBxRy
q6NQWgjLf7bYIFGGQuNoEjbJyUdZA1lzUwHALioxbspIu+tKkgVU3wCSoynuNgz0U566P9InHiXp
02VMIs3a/RRFhU5QctdgJ18PEhHpgCCSzfoucKjEmindCeIKVuTNcLObFoJxGqu8M+MHBmiHksK/
2LbcEWJpL1SrdBdO1j5xMxb7mxmzJcwSL0pKb7YolJghyewiJoYFKK2DrN+1U7SYNIf3/TlPw0Jd
yczR1i546z9mzz+OTzWfVQu9mKDvBkW0vGEQ4c54RmabW7pl4dqoJNNcfKC3J+ELipXtzaN7+2JH
YjF3qgZ4eTbppjI6VTKw1urY4dqhEMMZ0aIj1TGfJtMIfOxm0L39oWpiFaWwU/586fe3OLd47T92
XuVGLVNFxAnYR29KdOPfHub203+++c+D3bK4h5lwdvva7Z+3v/352u9s7j9f/PM9/+PX/vGoEShX
KM71+NfLy24vUt5QeX9+z+3pNbbtg79MAKvMT+r2h6+mv1PCtUypm8PtwZPWNbK/vynur8KNhp1e
zANgtViEuqUkDTgdI4ZtoqOpqWcYni4JuSTPFLr/7d+BbT10pVP9Jku6fiM2fTpsgFl0ezW8AkQk
qrEaAMqSk4weFAp9GqYAuGxmrbQMWgt4n2Pub1+8/VFVqCGA0igLM9CZu9NI4hSXADiCZb8P0tjZ
3/7GcmrvIxh1gpnr1tSac1v6xroYA7Fn9ir2IQ2ZvY9eVoyuXCsWJ8ymrr4SSt/S58CxCyRS5KHj
9AWxx9IyAodSFHa9Gm+4b3mBKkeRTMEx7Fv5tnDl1g9J07TyJPEio2TO5hrPqWK5v7rZB6jv6xpC
ShA7DYBTiRQfo4FpZdbKiKN7WXCUx1k7IWBX/WRTkbIw+vAbhK+UDHcxkYVHs5kz63IsFryRe+5V
nZs+ooBoOHVK8xIn8qGUJKBpTX5UnBR5bY14GvyMHT0HarDv0xa6kE/kFyPibNlok7/VsRiPSnif
WD02myhZprb11fjJudSRJGqORmCxnDjSIPkQSZB7zOux4fjBaVCjB71DCqGUzKmKbjt14qlzkuTQ
p0jeu8rJ1yDFvsVofDnEdXtKhXtL9tkvt5kzBKr2q8o2cpDDaqjI5VPMclNE7dmMu2NTIrEtsuEu
CNFKDhYLb2X2y5J0gR1jgvu8xcPaEFVL9tWw7LtfKUl5j5hc9JVu+AqnO3tVhTxliwvCSe1t4Wsp
piscDC261DrVi9OQ2RCLNCrAMcADWBNX2pZass1id9NaDZpt1D/0dux8Kerwccgsi6IlMQ6qia57
TPECAqdBitKQE9M7T2aLAt3NxjcREsWbSyxHFRVo5DQoaFwEb31AksKQjUcJpmJrx2Oz7CttXXWA
0oyW8GAneK8qUPXE4B1cty28QurjThJF0ZDgoNK9RVsnr5pR+3Rg5LJ3n0REG7qnPha9hKuW9KT+
6c6qLR2Ey3m1LXWHuBOLQ2bpt794BpxXANNsEr08mHBFcglasoqYPNPScMDBbAx0v4mrOssgrFue
BjO5KNlNQdReYlegs5vsO9kSU1hS4SfFB/04FaeOs5Jqa+7cCqepbJk3N+UXR8NtUIqrwda4SajE
8jkwjAhejMu48WRc86uqaEU7Fd5dQIy26jhHSe+aC4gsAEaTvIXRWqhya5Jvb/ewxsymrfD9alci
q9E3BcZJ7fH8kBLPdX9TDvcvVhueaSM8W76z6XQWCyuszvAN7jPNvvg+LZHa8alXo1Oj9ONFadRP
Dq60VKz40CnFqxYyz3ft7lw2A70srfcg8EuviKSzy93qE+nRFtlCiB0NfSst1KNNdhFeHWh0bd2b
y2DYcVL5pDX0GU5YsDT9oKQE40b50ToaYdxhlWZOovURmzEQnca/U9KCdSYaFvmgPDRZ8qF1JQ3Z
JuCyhXhkaUfI+XLRWrSrYGVNaBQBvlCXb+vKfh0HG1G+6UAKll7O5HhXFdU3YcsrYNPcr2THJDld
hGwaVr6LESCeBoQWvnWu9bLeVp2+HkV4acuMKKYB9UU39x5d7dRLeT/GfbefWLh1Mg48Gt/cqKjK
zdjZOQ2CUx99AzTnaNVhcm3kjInnCYRms/ETVb3L0zi8F/Cb4gHTXJsl575NGL4rWreCB1MfHnRp
mE941zHfWcjuQ/+stmRaQJVNVyhZXkzDfB5yMis4vRSNXCld6ZFygBWeTBECv11pQdSBxb/Inc0U
NR/+dG9m8aUqjA1L3SXqMSkzsI8K/9VmuEccrUDgT7+3MretpSPQLWYkq6dLBSUEBUlSBMkyQBtb
ziSueUQ+bskWWgPiZMLBGTFj1hdG2F9KeTEcC82KjTeHI07CJuaYw0PahF86HozIx9gLh8jpiGSh
iq+GzKuwvyUaEZbgqPqKWsUgqCYc6E0Qtee1mXvXVeYn4WhMw+gw0lpnUqIs22TFlOw4NQLfW3lp
Le2aZ+LUzeV70+58mX26TAjN+ZLWgnh9Jx0lvIOSslIaHzStzy6d3bUlM/HmXfPT1WAr56isT2Sp
3YdVchkVlg23KO5juTSk+AwFZbAgQChXtZc+EA+2Va0DfB+mHoy0tUyiMaCZoymLjkNTHUhzYg7Q
bQ3ZokvpPTAn22gSb9pQnrU0uBNRfxIW/QMTucaSMIE92VvLKM0ebDUlo4VarWWLnc0jSbWYtBwI
X0ibyogJSU3tR50zF/kk3Tmd8DiGwyqu6xcF7H5GPyI3jJf5o5kfKrL7bcXK5tAZE/V97LyR1exx
YsdrW8t337G+hsq+EPLrdqzJg/2c8nF0Q/k+cg/107RytGfTDz/Nxtq6OE59VNhxFkZkOdm7YMJr
ocBTQb6nJSCXLKO/pwe/MAxt7dAC79DxKzMhQxZLndYpqqBVEgZLYwg+6Kc8jo9jkHJmVGOiwwij
8A0SpWWwCSf3UcmYULAstZsU+Y0mDhOIrGXPGz+mrGyRDRYyQ8UcQCI6OzR1Urz+ZlxdlbhDnh8q
Hw0rGZnhMOWdDDG0hqOEyf29rpgbGA6DuOsVtPt1rGKgqJLHwRy/6Ym9Uqosq7L8qqODE3MZ5mxX
wAqc3Qjxe2VkSMExNKb4Bt3mME2EIFpaIjnZOg8jDQ67R97bYZ8imU5f5UlMwrFmn42ReIqOoyRN
0ezOt8nSUg3zYNFem7nqCjdzbxza2LFXeTpHosPMsJoJUYx/rYbqu8R4YrX4jGotsJYqxKBMMQ/D
qGLyyVkN8naeMpUE8QyfTVJ9Wg27PvD0bqsmjFhJbbbLuwz3qkaX2wlHaIX23dD0P6EscfmRU9SY
sN38vOQYZQbvvcK11k8ag1XKgwHASU9+wJKs1AmXW1sTkh42Cz6OnWLHz/rI+ajKxCYbDI4XYQ6R
buBIRSj6i9Hr9sHS6BzHyiMd7geL0C0vTtnorYEerUBIY4z9Xou1x5Eiae68kAlnEMnicxwk2LoY
QWeiszoQbGVsWP1Qc/ovZqBEm7aU712uB2v6S7hFBkRcDFDDgY80OhfF9K4OOfHxOXt6CUjW6LON
qbBjQ2JViuJVCq6RPs5eO5fGaULk4TqPeqJ1aLexud6LUeea77v3EcRtp6YMtQqIIRPCBy+PlOcg
xeudpdWzIsd7KwqfM3KobGEPi3EiHbrtZ2wZXnFLABgRp8Snb2KrAaaTIsKVxhnamOSP69JXWZrM
uhbIvC6V6Z77zHkGRknMOMpP6mtqPcumKwVnFQYG4qB4wDuHNZQ0n3eJ2q/1kMR9VhOTV/43ooug
XseSKpjA9YD45JPK9B23HEhs3LfMeOmKQeNdZKZBG9ZYqD2hrfyYw94t/vpv0SA8g/K+Tmmjx8yd
HCxBXCAqv8Li4edHiwpO4iWAnfCjlsryv35UhCWrEWKR+VtcZldDdvt1helu54foCDlKfN8b7W41
8nBU8vM/hZ4v9eh5ms7z4wbVCLYpvH2zz+/oQgevipawEvKsBj1/mYB6RMkFnW+Neaikd+bmyVpj
Qyr/k7Iz620cydr0Xxl818MeksEV+LqBsXZLdsq2bKd1QzjTNvd956+fJyKrB9VVjeqZi6zyIksU
RUac8553iWC38jW5PBv1tfwd/yofwQ1XjqjQh8jHUKQadb9pEgAL/ceIRovEBhGp/1eMd+kqoOPs
Go2LEUmEz9/Lh1SGu5Vfy9sRqyc8O/27Zmj3mLNZWFRZ31iHVgaI3dDpX/LAim5OGVEC88bjQ5Ug
WRekLPIXRgL/08QqyAfCKbhxdhVcNvkI+XoVso+oxPSX17BbqU7Mg6uI/b18caTsG/UGGFyTMnFg
ljyhmZVPJ49Lvqwm3w70XfXeeY7a3oV0W/KvI0//1jDJNkjVlr9uRnx0fnt78hT+8636HJU5Uc2B
m9VYCjnIeGMGa3AZN6zf2zrhauNnLROw2c3X8mv5mJJ5v+780GlbrLIkFWXYtumvh8ehvtPjYBXw
dKkfwBztYFZTtMO/jdyt/FHIr8lx2suHVF28Xno6FBQrlpH9lE+lw7fPoTY7gO5z0/yAMEhSLlcU
j/HL+2z5Jh8hj6koP0kg/O2gQn4oDzgs7YN8KV7ibhwSVuoF4qOhXk4+nTP2e55G4AZFi/LoL3sC
g6heko1TlCciFXAoRH5bFOfJBFhsQmwABVO9As4ulrH1ejCZdIQi/nIptgV3VTKi/Vo0p9pFoa6x
3c9nNcCvuuSL7ZYIIi7X3K63S5RfwsT0j3qu73sm5iaeJhH+x1xLYNEkm00s4d1dEgTTDjrCV+W3
+2mSqutSR12UBtA6bWQMjQE9JDnV4XsCoMdmYz7QLfzIB5Kv8AP+pmgQVs2FOqCRlvBtL4ciVn2x
ynZiDOG266ad8TGwWqSW+DLjuHkQYfGEwdklWDzYOri61NQ4wA3ZbVsOD/If7GRzU0mamKSC4St5
NpN22Q5bw8V0ZmETWY1R9KUHQ7mN3Z+aj4V3Y8+vXdBIbwAgaj0G+V6o2GwB3UA07rNYkjdy7r2V
g5lxRsMwIowdqutsd09pSD202IDsDuFksIXZM6yBNk4/uFNhHzCCRceYGHJFATR2KmpPL9QvCu72
LNB0PAzdtbZu8vykyXmlIScwAHbZqrGYx8RijzIj3vtNGa3AWLm8AYXnnDTtHleqJCvvwozC1pEj
Mx0ByIoMs59Wg5FGGdI9miPHX3yWXsmwVmRv8Cc2utZRMTHcP2AFvtdzBkhmDA1YDzZ1V70WlVGc
RgvBbIAtcIOlBwrLlP0dZZTV609VBqbNMO0alFiuLnUBt58hRRkG8b4W9DpqOEntvMdImAFIBNBt
wusjxUrslqBjEovQOPEBVVDC7IRTFlsTcrxeZdahavRj4wNGzGOMGlkOM22zPCkIPzvkJYepmFcl
VDH8t0b4f8M2JqntRg/Asg05hh4NeG9Z+YSb5/SLa+O5GFn1hbNpiPvbWFPQI7JBvu0O8a5oGfoR
pNBSYTF37uUlX2kuweGjnWzt+uTMNqa6Gp9qPyAeTakbsebfFxh037lUS4xVZHrgrV9qL0sw/Yw9
Gb7jJ1t1j9UT/AsnxYZ+MvEsG6ywOOjU1zb6NOgMkEgmUd5/0ArKvtKFx8jNCs1N0sGK4i5Z4nHd
hiRUxVwXo+68kOCKIeUIcEpqIaam1C1L/C0g8GwXz/ylm9grW6eighF2EZKZMbJGJ/G2mzTsDWAy
7Aq7vuQFUHM0utqNOQd4P5AcPg6HrOezjV/toPRwBvOfnKlZtoWBbds4/aTiLNGxzuYOTsNRxnUG
k4mDDMMJdDon+kCb7MQl3fZjcRYRWscAThHMG39DAuZtH9Tnvo1OBLF+edmd71Ma1Rn5prMG6izv
hQBvfggQ0zNcl35VOawB8IaRVtJEGHp3IlPYCMEJpwj2Vo6vBdIEWBZqnCoHioollZccD0Xeql3i
qzOKO4N6382giHQj5VFHBhkUskMObBP5kY4RBqWR5YyMugYKvSy+7b0EA9DypIYGDRbpsvy4phRM
GP8yMZDf6VZ5thdkKzAIGfYwuOEG7ivzHj72i53QwBXaTmfkmA7laXDqDdsB+nWHmc/YI09ymQiU
KFi6cpsG50nvAXAR2S8LvLhCUJXJFxmZRBeB8ZpV5RXz9KcUYxBaUVg8cu4+MixbugJ0iBsYZTQT
MhJMg1z/lPMzRcxZBtZhXvRoC3gTYMV34Rwwp6VHsyJUKPGJ3gMUSfa5Uwj+JgbvWCfp1TTys6i4
Fgo/etPGCNUSQ22zT9xtNrrcz9Mm6np9bQds+N3iI94loW7Sp9cobN8iCQPZA0weNBQ4NUmODCSU
i7GAERW8w4ZcE3oSNAhJFLJlhxAr/TD+gCCGdEQS5uGqk4KA0JAK3Fs7zYjpI47kVp35p1zztpVt
nqx0eFwYfQMdcoE4A28ilh+SFUDgN/JmU9aIZ7xSPFWtT4xVP6/jsp9wmYLpgf4iO/gEE4vSviaO
+bPq2x96wgxZLNQACNhXmHpfR58svhpaOxJfNWYkDfM2CkwsRHv8G+H0dKswbcKbwZM8LTlm6hu6
B6v3ti4zqZzhXBO2L+nk7xKbM9e4zLTd7qtIPGJNJXlqbN+L6ksbH+IS6n5/TDPJi5Ujvyx27hbT
wJ6Uy7yVTM8Uv7ouxlcQv00INW0DaSQsrnJiRzwIDJxF3qJz/CWHgo5XvbTm+JQaPmAN/cYwc/UC
BKO2qJwHrptHnLZvdJR/WzU762GJVKX/vRmX7+PEAlQmzD5rH28s26iwJMuS3V+zqgWE8z8Qmg3H
cGhMsLX3BLzzf2UFNyY3GhxYEjQrOBRzr4aiTH49LynW7KBPC+TQfd4CI1paAGjmI1rgVk96TlKh
MXWX9Ci9Y+Gb2NglV6kmBgNXzfKsSSajG1IWBb57UN/ZwSQvdxKaDa6IKHR2ZtQ5d7Ogw9FJncLR
nCE640hfDvDqnrgpf3xcQs7bX79x+8908l9vWxDQwnv35Yn5+f4YF6Ekn/9PaFwYLyd1t6dN22cs
HNNi3Pku5FGNrRk7zbu0+ipn4rpNw7ZxATbEDc8E50ImfTh0crACKFdKLqFZ0nwimAAbJktfFCHv
dSsLsMX/4dUDhBMPOTtnT+2iAGx4GWpo0djWzCh/GpqAGwEKMunOX7JsiuR1mkpi0yT4PH5x7SXB
oSiAgpC6nqmy3hBuYQHICpc7Ji1RRNKUXsf7NDpWn3W8fMPD3foPJ034/+Zq4Y2awvHIWvH/eNI8
10vdQRMtse0CAlwVXBZmlK4sidQsd2qeOpOxmCJTKnoEU5dDaQHHya2FhuXklujQChvDuUK7J2dg
q8gxCLthAGCkzcx/LmnjsmPatZw5h0so0qMHYNK3X2w2SzwPJnPchRZJkhvCETOvtHnoholNNULd
sw0jQGl5B/71NeP++ZqROUAWKgwPJuOfJAjkPKXkZoXtXtdbcxvj+hd4iMsitomcUGeIGTHMbdYK
3ST7lfCSoyLpaYKPMs4lCVyyyYM5+GZXy0kQc83it1/ICY8REraVFArJgmGq54cJpkEpN5XQwina
48wUvn8pspwXNIBb4ECw/mjHICfZMsIPSFGH7CSCMkdbkVU6seJjuxnd8nYKPZhUyQTDg5BIxNz7
ZJkVDykZrfrWbrGf8Wq4hXJvs4j729mxdSglEcsLB1yzEFn2AvgopgXf+Q3sz/SqB3CPwvk5hZqw
uPg9qN2VcVVFQZ7iWiGvCnTGa3jcAGDWoYaJtf7rT8TU3T8vYK4wEa0I3fMFqQZ/kIXYvSaqbMbI
MiFDExtFs9x1XjKtTQvODrI9Z3HETde5bKU17uZOba6bIfpiT656iM1mh6OSvPgqybMqatzH/PyO
AF4HlTJ/pMXFa2PS/BfMr34tSq1xIDz3ph1qDH4M851Qrw83Dq9wz7ZjG19MP/vyUhaOXHsCZ2FD
bUxmKLDK0sbRV23p3pFncV3yCqvMOuDzcN5qyeO0ArAhbYjiTTRn+EJoz0EX4R1R9SPRuAQmLATU
17irp4O59hps/gpjtI82dNc0Ffm+YUwS8dSnIZ9uA39o+ElhHAJs4eK8/taC1RF9nKUUXq0RUMRg
PtjDnV1XxJLZmY5HIpviZJZXSPJXt8bUL2PBk8wwRWcTHQx0W3zIFb/JqJFkkeY02Vfmh9vOY22y
LbYGxaRSvzcp5ESjPehD+FXkWH4lAqOT9kMVlGFenR2NCWZTYAyldBaSuNW49gWl9En2xcSifHeT
5uCXwTMr5VW2pnTRWGJKbCjKuu8jotKA9IfU7qH0DgHSEb/ZAUOe6oWKy9eoEZYSG42lfJPEICr+
FdZUlGl2+mUNaKDJTzH1yKFJhEMfY1WMBv5jLsKXsMn2iqnaRe9l2P/QTPlcET2Eb63cAkmEneeY
51gaKSlcKUvExE7vS2yp6UTjujg1jntJNRi8ktUlK842awmmlb0lpPKTl0VoYLEW1H/x23rZdxQD
N52e9/SRTb2P4ZB6gAhuBNQhCXRWxNgp1UEPCw7XRCCN24sJ996qcISEz1+3w8qTrTCV7KaFGIkX
tXjwgvJ7IFchd+HF9a5+iWvzu7rBo6aK1nYxPUQJXhttFSKAqc1zlUyksjT0+C3AQ8hEL/aaVy8c
z7YgMNWk77mxx2Rn05N7WkMpl1P+GT5tkeHqj1NdPlZxeZ6lbqJjlNzRHvstm78eYAwbW8FFAzxf
BzgcNEJaB8q2u9MATgYDKGChvDckBazU+MNkOkTxeOrDd5B+TVOXbRQdDekiazIzyoR3rBwY/kkn
4mPDSbaWCpJEUXwf0aXWHkK2dGRwzWT8uU9L49hDT7OxaRzHFI9JczzMszfuSxODE88lnGJcSJrH
OgTIok8fy2JgP9ExYLOW6GzTWx601MHAMdAZAHrjaZyXH3Y6m0/pApacDictQgu2IGLp3GcvwmCK
BlxHGADiFMP31AnDblysn6quAJDtYqwPo9ZcjaYY8BvwvXWKsKLvs53TaUSXOH2OSdokUdKOTtVi
cCeTO24haRZ7t7U3ihiENa6F2UXCJ7EhjiK4hVV2K9Kq3qYatk5L7KybSRc3k7bcmaDmu2jAGoaw
1QPif/N28fFfLiy8xRbzrPUGsTJWtayQCGOzi5paYDw01zWbdx2SJd1+TSY/tQlQQStgiFsoaeLW
ddvfvmJsaKRBfquZ+sNiOOYW+tq+0oW5jhxxcfwS39zuZaxjB3wJKso41xhgqS/RVGc9bvdllE7w
FWvtaLrNEcrDtK+DRTuSr+neNsuX+ob4au2ovkJRxxC0QfmcFnOyYR+3IQB6iOjram9Zro936JLs
vEK8xrVPJnuIqFYs+ZpcTpvR1KxjYlbe9fQ/+3Jc8Ph0k32WYEoYZ9gQxcQpHDOt0FblEGNeXdr2
MRrMMyQ6pO7yKNVRCLeV4V3tVxnAYQnKooH8EDNS8UhED2hDV+UosPLzhp0ZztHBQfLsdDUG/wG+
Q3bMy+llfCx0vdtXGTi9wfBwIwx4vC0MwaOXv9Tk7AnTDg+p2zjHShYhgVHCp5vaaYfYDPvirtuP
trdzDSCVlLqTQcv04if6diH3ajLND2wB0k3Sm83RqrvmOEXGzxpy+jafyv4YVVOPX3oebktn3qTT
YBxcq2CYA0p4HE3LXSUhY0PW4qcg9F7SeMBtM9ChswSIjnIHw0N6SCGS4zg/2N18X7TcLpFvnDEj
8jwQE/iDWosD5VNY4InrxbcLB4BxRQEwFBg7SE7DrjWy27Cfu52eO3TJtczUtWWmbh8IUuQYoqyS
2TgXMJxuIdgneDUEcI9RLoARotK+pS1MEZnceqzUbDw4GqvnCKHy7kdkGSvT7fAkj6P7GIY4xQoQ
KM1YfFNQmhWtcasYwGmLEqUsMe+OyDFs2hBY3Y32SsJFfC8IcDp8hQ58HQhr2HnJUk1qM6BXf2SR
82zlC9Yo6gczwXqkLY4m47ywa78PIWxHj3EfTO7s6s0sU8vUrXWpZ7BLgPbE6kB58N+hdsumKd5F
CKpmpOhjk/6Yw/Co6NmFiT+nSyHNuK7hZkS0Njp4K3liq45SEaYlRLQE+ZnMDkiNOFEQcWrVkEyo
15feZ/zVXlSd1MxsH2OY78i2IKMI0fpK6+nOgGkMAG+8yJYHuX0qDjniF1j9DWs/7yIBpXhcAtDf
vE2vo6QG69DOKdOby1LnV8mHlexzR8BAR9jEKBEnECQBMSLIoFxwOAQ1J0F2za5PKe3wTNUINafM
Tm0AdtMhQsTZCSOAepXWMgwwmm76ntfpoD6nNaQzra9prfiJEsksYaXfXBW3f4jo3N1462ZgBHk6
7owel8guRq+fp/jxieiuycZyKzPDpGZLEYSnBhlBo9OLDvDsN26Nsgwi5ZeoQjglLThnLuhvcffA
x9ohorxD+ZqUUoPqm/tJq7GN8C+hvTCrNM90t2hDnPFiw9zNs/hrITjRChlB9dolnUAcHAftQDNf
Bw+GSodfjznX59q19sXsIDQhul020K5kG/eti9dY+W3MWxzUWlhcndscMoWmST2grx2aoDnrGfgN
6fJIInBl7ImG8QlEysQTAXiw5qS6RkvAY/TaP44RgZKOONkmvCk6/aFF+cL/4xGscnaxYGQQitFV
nW7rABTNxAE8ECkDGSQZYfA5RCN1sbwilkiARVJG3iRmdU8RjeulBFumgP7EHbJX1+92Sdx8R5qG
8xUnee7Sca0nI0oiDrolcQC6ijVRPRUhdZGDYED0C4n1eX5tNfz9M+1VvUBIHojicYtiwpjBbi9S
tGOxPrDa1q+y9lT4QWBRidR2uJb1eVs3Tymja0Qy1L45oE2S0NZHGp7TDZ6B3ug+ZrO4r7WONGdY
0EED07lt/IsexpBqmd86PqfO1yuEM8m9TTIrBHlwyd6+jHYWrcLpVTfgQ5sup6Mb+XhCOzbhIfBA
ArqweZrdD8At+PyjFIFhysgn5Hx6g19uBif2T52UosZSihTogkOzmNOpFlHjKXw3uvOG8EML70o0
56DVz7oIviptwXIH/mSJfGc9uSU1+bicx4JjDeYkZHrkditrKL9lzFtZfZC6kN4Ua+EPAgiQ81Kl
smFvnNm9LmN93Zez/6bn+ZdhIhaQ921nRA+OlxNwWH2mQXowJACSg/xSvemHdG4+BpBTIY+RzONL
5fY4R/pLxyFiNJMUdB/5Uga3S1MdckGyXOdYOo3GftS4dfwA02JNI4t2EIgb+9ra2RFsXTElXwoR
8WA6hFrQrlyAwLXF0F39WIuwXhyMJy/13r0JT7zY2sh6CfOMjT54ZMNIqEpJh8rwWtgWCsk+HQD1
jqls2H+tZSEf9FgmV39K370w+iwiTMZ6r0JJ3ZPa6QbFdjK2c0QnD0mc5bBFN4GVzCRIA+/ITih7
GhypuWtl9utQu1spWpH9uGxJ7Jn2mpqMFyH8rYY/M5czrYLU1yfiPU5nBINS4aH6oypi1w4j0hFI
ZCNa1b8o4ZRSYBjyoqpn7bkg56FATq0AOIVbm0o40SJK6UbUNxgqwCvFk3Ck8MslzmyN5OcKbtQU
IHLfT5hJTWn0awCg9Dk6Okcia4H83QEqrew6LFw743Y76ofGwdxbVvaDoVlonx8c/54gx11eEtZm
wD05xC1mNq3jMcWJs9t4jgq2lufecvgw7GNihQfDIilJtC7Jpo5DPwbxH5Gudj8szmNXFcHKlqoy
rcOAqBU/Z7nKpvSgY0eyr9ZAPKdfQ0/mVNxEGHRO2yqC0qrHjouJ4hqvJt6khFH0eGYnKvwNctop
w5fVKGj085FuTx2ClbDijkH9ZkU6+nRubm2yvrVTwe7KipTkNIu1hWrfBaDVW4qDFP/BOsBJZzYg
YKC66Be/OIhKd3HBQUiEWONWCUTHcG/ZxNx63Rqpp1Zg5k1Xo5pcc0C3J9xTr6XM2UHfm7x8EzjP
hOVy347cqEp1G7jMK+0af2bxo/eni48n27qzEKjFU2EdEh0PnNT5KJFBbLvcPVUFBNrZBcivZl0c
yuCHVUZgD7qJ0jfYK5sOfA8xXLVestDGtXscEJZIxMcOcf11W684gU3fuj7ag4kltJnHrzLV4H+6
KTddmayy7JzEsIQ8qqZSSgyVZlkpT6KlPrCiXXyrflMjt3lmr/O6+W3xjVOiLw9DvmAf7FFxtH4q
WQrFuvaTNwVboRRlX8USCL/8bxO87bF0L109vZBLjc+4cxmD4Y5kwZ0n+9ceqALWGJot6esQhFq5
yaXKS46bnRqxLAev+klNx69h1EhwjcoUyCcuIZzXNygO/F87X1I157Znesw0cysViOruSsW8ter2
6BUm1KUUA2DeSpnUB7+HQxd0N5ks7+qO5VndcrmcyKihhhwU9cMP1zFw1Ia8u8vml8yid++4uERy
jm39o+i5LzUt2g4OKyfRetdQIseeC9dV96F9yC3ZS8nQxU9IjTB/jaSNBq90d+VITVS/aKdAs5/U
pFd9hlAtmNVjk1Q3DPObiiwYl9lE614YNLGzyBoJizs510IuB//6ME15ciOH8ZqufQ7W8L0Lxgfg
MAYOaZiso33scHuQlWmrq0Fr4mqj7guFIWgMWBj58ITgk7tZdx9lzQxpM12ryYUaYHX2e+B1T0pL
5CNtJt+EcIcladcT5l8AicsLueVQGoJoW1APgz1yrBagIWEo9opRI0+fAkHVZCxz15PRqUDMjqpA
garTcgrlBVn19M6ylu4Ffgr0oAetKc6+Z3KPsPAaGYtvS82EMSOMB9jeFELTXsgdz4PyiZQ7O8t6
DJOudY51jdQL4g0hsS9ZaRmUnuosJ5H1OlJ3ehOAj5J4Gc/uQgRqmOrMJVuNXQy7LKodI+iPsxV+
yVlfHMFPWer7akh26rlsOdVdKiapSVNfaPy/Cg1J9KS5tx6fPPmiCItz+gi56gPb7bI23ikMaIJ1
ovDmKTQgnDKTkFMX+GcOwXcBSeN9tU3QHtZjt2zlCBOqGTMvj48lb87Im7+3NLdL7T8jfWBwAZYB
o968S7Pou7qHasMYt+7UIFjBkz4s543XoTCRHjVSEudMJZe/F56VkNaTAnyp5nW1jwyQAhWTv0Nb
Qpkh70xvyK4AR7hp4UYr3Q16BtrGPG1SCqUpMeXJeFEjjiXHlKBynubouf+05xLzYIu9J3Dvk7m8
FrTUeMxzW7QMeesi+xJucY3z8RyTZObooaHm35a7rQXcY6Wf1Dw2VbNi58zb4jRLM4HcTYttNe0s
9AClRd8gL9Y5prbvJDolyxZmZPF6bokSlqpCWc/F0gqBSPpzJxWIijZii3ybyUjaqmaoDX0Ktaa2
F265clAFbYo4ADZOuGrljcXY59aerAczZF6ma/O4tRA7j5W1F2H5pQgDUOyZmRbdehRht742jWbA
KM/P8dJToITOFS3MXp4yVrrvuj9vZTsTS22t1ebnyKU6lsNvueolVb+B7V/QHIXiZpyyD4lBjj01
pFJws3+8hHjp4OTAde2lSIN1tD6yTq+Afnt0oktgH0bHi1fqLUQDRvY+4Wh1SeyRHT2pCYa6Nicv
uChfixSZNXsk7N8u3Jd4AqSV3q9S27z6M+1Sxn0Vl+DpXrg8ThqDs9rkdCvDINqQykSvGraaAxkY
TYuF2pwWor4Jjfpxzpyajpfmr+dj8Sv0sb2N9StCYi4LVayghDoXRFUUXvQlz6h8tUg0dGRS0dGa
0kmPRSq3TFIpFmkPSDYVCDKZG9lWwfw6jSkO403+0WfxnUvltKSUaNS22yyJURUXXDuMVV50Axgm
QCOaEz2PT/dr3SPAdQE6HFlI2KZl4N+xHNWa0UpdepJAaErRT96gYzkGzbQFFt9wuDR6DNN/yeKp
bKbepXX2wHINHJYahxavnAj6kW7HSCrodrGJk84XwESMd6TCIW+6T52BBzGQ/gpH5qTJv6COAu4G
xJYYPngKHZglBbc2wbVwyRI0IOkCG2P46SQJDqT5Va2JaRLzcn2yVfMQR0f1n7mMlCjBVJmpRx5U
fvunVyKB6PNTYpF44nlFcMtMk7wCzVlLDFxZFnixvaWPuldWBYYUxUczKG9pI5bKqSHV/RMJFwEH
MC82yLmQjoQnWXtZLvPQKlzupzENVm3cwOJzn+e6JTDAe1ZggsIxtHYOYQKZT8oco8lm2LZpC9sT
PdCQsowS70EPLdzbKCsfRMSVs7DZOKYXbtvLYrF1k4INzoQNel99zRYGSKmG9LS27aeICfhNoREO
03ENFAUbu+4PxrZM9720ecnd8k7rSatmTPnujZ9KpR7geNkaPue8B6vxaFIxUD5FKHU9b2ArWNB1
+aNZryQxoKMjAoYnDmpggceJ8DRFrEMiqNmusQbHnjoyeqLxSAxi+q67oI8D5e40Vi8dS7JEVnIs
R7ka9zWdketD+oM8/KUa6G5pn4ToX4YRA1+TzydNM2JGUA0j++++a0xtx16sp5HwNxDLm3akwXCd
9DMlMmbOdEpA3MotV1J9JVAPu+xtjvN3M2KJYDo3rMZFZ62DsmW6kDM0RDpxvbEqiFxj5hzjQJ+h
1FkPuWR8ZONwXzfE8s5mfG95cLCaBR5cLslTVUjxjsFnATi7GdhawtmxCEkEfatBSde6H6wV5aJz
PDpPOzw5FCmr2mc9DpZPl8IWbg6ql8ItiIlWU9cl/57XqDHsBhegxuX5psRec4dC7EqdjSIPRQ5c
ujmkPW0DFiUrywhxIdWAmVZrDO9J1676mEN2m6swGcjaUHJXcieXMzHlvBM7DEAIou2YumhfmkV+
kARQ+KhrqpJXZa4Sp/Udia9Pct+s4aAD3PdHHKqQkcsWPmE65Brc5m2Y/Sz7V7WEqvWsSK6xQ1Mg
KriU1mvmx7sgBh9wsJi9mZrmzmX2uqXNv2qRvTHy6iGqPwevf69q5upewmeWmZRsuOqmq8lFgCnS
U2tJchILjbIKoRivyGZZgb9eZXdXhP7ei0lZgqgjCgeQJ9zVy8kcImkP0ILXwF/eWpV/1LRglxvp
D2XKkWuscLmEptEQ3DSS9BEG3sXvqMACQQXmsZxL9MvFFEBxOsYluh29+DuMQ8C96UbBnBWjnhV6
wp0/uPFeGUMpphdW2kQa40UviQNy+Jc6kGi9MP2E8kRlFPTBjVWnn8pYyHbYUfxSkN4kXvvE+kza
7FkaGMltUy+JzPJJPvfK9g4S5Yca18H2281t9bp41EG47hAOCSoR96CckjM0dLAtWya7kbz5cNG8
INE8qAGw4TKxA6C5sXz/jBfgtwC63wZRBkttCOe9I5KFvXiaKO9LDJkYSQLmDa50sKI6zCXFr7fy
Oyf1cSYutE8FDpuOlBNPA/AUGbYO9malzedutDDhi4bQDZoDGESE3+jM5xAV9dsB8hsu4lxPDEaH
lT04uK3i+c0g/rGPYM/Ks8/FDa+HAWTeVSdgwpPkKqFe2KvaT/VupXYf54Tqesw0MyfGAhqyfVoS
M9lCzBYYNEHRjXeTle66xHk1TJZk2KY/8HtmgTdIA21NRqTUIaLxHj162tt4qF47AytWxjsr3+nu
4ZpBhJdWYrJLm6QlEno/i+y0N4n5YvyKdYAG+Cnh9bK9EHlF1oB02emk05gao/a9+WFbRbHu7Y/M
nlAUSjsJ2dlIdDRmByxa/BjERCiK7D4zfu1K+aykglhQQ5LB+zb3OpnrC1QBQX9m2fUtbp0so4X7
Lm+IJIeaZqKrkVW0IsClLZWWu8Rv9bekoaHI5RuNZAXQ9d+0vdPkxSaYPFxCjPZB+XelC9t17G3h
zXt0gATrsEZieA41vC1FxL0ckLQ7I5w2GVmtsJ0FWHcuEh1fSvej0Jp36Wgle0YGH89oWjAdrs/S
U6SM7dMC6AGITM04WUxP/SdsS7+jIkSHyUrOcse6cs4X/aK8DzN5+MSgTrqmb+oUDXEr3ehwEiGq
UUDTbY+AmO8KZTEmVo6oXWhEm+cSnB/hKclXYSzW8hTOS1pxyMOjJ+/JsgwEAxRIMLRaIiPwU1dT
dUWhlI2nunMX6a4nezCFPYFR3Aqql8zKfwqJn8qz7FXLXV55ty4G9Mni/MzHGpkMFF09/5qlW5xr
fZjx9CA/HmE76TZivAn4wDDA4Trk09AAmZjZ1C71IZ+pVT8i4WNDZ4wnf21Sok2oNG5qWVnJ06wq
Ygmnq/56crnplVuRfPSMOxxscUpm1QF22CugPE6Ps1wo5A6O5ijtcN7rpwSSBJ7c/axJ3SbIttA2
dk4/TNdwRZf8ZrcsvFrjUHDjU8OZWGSp7Un4Hq/Lb86EXk2yPJcexnVTe49qJxlg+WB3pFPKM99P
KioRLtE3B8PCHGtrKwjxbGOJ6u/Son+Ta43a++1guRcQjzbwRK15K63Yeug4N2YYfwX4YNzYenw0
KrwN46L63pVPs7AvykFKFr2OWK5Z4WMVT8NYjCK+WcLwtbvX2+it0sRH9WBtU6vE1LriA5VVhdps
NA816DxvoUR6gSxVJXph3reYJdxYw3BIivGATOobFP2XdsTFHnX9pRgfo5xJMpKIS22agkEiCY4U
Nqq+1QpLW+XBTdzaz2VTj7/QOMMADLBtlI1mKH6xIP/Xv9ijtv/4b77/WVZzg3a6+8O3/9hvHjf/
Lf/i/z7iXx//j91nef+ef7Z/+aC7p+3ljw/4lyflZX87rPV79/4v32yKLu7mh/6zmR8/2z7r1AFg
TCsf+f/6y//xqZ7lMv+llbEBX+p3TCv5Ar/9oXyLf/+v/529/3jP339vZPzrT37zMfasv3kkjegO
EIplGp6L2ez42XZ//y+Y93+zIKAJ1/BMhwbBg5D1TyNj3I9pOFzf07FOcFwf/+GWHTD6+38J/W+m
aQnftx3HsXWiKf6/jIz/RNSzHXxuOQzdFKYu5DH8ntyZGHSVrbC0fZd3PpFTNLFioX6Jx3JfhVvK
pmJPOAh3PYgC2LBL0OBA2/67c/Zv3IKNf3cYri8gl3rQ00zzD4exGG0zU+Vr+xq1MoYJpnfsAkDO
Vv/w6feRpJAa0Vbapk89d9XphGxF5iT2/+Ew/uT8ayNTMwQaAuFT9Np89L8/G55lJK0/iGCvN1aF
kNfKNrOhmQctWInBPYxj+T11gjMlzXe6KSghzLorIzeZ0kOiZ/o93I9xUW/+w2FZ1p+4e7YryASw
kbrAKnV1ef5+x8Gd0tauMfqFAjfMxU0OeWpnJfU3o4y8E+Y3ECEna1qXFMawPeii3Xky1gBHFhhC
2+OdNjgS0bWcHfYpTOVK/8Tm15xwhU+nwDu1JsolmHfnsTQtfPv++Z+swsQyskemy7M3b4qxpI7w
qeSWOp6xV5pfgzqvjhMd+42INSQ+M4WbU+qfWu05t9aDHT4ySewJ9h53s9MxdV5G7RAaBKAHHinF
AnfCOkg2bdfu3Tq7w3uDlEedIKGhSbs7PW8/hgmd/TKSk673xZ2eLE8eCT1bbf5JMcp0JCm3U7dx
w9tgQAntYeC0TufhGDJx8zb4MIBaOfgb1oyY3eTDn9Mz44zomKWZv/PBpm9Enc3HwhwvQTgkW6/v
HRIqj/r/Ye88thtXsiz6K/0DqAUE/FT0nvJKTbBSSiUi4L37+t5gvmq9qtU16HlPsGggkpJAIO69
5+zDwj8SIjsCBnbWhh+1WNG3noOIKVdxtKuoO52uZsUF3HUt3GUeJDtPGuhg+FgxV+RST3daQRvd
lP5XM/9DMjkga3pNbWfcDA1SpSnsuGRFITyeEjtQbRGyYGJzb7wNkI5gU47qK0MxC9PMWWEZ++1m
0zX3w2s5+4MtLrhDV95Hj1lSfvRuWoFUQEUT5T5ez7a5xDUh8AUVy0CqZx2SOW6bRUPF1h3D1NrU
msSm1U4Uopa1NitxRU+4dTPamLiPHg3TQXVuELXeymgTdrTVC1zRUCOfPUEepTbiCdWGMNkXQ/nh
GKxq3Ksxue+hO2n4HkxC5WTw6g/ofws81dR8+n0zNGc3Tr4MCztQgyaAqc6EBcYcetQPSA8ylxDf
R2WkeEmzUV0i/QNlLY5e6lOPcC6ZUhmg8tiYcf815DF1J73LusZ/mtG4vItgTq1dr+XCmA2ndjRQ
KYStebVSvPFJJTkqRrmhQGTlmjqfY2hQtUaYI3KmOHSkrEVsjAGyKlbLhuNQW7ewZ0ASNGtThe4y
Iv7nlKG7tOMe20hZAwg1GC5iFdsz1SRK0bHavWazsVh2s6qZbzKv//smbaS9LCNVUILwhGaXH6NK
phVgiYa/prw4YW0D/ihABs4PdWHFRf12/7Zp2uzZ8EXyt11uj8fzzref+P7Z22Pfd2+3KnuYAG3b
27ZWoE4FSNwFjZDXMJDO6vYYxGFQVPOzlpgYF47Jq5CZMa0arcz2vcL9ePje0ZjzpXIaCcRc8/Rt
k/uGnBa3mxwyPhVTq4EE0UDR337wz4N/tre9FHwAvGym9eeHyLf+65Vuz04OKh0c5/NH+tsnGXVd
boPRWDU1Om6rNKI/n/D7s3mh5s0S1Pkj3B4dbx/+9vLu7dHbTQgmfFxOITO1A9mok7AOjPyv1qSb
VWscnlpofPTxaN4Jiy9PiFprUYXloZGhB6CGEPBA3/Q93sQxrNAPVj0YTlhxVv0rbS+QX6MXxxHH
LHX2WZ919245vVhm+7sBalVAdFn4Nr7boJDNKhnbdGtO+Nb4Xug7jRM7UojQI0uZZBA9fLA0R6xs
JWH3udFDZOI3cUwYvboP0buhh+6RnJS170kC1BT70p1TVxayMjJd7LBwNoZnnWU2Bscsezd07zQU
s2+SEQLpWiQNwyr/aqDe32UOU3NT9djJiL9UdjR7DIxHP6PayTv0KshUaKAmOwsY2JMw802g1Z+1
S5qQsiirs35YpOizOD2X99lEx3oImM4WktReEIE+g3b6TrpLPK0a8e2MUwIbACV2o8DF9Xq9YgKp
w1JNmcKDd6jUCKVBpYLT73SBo/FV8v39UbYXB3T4UmnmtG5+xW7oHB3lgMB1soieyEADs5kvWjMp
xrGmFW2CtQc5dF3SP57Tp2jA3/kFir84H55HB0e0iWJg3WlI8LjA0W2xr+4Ubns8iCjmbXut2l9V
n35Z0/TRUQTaFHcPgL3LrQC558dc6vBbFID3mJibYQ3ps43yg/Wb9R6TJBLg86bM7joE7Isy7n7W
w1xbVy1Vucv01QGaRiYpoaIxoTC+vh9qvmGVHS+6JszR9JFAPaUoEpyoBGM66ydbuCdXT4eGJphI
3RWFZJrQ7dPSONhV+cuYSQRj6K2K8lIO8k35AgmAG8mdi9w/hTHgYmR9ddqfWafEwUAKeIeQc9ji
jn80WrPadNRrpqFoJBrOh0jLL2cAflAoknRHusULzU+aZV4cDGc4JZ41wUWYzpNGxs/ERMgW1H5k
sxcLPSIqWOcIEKW5rl1zZ0Q2TRZxBN69YYmx1SeSGTmwL46Q41oPWW9a2H62Ar+LEIeyhQOGINSl
6xJr15zVzK4bviZEwwwjGDtEwQR6pn9XzHGBRkMaDOV9otJPvuK7znbuVQyojSr6OFXpMnYz7AN0
/WVePTn2Oadst+yVNzQPKQA0qlLxs+owBMgsBapDwrvy5JuJsNWh2qU3CyfJLy4R1CP+E/nBpDmU
oqiJ/dJbdAi1EUqFV13CDLanh84xH8a0e+sDk9wEbxgOMojWcENc+I4AaYwdaBF0hkOOdYi+ohMO
D5VhpWunhNmiTeZvH47+XSgOQ04gdOam/qor4EKl+jtRQmSQ+cWnlcUNqC8SkmFpkieuuIrF6pH0
LPwZXUeO8yZzT45ZXIaI3E0uP5Ii3V8ZYavdDTs9bYgn8q6eW15rx1DooAFDjPEPUKQn3XJfqphT
kw/irtP2pdfhY+nH64DH5S4cvfugqle20T3lyK44PKTFaRI1nKfhbg3w1wRSkgSEmG8AaI+IDbiZ
nYtt4Xavkd7BRkWGEJmwQeirQsCAhU1OEAAOdXQQDrohCc6d2sphPDrNEJJGNXOjaNVPXXuopgcx
SRDwog+xZhbvhckkvbWMl2iOVugt88mdDp7C564CedL15GmM0JIN+s9xYLoRPGvS2cdWdbZZ0soI
b7YPlSeIxiMKtF9Zn77mBa0KHaP7YWyREjskqKCg9xPQoQmdhGwc0nNSOuaKzESqqfmZ22N/njbI
ftqEs1YYLBPcIX2bdOLttldQ4AQtAAItRi7/Z41FzIZJApYA4dFoYYKyjuI0O0+ZPx7FgDZYQogT
hb1qhJauElpfaH0wHeLQhuhfFXwbBf07t8TArjMrQOwDk9rTf7vbDjzj0QxRIkiVPVRWsMNX7p7M
RrinfhZQ5BM2YLet7lSRCIJ1uaRhHxlOhvakXOLik/mToCqbVk4dQFFxXP58nR6vfDO+66upg8Bn
2/ydfofNlF2wjrMZKgKou+5nL9H4iNgn9iAf8aR4Q3Bq3dE8MZKAqmmectCEjWggjJGFIfweogCQ
JK2gvYZfnBIpOEbN4O1SPb/WShGxkVkn0hSXKLNbMA2xWukmVlXNucSuOeynJrxgGTC56DWw1EAh
uEGSnD50Aof5kXyn585O5F277+3qZPVGTTCXfm8nAjxCWqfHYkyX0tNqfpYRO+DJaFMQVbgOE8kY
AHrdYqzJTsbECB/E7nZj5RIOrfI7GD+H1ir9XVMW7Tmu+wyYMvGKQXyuIwnZaCw/GPruYRECQYh6
EoCH6SFo+/FsDeRGGm65D9P4t3T4jH68MWtQt17KkRVPdn7u7fgEWH5egtuvZcZ5n+CdrSHKZd64
PzDngcnEw0ztN3ZnUelkC+pbrkvjXnrZJYmNYJexFl5YdoYgfSox2fjaqjTGEWVyXh58dPdwk/pz
Mm+ANHz1Xm2tU/qAzL9eEn/EP72NejRKkPSAmLjxyGQ1aM6eqT78cOi3KvDio1sh6E70YheIifHC
cLX9DwK6OSz6/W3TzbcwkiH9v92sW2MyFrenzLD1uEhR0clyX1gFf5D5ViQd2rPf928PWkVVzFIY
npe35ynk/9r/f32wtvxlbKKnztq8J3OHv7ZTj8TKzreUAE37H+/edqnm/W63vn/29mPfd2+3vl+K
eAnOVWTPsSbjjW4vwPnb1hpvF2g6nCsd2NXt1vfmPz7m4cNm0fi//FzJiV85Oc4hLD5/9rjt5oqo
RJs1/8Rtk5Zp/efWn9f6fisl/H/uaUlyUTuciTgEdTf6s//fnodu6ZODO79o7DndX5/odv/2em3b
vlceMh6WSqS55fN7xsRDMcqYbyZdvWMg8JxMUOlFEF3wDyQsPM3k1bHTTUNz+tJrJA8ScFgvBCXe
LgrrZpFBuGes6QXAp5NmFYeoPKLwXg00nauJo7olUk86KegjK09PY+vCxmnSel16QXLy0rpaa7JG
rTLf7dDnAL5mmsLAcFj3RW8djdp8iXTb2kwmpXRiBximkt4mLtxptyqrDExNnnl0AYlNevXojujE
rGjbdlVyjKRKjgXxwQvd5BqGhmEx9TXm40q/RKi6ia22R+x7fLy7UBdyPfpbt5ny49jtnynEpyPG
3wknArc8mNprLfe50s53jXmTmQBsWTzsakzMf3YLJwO3rDNW69iAz5GZm7Lgk0z2DwXY8xQpSG/T
SE1Qx3AKiTpAdwgCRG9CvGWO2HdMh4/NvDHoXdRRaO+ikhRm2WMVSs6Wpp0Elco+zErzIMJrwoWN
vxEvSDnP5WXKhyNn0+EIBoB+te1yXmaPKtT6Y6wxCRrjEOtc4tAHcouUMj2hwzCoF1dUxWmCC8Da
Deyyb2Wf0rfFGpUWIsi63HrSOjCpsQ/kCBPFTGU4AXe5y/0o3TiD+hmUA3kBkXqrfEdtQi/Xj3ri
6YCsuXXbmP2oH31bnxYiQZ8f2XBGWFCZ/AsIJRQ5Iyh2LUY/W9OZIS3Z8+1DmWYOSApjy2DRXY6G
++lTzh9du6r26PBW2nwPrwIbGhtEusOB+H6MMHH85miLu/6hyFj1RlNqHW8H1u0Wg/BwHWHEvWsN
MbJwbI5t3zpbO53Mo9+jk46j6HXyAZgtUZrGtnF056duzzt9YR69ZltJBDJS8KuAGFqFIJd2dkFF
OeZ4YPWhunNxArHU8oKj0FPGW/MtIm2wYZgKtndanBRm80bVW4VOZY7m0rIVQMFXIL37CnzoSpQ9
Hsa4i4+OSOIjqpQflbnxLSTet0dDbayWDtovnMBedHT/Z8/b7reN6x0ip32CtYP0cMRxZMLyWloj
V2LsIvpRpsR0evPfsJkP+tsGwUS+gElYcG0tKATt6DDJ/q+NBuQdD+t8/89NTYvGuWrPMBdNL7cn
YAlG+H7a9l92vD11e7Xb87e7rq4wuMWm8edtvp/4ftfbY993/aY0MR6y5P1+7PtNC7Oew9NfyROD
UllJFf/toxehQwlg+eu/fb7vd/z+eECn+ORJR+cM+QZp9/Mv23PA+Vakb773+37b74/yb5/2tsu/
fYzbzrf9ukZ9Jm15qqIg3YRWonPdRYJqF/Fj3LpHD7cLosimwXuhsmtOw3lrFuZbnljamUkvwdV0
flas0tUi9qR98iVJQ249nYPcP5j68KnPTpEp9vk2VHaLXCcx9nkixJHm4xXPj7NlVS/HZrqE0Wvt
6puEnsVKVPGnYJ278gAscJKi0gXbD+CWb6cV0o/FIwlbwa7lu5dtVJ64d1irvVXfD9PeUkLfMMnn
CBbGBg3ujyAb9ZPTJm8Q8soN3Q3KUXNQC+6C8LYxXrg1y0Hbj7y1ZlzDaQxP8PXfU330XkH3FY1c
F9VgXFzS0Ss841rV3Wcd59mmUe1ipHhaTF5XEZIT/5DaTJzqp/4ICOYmJfpsrfozZny5mzsdqy5C
lt0M0bmxuh914F1TW3fWmoWeKa4PkfFKnWYfEuztE/+jFedzzDs5+hHN6/ND6fVYzaT/OCsqgJ+M
nIlSjwHAUC6DEbObmKDDOQUBATWlk299wBJtFqXeAyW24weRxzYddLT7TVgBKtAZVxZ9fbm5uLK8
6ekGD2j/UdNOqDDwT4P9K+v3RreNtTVSWEyWuVbF2xTZ4SMDyY1HTOaag+TU91z+cyu6dqXAQ1YN
F60LzoS3EJtkFNY+2U7oIyjBtLu2cap73W9WVYxkuu20bBuQ/Hiwocb16qKB1t5EZITkvuUcB2+c
GKULPNhpW5yb9yhwyIfoRui2vto3tC93eQe1rs0wvdD8stdSI9jVKHLnYrWUS1jayWSZIWtdYT8Y
AGizqnFQ8zinXuuNU6AHm6hIzX1CfuwyCSSEIdV/iQxRHBtzxTp7RO/Wtyt6ZzDvfHKMgxSjZh20
ZIpA29yxIMlXgdSwBvfjSod1uYhczVhLnMhQbSbtvhglfsO+3TkZyNWuJbkES77AP4T0QnrxBWAT
GimOKDptwN1UjzIibElF6Pq1TDR71Sb9B1XfHUGUEwl8ttiVqbeLDaf5M5b7/2nvL85TS1U3lfps
/j66ZY0zYzH+c3DtK6Pb/3qhX6My9S9D379+8p/ptS5BtCwLPODncw7t39JrPfEPxzYtA8OahZLy
Fmz719TX0v/hmLqhux5zUNODNfQ99XX/Yfiew1DYoTMmIMr8X6a+ZKn/e4AtZBYmzpbtuoZh+abx
b1CfcLT6JItCues12HGeyL8ILmNpzdeudnE596y9V5g0AKG07c8GgTxguWPcG+25w9dlObu+RWab
hRuFUxz+WxwsbSuddZLhunDcnyoKLu2gZ2C7YTXVYQjLpyyCDYBvFslhcFL4sceJ7G19L8wRaG9I
qjcu63gV9NNr/5PxLMFMbeku22nrzX5QlxZgr3diUeU0hRi5r7rGRHhZ7ipvyHeWRRJVN6JJEVn/
0w3hA1lej3MqA4oVDIcuTKZjz4pscmMfZH15STuoqoY/04eJ9CODp0/oPfuylpssyJAlGuXSijpC
4EkrkKlamnELVNPqToluTlfovdoqRYy5KmvWInUDqM0Y4zlau/BXyPWrhW3IdGN5OW3mEFVRoujm
FmLgsgo72lYAVmgGjFmpFqL9CXl5lnk14yXydUWng4siopmxHfqVMxanqsdr7hI4unRKXJKGBnw9
TBqSIogC4P+k1r1CnSxlQc+b4b2cxgGqpveQEiRR50kOHr5JyaapTx7YM2ObFuKpaLr+qEvtyRDG
amzqF0f297ZVMQlxSMgxSEiaZXX0E9TrnP6EkWBV6tqhL/yLk0+nrvWfdbf4abGm7oqRNr1ZrSnT
KuLwPCaH/rOZhLSwJLZOMqX6iBa8nYXhokn9Dm2udW4U7SZcOfWaKcjBHAZ0vAbGEI1ZakysRx8y
3xthOMARSA6e3p1Ep7+pHIXeNAqoU4ORr/EToGvSWU0KLSDUDmKEH1vGJiKQYml6LDoCzo+biOQx
8spp0OIBZ6wwp9TaKXLC0rUPLe3ut8lcVE12aFwG324Y5siPsE4WxtSTAgvPdRQhlsZQLbzhs0nD
J12kxdqwqhYjeHwi/QGGl24+MBI8xoF9LxIgavC8F2X/TifahesYvZVUhZeKZcGgpn6rmcilWGfd
2WrwVm1K95RSd60q3IGDFstjbXcIwJVc95mxiXWW+tRf+7or0B/3/sYcwcWVsSNXoan1G7J8Vmnb
vookSXdhkEerVlZLzgR8zQaa7xr9q6IKjgG4mU7MCb1ldZFmfwrqamNQqiBSBwdBqtAqSWFwGko+
ouzTF+PkM0qvYZkWLquWtDy5qlt3TdM/yydKlAdVPXhcDTe5BfBQL6ZfUZOiNsvRInqktQbjmrkR
30XMGJs2qSCedQCGoUD3q9xr5FtvX4PEabYMjLVlNxHQ0QTuViKCU/FbFCEkSBThAQWjAaFWpmGf
3Soq12iYFtX4mhnD18gABlaHfUa/hrYfmpCL3Cq3vXE9xTjNmMddx1EmyxbNHj4WHPcYypeMYLfw
OMuNE4T3Fcs8Xw/u6+4SiJpREbn2HHhnN2ONZMYOUr5CIAW3YH53kz3g9zPn2V1LZrDSt3r90x8n
e2HUP4eBCT9Z5Iio9Z/6NP+DQrzWoAHWiHI3bic5lUV1uNW8DFFqWH22Qk9IoIS8nVTTrhS+OKIM
R2FuBoBi/OBZpsm+TB5TWearRmU/x1ZaS5SS4b7OHH6ZXH4Vhb4y/N68qL6GDmK6F5MQmf0g+xcU
OGjmrZdgHhrNCj8StnYqxrbQmQPeMDDPw5x94PlVuCRPGTapZO3ZF3jwPfsLGqbSwHqCArhLR79Z
2rH46kFD9in5EqMzoiOw9Sc3TYFp1Z+IIfuzyfBvkc9W+y7N1yZCqKXvfniZE0L79uSSsJO1bMwF
hVK19ArOTGU+bYa8QzUIOPyeUSVN6BNSaeK/yV3cyEohx7RH2o0Vay7N1xj66sfY7YkYMQ8DXWfA
VGpRSes5LXQM0bJATRrtGC2qfQA9z6PyQH9IaRAa2l2q0C1I5iI6qU+nMg2fS31bk8Pad/1mKAoP
e08247KidVAFAq05Ee9zZk9J3MO+trVuadggcuxlrfmCJGpGUz0kOzum61rGRPpBFVx6Y/ZYJRV5
lX4YbaiE3h3f7bbpb0ZmbxHRAwu4n/f1WAw7YwsaMcPXOF4S/WwljsMZjtNLU7RLadH9rkhtwQpd
MYQIq43pFMQ3+qUElhweSjvQgSf4qwj1xTFRL1wLShJU9HjjMr4+d9LcdRWXtT4t4UPU3jU3rEXK
ZM6x3OwNTLM8OBJG7uSqXdvAqE9QdB8ZpZ5q+nGOdrFAztB57c6u1c7Cff1g6f6jqjXUD50WXzWS
Ka9a0iN9iZytLOqtHRFJ0bSPk1s+25b/FKOCpEP7CrGbcbDXv/oGh6UxlLTciIDM3RJBqmMSBarB
gjH9XamKaUuHkPNqSQARsW5TeaEo7e5jaEZEZ8OHq85+PwqmFh64QZf9qslfj51/P+FzvA/astpb
4/SrHbGAq6EEMyj096LqH9pm1HZ1yPHvl5iFCg5M1hxz1xrcNqOIvRTw1dsGGlV+sTHp5Tke3xba
6DLvCxw3xVeOwGNN/+mrbEcH9jJOdUOld1VnVWtl93hiejp18ZjtOySi6WA+VWQfrTvLeghZgKgE
1X3r+1QVAZlobU7gZqrvgrHB7ZMCLedypCptXDJdIdrA6U5u96aEAsM9o9NQvRMKt7WJXLjoBOOS
NBK+l65br5WhxVu9Y7aXT/K5y0FDjqkgaREHysysQDns+/Xw6lR4pUSZPhmx+2q3w5oXXjh76LRk
PhWGBJOXia3jN+0aSki9zQ2jW9Nzs9FyvVV6+JlLI9tUHsMJYR6csq/5AvEX0zXTuDOFD8CwXbrK
c47CsQT41N5YonnkMmaLlzRh3QXMAz+JjmGySe/cMkRqVeZw5bTuIR2bl6TtKP1KUjHyJli6GKjH
0G+O4UC63OR2z8y3QjJmOXPVuEpPeWTyKjiHTtDXQeJCTi8+9KA0zya4VcJFm+Wghmg/jc0uVfJe
GYV9iAv7J96camVU070imFfZ4Tz2eoN9wRmxfHcqyCOo0JemDDBUhHTtgkGrtyN8idqCty+TiSGz
3TKpjOz7wDN+p6lEkuLgYjcmb4cwj9NS70a7oparZEbvkTETzwfq3N11+T/vWK2AO4N8ZGec61Qf
VOsU+SXilh7jc2iDGY+7cV0yY8SneArJ715P7kcUE/o09EmBteguicUH0zJALKKgSyD0jzokWEkw
4ao1dUm4ih4MLDPLdCpwjVwynVN01k+kw47ZA73VCwhy5kht9BBNZ+yM9wGhsKvGUSwpCTeC24Dp
0WB0DoI1fXIZtOa1dT9mlVjqOPnRvZnrqtYf8qHLzqhjsBawRPc9rmN9gedIzCf3yCo301w1tA+2
3jPpyat717SPJAieCGmjWu+GdksoGpeXoGRsqNU1V9mJ2cmATpQzUrtCIFP9SK3ylSUva7sagLzZ
5cYiK+prmzGZ6ok/RIUgd4Vllk9xg0Ag66L2ZCTMDWoI4Hy7+Xu7rkQuUV9Df8D02rXPg2sQqgab
iObkEKynJh0PnRappWWadzHNsV0zkcuBv6bdJ9pvzjERa/IWn2DHoMrYBxjLKvA4WuSySLXEuQs9
c2HxO8NLywWR5dVu7BjfD9AK72obXIPHedU1fNZm2uSt69Fj0qK58SUK9ImFdVu+l4z4aOkXpKcF
AAJMLZQrJy0tsNL9i6XczeRmp9EFspMT4v4WFNFn57EajeLhUsvuqzXrWTPohMsyta86xcbRbjmj
qGg5pCHe3cAxdhiWrvpM3gqseuf06qM2u4PucYzGfAGWMiHpJzlqqc1bAYRfy758HUmFEaTD1JFO
OOscGNOSHFOfLFJk4ESeMgMbYF7X1tKOqhgtFUYFXX6EMYIGViLvjGF2HmFEw3StIrWvW0wWsX/v
dONLr1UwcxDuIftAHP/ezGE3YWaUZJz7Dyk5OPYciCMBus0BOeQUQ8R7cAr/wSY/xyONB87TqgLt
zCSXKVD4M9DanV8ZC5v8HVBUrOP6k5iDeQISeuZspzzxiGFwd2qO8BGdswGBsnRqZ+uQ8eMbzwOJ
PxPVWzcUP4qa/pLjP1suEaU1HBX/KRj9T1afP9yOc4iF/0krfgh4uZi+KqbyEZcWD6RhHGTXqeH0
5wbXCTFHhm1WkXBTaP3d5NVXa44vasgxssmYSeZgI32OOJIRagY02nNXuSYDaX6pKEnvC7KRUJbs
ialgcBtgpBHacLEdeSz66hpN4i0jXykiZ8kmb4kG2bbWglVi5wc9C8/4p9CXDYKY4BTjgSS1ySNE
aAjFfU6ak0mqU0KkBBdt+yPu4E/lp2mOf1LkQPmWeYrIhRpd7YrBalU7P1pSozSAl6EXLFxoREVl
raYCo+dbpbJobZj6k8xIbYg4KyP1ygUE+8ii92i9l4giIMaewjI4t/FKkGTlkWgVDvG77SMi6si6
alP/yPqX1BY5INEkD2sgF2tkiRND4SrmvKxymENY+CVQ5LC0c6Ls7IoWR6j89Oe8LbzvxGZT9pHE
ZXvO0izQ6ZHmASknvf1rMrK7kEPT0Nz6kuIdRJ8mysdojvoyelp/gwtknCZsAZtmyMW+8c2tJMaP
btyrNxEbBmHtFUg4iRacg3vvqSJfzA/lU1Ccur74SY9bZdCIgw5jZk4u2TT6V4j+LzNFtiC3zJ8D
zMZsQRvkmWXFC92LhGUU1TOa2mtM9lkYEYJmdZb9+FDM0WgoK5HUzHFpbRpf44EANWZeu5yOy0mb
w9UUKWuMh+pd03HSIH+tm4PYoDuLO49/U6I7u7DzURLWBYWyVi5MyHtc+9t9aAJ3CvXL0NIB4MKF
B5v0N6fXHsm8ZYRKKrsWWNesqaslFSCmt6QBXjAGhywcjlOMvy8jX67Ky6/c4QMQprkw+Q5NcxRd
Xbqv/hxOl1NFSOZNd0NbMxyN/Bbfy3ROGJwhzNmKlpA71J6Isfx7hV04YBS50g0PHUuxoXPFMo6g
PFsSmeeeHe9UlSwLIiko5lH6mOWHS86e1u/qimVcNAfwOXMUH0fPeZzD+QZKNCwOQJKL/KOYA/xS
7LpE9xLqZ6Q0X/36WoQw1Rpy//AZHYY5CDCgNV7N0YA6abJzVKA/hwYGjf1khUR1y/La3WIFdXeD
zPHJ6bRLa/YvoqYFk89RhHrhrzUlLmiFuS7mE1bTEs24KS1QsSPftnbLcblGvFEuihTuCViik5rj
D1VoAGVicuwVEsOwknttzkqcQxPzkvhEgGZPtlG3G0myoknCYkfSojVHLg4VaTx5Yu9M3V1FwmQk
Tz5jPgc19s0ymdwjlsv8DMKrecrIdAzIdpRzyGMyxz3a5D6G00bvJUPEDhu0WyOJckiYSMiKzObQ
yCHEgpwY/a80ItMycTVmlFNFrBGnDYNW5wqu3NFE485kkkRK5o53+fAYSWRDfhoQmdC8Y5vBx8/C
pifVsre0cWfTy1+guz2MkgYbfrM3Bq5wXDRF2IW+zvwawHLFtBYB0zlXCNc0GCoLNeXkazq/044v
aOuWVJJ29+bMGZx5/5gkCP3DqkKQCkSeaTNVSZ+45gHoirMWhXbfJiJbsne8koLCL2WsPZhNvBUi
oLqb7C3XVBfWB771jqTRC0txIrK52PZukyDnQ9w4OAg9EAmUhI1ac+poU9PeSI2xexjaX7nZD8t+
zihl8kK3yjyVreWRIKGDd7fIRxGMFwoiTpuCRmVS1Oc+glEy5BuDVuwdDLthVWrM/MtPO6AVGDnR
rwmm2CKmoEPwZXy6gf2VYu9e90nA3MVzo0NX6I8VoTj6nMnKIPPa6OE9Ho5z4HUc1b4LVG5EJECV
w1qQqGrD0507gDdX0k8+Ve1HSy/qjmiXTpMRrGOBO0W05oxrJbgNUaZG3IC2ywQhONlq6lxeGF7R
MCbnRKd9mUXNfZKbT62W0xwYtfdMQ5Cauvoe5bFJNeaAhtO1EwRLMyDZVukOqGzFuk03442ddlBi
N1XQvMBXoh8bOqsCMcCKqIUF9h4CbVM6oxkZvm29kiDgf2m6eCZQcIZQhDGq5G7a0FDdEoW4DVzq
Dk0hFGVele1DiKpFGOUsyMjyRWK5auZ0X0nM78SwhfE5nseGCOBKQ+QccCjPJdO9j4N1786bsAbT
KiNSTxyjvppzrrCKjIUWEzGL0syFAFv/dasKq4mJZTafNzRtzxeFipBaZ2l79D5vmxS52X60hLOH
ccgBeHuQmRfJQjBrFzXnzH0bKvhXNKx2kSkQPLXGmYaMvb7Ja4pMl0taM2TpqCJnNMrGDEPUpc0c
xTzecrWRIELE9SqKjcjYgscdN7STEVxN3bZPU+JvsqxgbE8+yu1W37Co8cZdMntLE0fu2vw+NUqF
lyeuDkHvU4rc3l0a6JkKK1gSCoXij568R04w73v7MLdbtMRz/u3/8hirUBxMDMZqm39ilyKY6kEj
LdEWAgmQ9H1oQ4t95oi/NhIh7oLJyqtppARW2zMfAlbgCFSam/BqMIeUs3vAU8B2VcP1JxM2IQw6
T9SWfehyFW345hX7Rs36sYJgeUO1FjQ0NEq3Tcu3ZtUL/ef3Q8L29qxyi00pWlpq308UI1yL77vR
mBrLseHU/v1EnzPAMEsWc5gxd3QA6w2lJOTJ/9n4Fd5+Ph0PKtWsykrki8jnW+DVPupe0Wobt9X2
WQ0QpwlnVE1aPrpJkJ7ykPVwB4ABWmbDkj8gay7Td54Fx1XvppXRGrAjutRcViQ/JS3jYxnvchIg
27QlmCCjWIn8/2bvPHajR9As+y6zZ4HeLGYTdGEVTn5DyP303vPp+1CZNV3TQDXQ+0YBqkhlSgpD
85l7zxVIcctTAmLC+JoX3PhHbOG3LGgeYsz4dsK9dAPdWOZ+OsZHIwmhsC8MeaFBBS5EgJ9FJjKD
jLgdPYF27HHHN52ZI0JHgjbd5bDu4CYD/U+h5oSq+ThyGjqSwFRxjvOnOWlHn+TDjcFBCRJP+Ypl
biwT8mIvnZNHkkmro1BhT5OMiEwJeT+H03oTwP2vkY/klkF/UTNSKMUlcqUSZVRVFN5i1qBAJiXZ
4jLkrop5bMF/RxgnLANkxIQz9yLOBbSShTj3+zIY3qAQPokTxOyEeZBe7vsxv9InomTWKmOXBSx0
x8Ygkxvlb936RNvxpaSIk8NPet/sUglS7OlBZrG0AfsLZLMpqu9aLs+t+BCq8rZWaFVWhpXB3DPX
nlMJJELaKD+5oN8bmmqigQ4ZkoCdglFjENQAKEdyUhT5CQQrCh1tk6fmDvtRw/IEOkE4TI/tbOyT
9HHA4AePdTwHvXqzIEqOVvIA9s+p6vKZYTz9PkotWsniaVa54hLLaw/98B7l1mX9s5UJLgHlHAiU
SnSiOPkuyhjzyVCxiJtfg1p08wClvyDmd001XlSBDc7AUJYUp9ei58paLs332CivHa+Q8AVUEygk
lF4mhGdmhl3K96Y7lj32AgaVBhTm9mV9dbbKuIHIcX3xYWN+GEN4scA2aSUoEka7+5F6ohsektCk
c8OrIeLUDqh/Fk6PDCq0T1zLU91N/iCj8IhwbbRjR3lFn8sEnHulvKtEEhDa7lGG5O5qiN+5npEd
Xsd+LDdEOLGoAZYHKTjOf1ISi9iYENZawF+NS9J1QuThdBXARBu8hNL8CGb+S0dQcmgrZlDAc6FM
gco6C7M+bqyxpu7rNLr7qGHi4Gs9Y3pzBTQoqTls6yjWLwVTzFIj/BY5/ENWFoWLsqK3i4WXULDZ
W986FkXKR53O7qAI7w9wuiJHDlhCGL32KugE/nQ6to3EZ0upnmRWcMnQCfh4mHmjJC9IRzk1Oub1
9fNoyrjwmqixINK0J2nVuzTiB9dKxSlK5W0oSTEnc4HUh2ZAkDR/wWeEjJK5odyEfjdmI/+6edTV
lAHCjFNRUs5hUVXeONaNx7wGanCiHfEGDlvdKMV91iWfMzAqCBnXWG//QGMUSDWByJqvGQSaMNox
dFA4kKFD2hqBlwj9i0h5Xyqk8KVlgpu0jotVo5RWvsd8aNBgMHMtAehDikcfxIP1X8WxgSg+JUkB
okxpqqTicpIG8cDpWD43hnSGETWuMrbRbVTBz+pnmizLZt9v2sA/4N6MTbKzIAm0KS1lnmuPbNTx
TIQMf63RoHNTBKaNNQwCIENxO1A6x7FTv4n9UqNVwUuWxHwkZnPQjPJFFLQHOIfkEJKlGC0vhGPs
AHudOykEiKLzl2UTC2Lc74RRk7aDHj0mEYGHJviMVWfVcqxgPgtnamOQVryva+1Ot2XJUFowm8Yy
vBdzyzT7VYggMAQmN/NDakjHpoGQRgnWagXIMyi9QWXegOF8mgabGw4bqCM/crlcq/piyKQzqYwB
cQcz8eNfJFrKIrgOXtcDHveVCwPNFYCU4h7HnVQynOjVa5qSETgnH+0Qbi29BAfVLYCcmcVZo3gh
1YkaF5Olo81kp5UVXtVUuOUpQtnhUwjh8plDt1s0cTcTQGnrTahsVInlIeG8ypqLqPWhK1cmTFcD
ELYibFN9fmBOddUNHbZGdy1wsBQFpK1MOf/+3bnLsJKlcGT1Dr+kUd6iViw3MqoEaaHkVslRRCht
kFQt4rFkde31avYELxt3WhYS8lDMP8Qv+qUpR9x51h5RY8imybWb9LfW4FwaRJh25IycrCK46XC8
FHJW/Fz9sJjjgmTSviquW3D7921TPyV14rdNdNDI9VGsYR9HXBUn62IyTVK6lQ7URVzBVOWjzea9
AGC4M02C6D5FIFjEaYKFQPvQJokjFoYEf4ate4Oqv8Ee2TRMWCdxu4zNO2NcmkUzoY3sfNJE3oSi
/iA+5YaY4txYmp1V6rLthiBzhtxYXGqQYySGe9FSHzVRfakIctRzXgC15S6GUOfgknufQ9QMM5P3
CilFxRoGKS9xHgrRuMKwTzTdZR34IfaMjPusekqGaT/EN1HrvsSQGkdObXC7cBqHIzdaP+uGs8jN
QIpY2ajzrioZE0sQhwnOldb0c7btzRoIO7MTI+/Vb0R03RjUT2Ycu7OovtZQXtheBYcy6AiBm12M
JBldIrsUSJNgR96SfnhpU2TnchyflQjjL0LhK0bPb9NkgpSq/auZkXvXtZ/1rL7ndfFcIIeEbvVU
68MblgYM9OR+UGsUHv2jwQ0gxlcxph9Rp3gW24kN41KEZ82nxueJsZ0sUhb6Uym5ZialW3O+h4nQ
XZNVYUzEhViDOKsm5ZwFEhF1NWol+jZoaJxKsJlig08UI9CE4R6bWYl9jz1l9cpA30GYJLLw6thL
SulHV6MICLhRsBZTPMIRTmLOvpiULRU5AdFKw8j+Vg7fwAZ64lwTDUHlo5rcKZGQHJi8XjRBjDYG
yJ9J/QB0q/JWPxLA8MHQLLOh7PmChaZByVFkc34HZUjgSqfbjNhw5MvdYk+q/gg+bzdESNxinS3c
qMxHYtvhtzR6Tt6oMXMp7beh0WlnaAQ0oLLwVdb8Fk14Jv57I7Z1v9Fz6hatAeVFnoyK89QVYWDu
IkbGv+W+0X3LOvOpLhTWeGJoSvikSYGhUKm5ZGJXJsngS1iFdq0gfbYNeFD42IuVc/gUro6Qh3RP
zULWgcmOn9tiXpPip1QuepDC6UpzuohA/g49mxKFGFDSa9nIlCxIy+DRivVXMWIvEAbTaU6D504c
Dnprkg0MATfoI6IJiupnXgOjZXm5FsniG0QAg+JMDyXtEFMFViEd/CNDIWChNz6UNiYFxcDYPiUS
gyRyc9NpW+SSq7Lht6WVBRkxBtmwPRj9UsDhQ8jmDpcfUzqJ/aQRv+BeOvcUkX5gwn2w5PRKCYRG
YTZeEd5scUEQlZFE+L7EmVeksOPuZ1cSoVRk/cPMcHXo64lLhv4+Ma5wl5LrCh8uOStCdKvrsHal
oAzADHl6GZ7LqH2Vl0Ryx0lZHAFhUou5TDaN0JcUVP1sT/ZW2OFYZ2JgsHFlGXSoWrqKstUepGAw
fMWcnjgUiF6vL7I2jjtkP1eBhPRRRJKLfCe044IbWR10bjKNpYM8rHYo1iSqZl45lyhErBheSeO0
idTlVOFc2cx1SpFnCAimdKv3xqQAzR/uloWs8pCGUKzhEQwj61KpU0fmBPrFgmnhlVp8yphb+eyc
RX+Q0ptWKZ9VmCZHUdtZ6UNDk33FjXSYohDu4po2sPCRdDmVDTesPBlwl4fmsiMDBkKCSHJ4hWpf
ZppX9Tl1ZATLzpqeOsZCo1zcunI81oOs2+zwn7u2zFHcv2La1DuihIUW5K4ox7c8Xm6FwpiuYWc5
t+F4C9KrWYaHhZmIITAWK5neI2cevWwR/jTLwkopHnUuy5Nll/Kw07T+j2zlGDeCGVqI+KQK71mq
/4g4c8dCLg5KgXJGGeLjIoWLa4WyRvmObRGLmrwQSq9xWBdWxQYDPcHSEmyfFZ6gR7rXVzih2+5h
kCYREb/McLDrvCCSYgCFwNjltIYpqoC67+fCITiHhBwRBaCCWaWf130gUMUssJfSwr2hmtuyMHxz
emY8w4xQFwzP7IZPwjpkzNfBfZyMV0menhlHPJEOwQ2uthpfyPWHqcCg287fUsNENuspaRC501/p
sZ2T4splYrdUYu+nZg9ecgzxmpfcSISsvSS6SjIWsXMOfgUspkRdW8zqQzP5WDK6tj5/HTPkT0H/
jgfdK7qGvXwV1BRU44mF+InEQ90R61C/sps1lOJHL0jdBVAYgFqbEmek/QyXfNsuxtmMQRDAKZbs
mVv2Vl/kMyxxCi1GnZoCpyv2hxHfcDWBGJgL+CGZRBZFsuXeF/ql9NRbKvEaMsVemuWFpxBXa2b5
JdEgA4BdvVqFfB+M7zYho8cyozUh7bPq+ldwUUHV5KcM6z63PfblSJbIRMgyPwjwCok9ba6MBaqQ
1T3r7m0ao+S3Fmbp+Ajp+gTmfu5II9ZMrl7mT3GMoypXFox3jeJY4gJrnfyIvvhTF2npWn0okdaq
f5KiU23SPNHdIZZuEU7R3TQWXJpn/bX/NNFxb9OabRIjxh5E5YZ0V8Y9HS1XUXnElj7Bc30ytfoU
yRh6TFPfYCMFPlI/xYRV+Lhc77ospPuY85eCLwP7IFeq009RCzuWOAlUMr7cdWzWiq2kdKPNfutO
voXMyXoGozg7UhB/6KYc7wZ5OLeCxnZ+6gcnA/dtR/E0O4uq+VYxGDcBcoqui8dEUEY3YryCnBKK
RUmoaQw+NJYwqwEGcEGIDFtN2MrV0F9TYiw2QOBQ6A3scImtxArx/as+/l+F9r9TaOOmg3307wXa
zk/2MX40P/+q6v7rZ/4pzQatheBZAd2iQc9iGvP/gFyG9g+k1zoLv1/Jtgwd6p88LusfCKbxq1kK
QklRkfih9m8eFxQvVYLMxO+TzZWh9T9RZqvGfxVmW6KmSyiz2VtZqzpc/P9JT2kyRIlEY7sd0hLd
2FDtF2lY2z9zP65JZfGaWRYynt3QGVlxtRfQJ49rupk0sEXI6xUZ3CKY0CQCMBOBuKFERc4pgceY
U1y0GoG0G080MOtWbRcehiJyRZOuu1rDEuE/dYcWkBCynGPfloInhO+mzoqg06jXWl3vD7GJfBcB
nehIdfQhwvTyW0PHijznu7iS7VhnmJrqThGtVehihm48lz9pmS++2q5qc14iXnHk20X7qk4QFype
lqSgxczeVYFMpUDt/WmqO2eeddO2IuN5VsQQQn2ArbgR3HIoUrfBG+9yvcdZFIjpptDwYgAmLpPs
gDCOhW2vdQy0ouWgz6FfLKpfGTFDD4kYnNnEYpFPO7MXl60hdrWntulFDsN3BnSEo8QYr1LzGCR5
s88XPMni/NiXAaGKBkgCoouYIJlkF6mJYbBAxNa+hOLbwg3PZMjNlkC7c/mvXJwu6T0Ijbe44qp0
4n7O5K1D/tOo0s9SGOyJjepBQnZuW2jgp7lvHXkN+Gva+J2ERDD8DBxTSuAyR5Uxx13n6qObW13l
5fkqLuyYv4l/0hEHulJxaW+S7l6FFcQXic/eE+XuOZdDxg0TIbHaEh4iXUf5Gn5rSIvhAlPmSpF8
bQb5qqXMfS2LiJOxj1BSo2n3zlEqPzTpODpiCD1RTWCF7pdBZLMq4ajtcfXk1P9BUNBEMH6w22Y+
AHUmJTuBOVIyk9Tq2XAY4MGNTfDn8od0oDab2OhOXYmhuJfla0GLNxP1EQyIcwKr2ERTcR+I+7Ph
JJsosjt7GtHCZ2mBMCdsd6kZXmUzP5ZzftRYwFb5parTPTlSayJ3QGBbwoeSzuG7pQe7udIfKoFy
I91linJN5/S91rAvGGV5XxtVwyyyZ1oCe9oseTfZlRJFDqpJttmGsO3XVKuYaXcVnMO+hmWAFctI
WIYFvHLKZzr8TrbByTArlyQvH9CGCfXCIl7EEzZnWyUUVgIwct+eVeSwElxyzvFNNUzk540qcA9j
21eU6pYwTjuEfk6Y031Lk1Kwd8kq+ljESJU47+IkfNQlc9oUHWNM4lj+JObN6qJDO5q1C3PpHNBE
duG65sOVd5rNe9+045nx0TEXdR9Z3F0X5u4mBJln0SsVUhM9K1XmTmP8R5KdIM+LHR7nbUCEyMbU
OvJQdWubzHeW5K2bTRIu/xQEfnQyMpq0DAZ5OTWx32UUpaLFirbNk6MepOg2lBRyaS4WPP/aQkWj
btqUS03aDPGu+mwwVF+0ByWLur2lCAA0Uix267VNiJkHlgHpGoTKzyPe3lBEC7h6H2SGP7BhckpL
Ei07hM8K+PUGPIVeVo4qrEm+en2t52w6Kgu6HLljFFx3c+hSiDakDlQqITwMRCVG5suQ3Uz8cduc
tlpkTOsFKWMUoycVgrCbszUgfQqszVizGQiQwpdRvSCLLu5thzAEhfsf9AmS362BfDPJfEa8F/JF
2o93+rntAC2KlCC8GpvQki5ow9Yhyogd7iqT+df9Ff6HM7wiD9AkFzBZAwJzWXte5OIer9GBwxoi
qK1xgrpKsCDhq9KugB8Clj70wgpLSDYRRFjJRBKOPAFmA80h7uXmIK/BhZ2wgHGeHLSlnjJPz4lE
fa6vYYcDqYfkKHTbmRxEYyIQ0ZLgmZQBIYnJGpcoywQnViQoGvlzs1745TVakb1chXOCLhcIRLdd
SGBU1yjG9DeUsSOeUSOnUVoDGzP0I2U6aj5+N3YLa6zjvAY8WmvUYxEALcpJf5SNFiXhmk0JD4HI
yoyQyHCQL0Khkds7MAAhlFOwozVUMlrjJdM1aFLQjWSLavGBxVCBFbM8KROxlBhbNIe3AjcGzppo
Da80SLG0MCn5cDBhtqwRl+x6UInSqSVr/GXU4G6PO6QEv8+iWZ/K76N6+RMZBGj+/kOOw3DLgfbX
syzWwM10jd5kxoaQkg3lbyrnXw9hOe/M7llboztDMjzLNcwTv+Z2loj3bFT5OjFQgfoO4oYoUB39
xP73USETD4rUgfVyoom4LIc/uUaIaDmzN5STV6LQRQ70jDl1v9APoMYUZ/USrmGkM6mk2RpPGq5B
pQDraEOMyR/JMK0nMq3+t/L870mwKsu8/6703H1/ROW/1p3SXz/xd+EpSRKVp8L/JFWhWlSpY/8m
wUqS8Q/gM5K2OvvMFRH7T0egBQdWtETDtAxLtWSJmPm/605V+gcMWEuH26ohfaMo/Z/UnQBfMRdW
Jc7Rsth9/9//o4nrrxB5XgAmJVVSzP9aeErkKjC00x+kOSFFBQ3TGMXhrme5y6w3zlD4ZJHc7X+/
VHE3eHoY3ejVwXdIMXvR34e/X9C+GJs2aU2k9Fqz//2yANrg9syX338spwR9QJFFXjYiZaeoq/e/
X/qwbPbxqmH4l+8JBb70AIlbGoJ8wUQNm2X98vtIbie+qTZmZRM8x9gMxti+Smhx0TTyMKjxbY0D
hZpavkDZJtRbaHK3Jrb6YGjmVi+jS6BabFC6+mGyCI2y2Hqu4atgKQ1okn/V2Tq6dSbp+Slqc7uY
CFeTLABASteL2AF0AqAsY9fO6adV6K2TFfWw/yVBzhgVKNKpC2q5vfzCIDGY/RMOGdbVbQ6VwRMM
nlOYmIj9rJ2BJDKuxXKnyAsD/hanoKaZ1X5imLmynXnYNi0P5UxEjoFSIo2FZvtXP1CxnP59FMel
AUnPq8lawTXEF2mpI2Rb8XlCp7SNm3kbYvnfpwiT0inc12EQbyeMcWg6Bk9ar2EfCeiCKMWp17XG
bhWUV8FY7cJw3PD+TDs1VO95HtdO2uV/YR9/EYvSSnGEmYiqODOL/X9+CTWUDP/5j/NKmXSKMblO
ptR70EHK/e8XcRWb/D4yluDv78mmrCNEBR63Cjx+n/nvF1Q6xf73e8Kis9ihIGXZyVyQBRkEySRB
K5n6srDN7gtz082A24YKLEzs+qqAL3EQVdVPlOwGQRDfDRMtponM0DqvED1W8IPgSc7AOtkLfEBU
mERsc/7gxlkTW0+YX9/feGT1vqXY+TNZfMgh2lWResZbuRkpKfRDaxxS6VRzyL8SueYsm+alPJFf
n2guJNc2ZXpOviRF5HJWprtafZeaZ6bbhhlVk/b0QRvCx6VuT12OEfEwjTb7zB6Zry1t52G3fIpP
EfUmzD2WWTfaIYMkhw0yW4JYDjpxk7ENXsDiLkQqNvdE9QixiVmtymD8J7lYIAm5wTB0BcrKfI01
8724483Sn/Ue/9H6tjHSAz+4qKgknBgf/+gniKmWzo2sLRPkjMUOyjkUtwZe3ofK+qy+cxed/XBG
XHvVnwVrYyEuOnb3gXQSorAclmtL76u1LVtuykDNtAN1Ex/Ka5Xa7Y3vV2/TxnA/0h15eAfhgRB5
Nq/VG42RAhhDtWkGTNYpbOJVW8Ryz5pho+5bfJODP8eXChUY9tqfnpjy5osIBkS7/E0dmQuxs180
FmnHWBVWPbAxkhihUdriB57EtWBEygypy29UBkfg9tAEbfqbMh2Ki/ykvNAhY/uqkZ7Dqgud9gqJ
gq6YlOc9OwNWF4WrsFoKPZ1z81aZW5ym9C8ECJHIt0oz7zrszU33UnwaT8Wz5WbnZNzQ2hk9wsM3
pFjGdkbry6fI1jPwy4UxmQP7uh2+DNm20ifTZ2492yxVaydfN1+O+agcBfINbF4Mh636of5Mj6sM
5KDvq123M9mUxK4gO/T52XfZeoh1EpAHX3nN/o5NspOfZIUrxVZ9Tg/EitCUMcYq78Oxfp4u8ruZ
bxs03OyObQ624WgCACWrjLzAPTNl2GNW63JAaZlHLAxThto4dKsK2w7fm4Mb70TdLR91PMR8Ejbe
JapbKXdBt14RLyx/rH1GkO5Ghszpol3c63+sr+hRObQ/6rey1z7ib+vKdWcGEH0PXdbvGuPh5SnI
ttOwkelQy0N1aRUfgJ70ggm4tq29NrOORMK7Uc/AJXbDeS5cDHPMyWfgqh/yBzbXMtuaHA+5V8Vu
9F2T3tlsKud7OJH/M5wq5p4v6jGKUYd7w4kuxpVzp3UJrDLgXL0yr0/c7ASfWjc20GCd5rE+dcsh
trhmICLfmn+Ih5ifxcUtOlfpXlvljWtHMDPAJfj1W81pqW9axM7HaY5ispM/5sVG7sUpxS2XXzdB
ZcWH+saUVNkm313oE8sZb9JteZNwUMJI/Vge0dV/lj/YNEIIIdtZ9xgGgUqq2bC/zk/aMVydSJvR
D111N3oTrx/L6VP8xhBj9EqAK5vxHfr1sqsuSccsadMEPp9l1DpB8CCKu+ox2AOkLrptdhG+2F/y
+Y6Cy0fPuVc8kpXNH8TgxN+Zjv1zsOymxiHiaEbCKngmr4O4FVQa8JCng9ZD/9sW3Oi47kj77DHh
oGyIq3UxbaSbyNqw3YvKjUKiebJFSaZfOb2v+Sn5ZHRkfYW3jrC4s8HSdVF+SGPx2F1ErPCn13Jg
v35KJd+6wzKaBI9fgx4ooQ8Xjobw3sJPh2xYtsfmS7p3r8HJwgQyXxA3DJAln0eoMeUz4RmYpLfI
A1LVKyGQSc/zKj6/ttPZEP9EPS8fhADOSg5mN1APeubm2U+e4LdzFGlDgf9aIZXHmYyK9L7cg+Fd
bn9aLrKcvfXsyIancApVmwyqGXtDtp8XfodKqKSIcr73uFisrqSERRO4BJR4KJP5ZFjmvEfDizo4
ORS2aUOO247/DRtce5PLC+P6zxbL0/fRVzjb0uZRcNVrmL2miIAeCp4ursbTuLODVyZbK8qUY1as
vYx2u9hO4degYygBXw71z0FSWvDW5ttF9NCDSNGlbKAtYUPAw0DM4qYp7HZ24pxs4xOSXvA9BLT0
O+SGBGpsnupiR+dOOKfgqO3VSCeMT4f0zdor++SmH+at+qCcl3PwZO45oiESHIRXYxU5cnDDFxft
6pWnQHfYtGchdiLJK5SHqs0cpv1SsB3iB7YeMhgpDZ2lHdwyd3wsCZNhJ8/tYYfcGaxMET/H3UM6
HUf1BDUR0rubes9ILvkEtW8p+lIjL1gTyJHcb8rSAX3A2nqD9w4q22aJD/qN3W3MLgxS/WcHmxT5
GRaHSNhOhPPhqkE0yp4/5Pbpj8njUnq9BpNxO5D6m530wOa/ZxQYZleGllgbU8FmnlfduBA9rb9q
3OTnCOEL1e3G2mEnrZ3mSbjgj5P0NfwpYVOIIJuQn584vcosdNDSM/+Z/S51K8TzhMDWrtYzY/NJ
Gk5rFyBvgn49fcZsJIMHYiQmbeIvFB0n6y03N8WV786NHxyiwyQ8mFQatvlSVw5P6SYfkDPMx8k3
P9WX0hGP2Q1A67xeTrs/guE0D6G1073G73pn8GWH9YZbvHdXwR+uixteBIJ9d+15PChv9faqI9v6
ad6nB0Ch5hnVJ/8fHUhp93Xs+D2y0RME3lcRvy0WGVuUbPPAe8QUjyGogRT6PjBPArlMuWrRK+wK
0x3SZ+UC25YFP3uegpDIYtP44qf1Jr707cuq5HoaUme4kj5JFPl9PlAr8Sx8anZt9nvdR/GQ7bNT
odvJVT1k1/llfGmeeP/5YzGzlKugb5oHbhwI6+1y1z6Oj/gQOWIJhK88BoQLTNe98Sw9LT/R5Crx
Ni9OyxOwSFBPFV4BVrhu+NVf4GJgheTWigqCY8hBgk0InZFuo1u/C+/Co/HNgQN34UnsXnCta8+S
4gOfBhtEE6GLeInuHUUJz+QDA5b0nPHLyHQA+zbcxsjXSh/dYH0wFBIKiLDzgmFzbGwOUpE5KTvy
4j25dog9Aq/t3YxRpleS853e2PL1g6+jpmdqlHud7ikfLKxLcpA/3LY+l9/cpy24G7mnPDcIMPzy
e3EFv3voux06eDl4oquqz92T+EmMgfVqItD3iA2VVnMUa/kTUdJgmPOR6vYy3JpbI5+k2B5uMMKt
dJe+xeOmZ4l5qC+zTKaEV9/TL158rbjjmT+AihCZLGAnRAJgJyaMZS77fmwEMtnfMWHjm/aMcJj/
tET6D6Hvpna7zLCLzDVFhwM+eYcVGTyk5+CFZ9TPGOtiuwjPQwka3Uk6j7bJ+qNRngvQju0K8dro
N/HdqD6nfNt/1wXG7dessVN4yeADPKoJ6TzueM9zrH2gZJTWASdLzQlLFU2csqgObZm5xzpr7vFe
IZ7vd0kpmfvfL0ZUWHswdbSWzXugZAMzH2uNiuz/fvT7vd8vQNiGPSQgKgwU+diioe1XvY48LEic
ppURXSvs2AFcopmPVj3/76ORlIW/HuWCwPMiYKDcZ2qb+Gk2HCaoMqL7+x+SddYRCP7vflpFUeFo
+kgdqW2NBLVlKrzWTTi4ckGlqLVMWoVfEfT6B2WTNVSs8FZbcUvs3bwvhqzbqsvstEFBVH1Rc9v/
fahU9Plzlo+2fNG53CJaL18I9vmBOJ5y+p9o0aC8p3YMIKbxNUR0oc1QMjZA928m/ipnMuwFTC8/
5q44NFtF3Q2EAaNR/NRJvTvS8STkDT6weopJQn4j+i8gfOuIT63FsYJsYp+eBrSgE2AHz9JhPDiq
/tCfQALb8l2/K6cZxz5UQQA9SLjIaDLc/Kd4mS+Cy2rsx8o3/A3qzxcz2gRHTCqn/k1+o0FC8Ovn
D4mD5h6Dz1bfWNc5cnpPfUN0807XGY6uCYV/cVAc5qZLPYabY3ipMQ+/Ibu7SO/6vfvE6R/+QAfl
jVbfSt8YvTVZWcdXDYDURSQg/wzfyYUmtcpu2idbnetEo7Vs0+iGWpju7ZMg+R2FB9qy6tgdVZBH
nIV/BNnuXtPt/BN50jtYiPHNuKqOzltnbuaH5JuimE5v1O3grf0p3+vQFlo76ezI8KUDb179Q3EZ
8WMhsw+CBXFAPjf3IcA+vIkqp+TqelQ+gbT319bnE+moh0+5OwJOdSKPjxsoz3yZoUZttWu3D0HF
bZSHWWJUhMlmoyBCQLP3PeJASKD3ULJ3yXYC+4tjh0seY2N3xsFEm6RslhtQj9fAqwK7K51OBheN
UI68SOBSXnjkqKygUn2igKOnGl4wCIsMW18E92uyJ65j8TF4NGx4hTt9t4ib9BR4zezCTNgrW6xg
SJl6v/skcEv95rfWxODOdrGF0MyG7LMAvn/vIjfn57d84ybc6pTfoVYbBl8IWumf4aMOroTRnp4w
OYfqBu2HBsVgdBO01G+tsjFuItZQzHM5f6TaZi9NQIdPTYULZ5PKqP3d+qlkd+Co+/CguuEVRDPa
y9Gvb6g+qtjjMDIxyrN/Gm3FJ8uXi611Enf45qZt/5SctdIxXuq9dDAnPzsTBHzHPqywCP42bOUa
DK5BeNwTfsBwJANlw0b2c2pBlm8ili60lnrsyt+Ytys6KoGVsM3rwPYPsDa4E8GwnV74NBBjeNU5
YCD0Jqub9KmS3PxE98JerA+38btawdMhepxrcOkJ0P5vFOfXKnfbEHw9BjMHTXKt2QHak9XDUKRb
VWLetYEINQG3UG894ydunLmt0T1I1578V/YwbvJhnGgHcvMPGgxFOGnNTqB3/6L4oz3V/Wq3Dssk
3GvolV2NDqX+nRgwI4htGrI/Zu4PR/pI/Crj+8Ly8QOYd4Seg/tEy5Pw2WeWlKXcSluv/9A+8y2u
uIWhB9NJiA14v0Kidx61F098nnbVOWbMNFHEbNfdg8gOwkZpPXGOMwd7Kd7wR2CbRKWEhWKp3elT
qhyJ8PPfeQu67Pf1KHo3f5giEAF558BAecppyACID7y/MhUQXmm+tU8OkugVM8Ak2PU7Qjzts52v
efYQJR5q5+S1/+ESRxwdujnyBzNqtcNwaR8EmZrKGV5wVSV4RB54XgwndiiYdIcpV3IZ3y0CKFgr
hxAUCT1/SSsmkyj1XPEna9z2fa68njdtPCW8C9y+cfqAwvrTMv8idQcu0Du+NuRHuS8w9gnj/Xiy
aKaJavgMTI8oDPWE0zZ/RhTuJ2e0CmA8l5f83brN2kOeumPvSJKdZdcsxSq9KV7C0o4IvWj8cDy1
0zpm4RKqJw9TwL2X4VB4JCJSviP1RfNwK7no0TgwdGBOgBq1Pi4vw6XcD9vgPjsdHyco2CtjLXti
kV7bzXd65SQJlbuhceM8LcpWMT3Mbnm0t2KPK7TitE+yS/fCJG2L3n5+yq+EB9Snanxm6sWdKNAu
6MM4sbnlNJ+GCxyLvuqgvHDuduJmPlVn/TJfgDoiHcdvXIB1gdS00feKB76OdpRfd42rG59jPe7m
p/VKgQLpzifPKSe89KRpXOOV68D5zsn4H0Sd127ryBJFv4gAc3hlVLKCZcnhhXA6zDnz6++S5+EC
g8Fxlshmd9WuHb44NbolSFO2GyZqAzvvvrplT9PZ+IABZTk5oonfWd3A7RqyvfA1aHic++TkLPEO
tzITJDTxyf6sKCOsc0gVg94Gtfm4rYTfv+vNjVE98TKyCZjvrig6cR+grtBQ6tphUJ+62tewacMn
Ao6dwRx9F1cb/H+J+UaZpaud2yw7cQmAsMxfjlqU8ugJhRw+2p4Til2UhZVMT2Q2w5DtX6Zn+bfn
Nl953OAnFJMHJA52lzLvxQWakd7k8QdV1UUahHMMghLUu2z28bFCLmAjHusGHmu7/IwZJjIJeOtY
jG/Lx/TEk8aGDQMrJfIdWoP0lKc3nKRzxcm37VYh2gzrDZZTtaVD5VoJyo1qYTK8dcNTi2YmDVTh
eXxs9Ar9La+d661eu2nDc6FXh7wHnVQ+tNkzSjdH24Z1F7HuZtDMvlmcsLA2fxKP9hiZiS9BYyk8
XXphhGu0xJ5w7nnwyJD6soNcH++ZnaWBLeCwHG2WWMwHG+0rp05RHzc8HJ/iGjL1OUt2CzEzHV0l
xzYMGIiNoZNUSFYcLK7Ik30sFBU4xe/zC3HNHaKYYXri2GgbL6FPDh299K0j268Nk/dO+kJMDSWj
8oYQ7Uy/Une1MCMZ6S6P4o1DEVDwkSb3U126aFsFKf5GZ26K8qreokt0U380yv/juB97oE2cTUh6
shGCnKQH9utK3+k5IkvHGattgWUsqiEOWKROAbhIqNviDdMf3C3gs/evhHthPgnbluGQ04P6PKu4
lJ+kr2X0ACbXr5lLQTl36V+0yjbvC8RVDEDc8NKxkTzg6IxusdqmtetPz91N3xWf2bPooYGpSD+G
UGC3f4D+MG2lV82f/lntJlodvFodxjrlVpi/62rTBdHG/GT7VVmW6BHtVfXFKxeWvB2e3e6XWnxM
sdG1SbbBS1v45EjPdp2j7syn+k2S7OgfSmyEh6t5wyvPThXHxOAYEgT30Al3GUAYn1IfwCoKf2sA
0ymO9PwfBqLymGpPHty2xuHenW4YfN8LngAKvImDzy+gfWlOQXqdrf+L2YEtG488BttgpFRq8ORh
VO8wZf/HrkugKjFfwimCE2n31/JH9TBtLFt3ZiXY9WG59BCqfiHQsoND16nBgXBJYvgx/SruskvP
zXO0YbV+8yIhwnb9AbC0rk/c5GYXblVKt4A8Cgxxkw/z3hxVb94nQe6Xg01ezCMODm6zM/zjWCY6
NX+Rb5ReUMVoSnb5QTppK+58Dl9F4eBSnD+zR7XKRpb8nAFZ5c7ao8wIpX1kHpD+xYnfw8zCMJ9b
8GV98XBiMzC+sljkH7l3uX529zTdw1154untbvPrgteNTcacX/585C/rob12NzbFFPwE/OYloUzw
5K36vn5Zr2sXLLcMn7oPziVNPUGXj5dvDhrK//CgfIQNUW9785vqRIidEgesdBs/F5QPL9qlBtC5
ZjIv2SaPEOerF0TG+eu4GX5z+p5dfsqe5ov49tBDbXNEs4dyr2LTHjI7sVFWYnkJQ56nCXmiZz1F
Z+TP8Wb21BPE04muJr3LvuLx7Byw8NjATz5b+3kzP09vUmAeWrYkmqUjTs0s3f4EJM6gIva5G6gV
ZQopj+oC+wbpS6M8ubJHdo99w86/JOQ144bynXhp8YE5m5B26cbY+agmSYtvAlY4cU/JAXZsAEww
YX3h0kyLvQeor5iuuZKiiKMpvKD94sPXy6wAh+Iq9yEjDXa5N6Gn4RouYBaKCaSbW658Wh1zMxi7
RbnVbKwZWBRoAypbHKw2ueRRINbe9C3t2l3/Mb2MnU9As/w2O7rLTadiHmRfozk80fVRmD5XsII+
NE/fVjc6vj0DgS2NhYFXmG095ccadorogPOtPCPIv99FkFY2/WhT0eT2rvAZbqa3+Z/I24PM9dS8
Cb0/fPd3+MPWtMkv6JbRKEOh0+7mXsTIBmcdT30lf1MK4uf5PrWe1vtAF9VPSoXEqwLN12nIxE0P
44OQqtXGTAUgHnyoSjxU9AMGkcQdMMaD6jU78gHJEilZxvyhxQ72LZzQ1wXOtgdX/tq8RSBKjKAo
xolbwycO+7r+Wc0+Rt5Rsp3ekumqqT76d8TCMdj8AST9e9MJYF79M7cNIZAz5gBv9kMwiDYdiJxt
ZIO3lPCDtuSfcmfoEUbkeAcaIzY8DM7KineW27EsHJhtjXnDXKTu/JWVTxsM7SfdYCHykBNmrhCo
m+mRj2Wj31wYrQbmd21LTvSWg48h2AGZJjmVhKGW1DV7fpYWWEpUGmgOaTtp8XBAPPa4C/DAnM3v
qd3wzfQFD5uG3CP35lXL6Xbo934WX+WhZrZ4bo7R3kB54cl+vSt4eCiVOUiiJ82r/epzuGtf/SGF
eVS40Sdum/kj4M7J/lWLXfzr303I8ZHLrE8Pul23j5+YsUb/lJc0sF663eSMNPzLh/rvwSsjCjd5
zEZjB2YPbgI8aeM2ew6F80rb3zxmnGu4a8XzCkspQRG2m9/Ccj/LNgNJ5NRs1ukQCOHOzHbIrTH2
J2mQIR2iXGysJDLFFzt5nFk36YvYitLcSFbA0FKJgtBwp8IVzGCFQZttoaRpZNvbS2vPRHtFgfyo
I5iJmg4yHGjozbNKUa49/qr1hpUuU1PYY9XsdoLHsUAkn/lJcRwe9QXfQlvbTjsKAuaFNH4uPFDh
u3wvwNYEl92ytC6aFiT5Xdu0VwmbRZMCxk6/iRZ/HFlutik+sZBCJpqLpKs5bX5iwDEhIoEMV2xo
XBov5Fk8pj5aPPEp+pDZx6juPbljwsXdowLOCGlzSQDiFaymXVxkj4uD/X1c+Bxn3vAUn1LtiTgV
LHU5EA1nBIkJ2LKPvF0q4/SNarmoDyX5G2u1oUazPo1boTjlPfvBLISljtWTY3kEA7zwshc2ow9g
JkT9h+jI+LR/SUeH0A+LJMUXengGitZ7i5gIwCR9bbIjj/RU8Q484Xf6Nt855GTNfRxII8rXXfGB
Az/HNyccEhw21/E6HdXf4tJQ4myN7wrjGgjN/iJvw/DQ0xwE2pvisiZKTlieJNLbmeosPhkdfYva
3GfRPvZqbj5l74uLsJppMvMywzEku//mAMXe7We5VaYnIJWCMvxUZK54nzws+NmOZCZT2M+mzWRb
ipciWlYgmLkDTxrrWrDjW+J318y0RckjgsAsN/EHzNPmXN+wDoIHy3CBiYOUgtnBHCW177xMd4yB
HsJwyJERxQYvxR++MnCeAFN9SloeBJ1Wontansot+qIN0BFrgcoOG98buOySuPgYZ1eMuNhLT/KO
41G9YyDod69K5dfCpsLN/wZBuk3BbQ8JoHEGLDViU2Kv1+i+klNrD8pHYvqYM/aMIRhlbUxwcni9
uO9rDrnEj0mVgb1V7K+tN0FIiT/0IzG/u4wrlTrtWwLZIL01j9eafM65Ezoh/ymbRQ3G5czAnIHR
NPi64QJZUm4gk/TUA8PT9Q5y4THGehsYU96ks7AtTs1L/syhbrXMDLAXDpQfBkZ47iatrWwZOCQO
e/FVVE/pDmZub/O38t/wVXyFIZlTeG+b9zJId7K7eqA6yidgN35I0LB2uOoMkiPv24/SCz1h29+S
K29HhSfrMeVQtjHGdS6QG+87fopO81MZ4AbHPCV9TOiS2GHRUNvlL+0Lj+b8wiJjw5MbX7sqb2hv
BUy+bEzQe4Toh7F6F4Ew7jpgTB9MszeXfj4zk0XHiIWnXf+Wyh7HdhNM6JHE4dRce8odRE8LdmhO
3jNz8RHGaGwvGLhn6MF3KWFe2CIQ+GFshzqIDW8gX2lmluHDIitCn7wJpgjo5pk/zHJgDk5OTk32
miNt7g2MGI/SEwdLu+wYfXH1jL953CNHNEJNyTzaVt7b3+RafM2lU/4yEL7w61kxj5tAZJIN7b6i
UXrt9u1vK7JEONJt45DeatU2n02MhXpXGf8mS0Bbjc0IELL4COr3wt3hPcL5XCnDXuU9xqZP+gma
kAP39JnZ4dx6xo+Wem4IDtE6BoNCRBDpXt+Pn/gmSDyDdvqPOce2P7azDYd7ToMJ37fhSNoDcchx
5pWX6A1mdgWyazwZgchsBG9UHj/0SOvgKoNLuVEws+vpZu3lK3mlqSC6pY1dmBAdwxNv2Gk8p1B6
vrDIjZz4Ut+ICUp8YcvuIPpKiufDwar8dcJxwpY8HoPGhYwvv8Am/ZWeF+bN32bu4M7i86O/Augt
xu0Yy7/y90af9w5H6Kl7FTfKjZGi4FZX4V1/nt8RrUlbWQt6R/7uKFF+BpeTAiDuJkTb3rECZos3
g6BP5nrXlohcm9jhK5uCLj6IaJrq1cOjSTmaT9OGOUOtOxaWK5KD0/dZCqbv7NwzfBPOg4gVlF3f
lHeVIU9yzVW3vplfS29rgD/74YXhyQpFHqVIYCb28sLv6C8Ejnyp++z0UK0Sl82A84+PMt/XjzZQ
kJ4yVwJoABe9MmRGvRB6sN/kN9ktrvEHyy66ioDNjnli5FNjtnj4/KStzkAYNnOA+VT/a0x2f2sA
hZyYP8RrTK4qG941va1XuAElVS07+CNybiuMWPLazZfFz1iHfzkX1DrkQUQKjDvAXWA2eoUZzliZ
wS28KS//Xa66H1+6/aNCnjl4IQLYUEhuAJb7/lic9KPgckvTD6S9aHX89rm+WFvtTDbiGXfTL4WB
IT4BTrqXN9rZxEftDWd/dotd4paX/Di5TBeXeS8mHrwXYHnKzosL5zxIyGwkNMZejA08PGAWgPln
hc2DgCbo+K/9x3jUebeMb38ekG3ErWZKubrxXtCw82GmblexXd7UTf6sR95B+9fEe54vfaNWYHVb
7vMPWEwcYYAfDJoNvQOiG8sX4g2oA0NEtCcXRd7qJ0rMrHmxduK+YPvk6GkOrMt6l9+qxDU+9S8+
N0i28ssWwUKR3lPoNFT2r+2T7EpUbAkVkdvI5wmRMZOaxcYfZ8DHHVgU/XwUKHS2DQaRBLo9loj4
0l7gfQqM3OioC9DyT6r3WnlBtf8wU5IDhd4d2/vv5sBvgixrKiT+Ou19uuowX3gQcFhBHrRX9yHm
Xp/DS/FClBXAS2lXA4pUetdddu2fhF32MmxhUel/U366xmf5QOz6tKVSRyv0xEvkxKRBjDfmKyPs
BvfeJ+kdXPd3pqo6RPfy8KCIRa45f4TL1jo1n/GWR2sFT32DE8LcBhEKuoGDwHEPfQ7ntFMIIxY+
3L1962jBJxebG/bt+a1hugs6tYvuMDqEg34BFcCKJvzgpHvJsp15gVh2GXaAB+/Nq+i21NG5X3+y
Ywsw1p1RYfkoJ04QThp9B2tIxSYPjS709dGWGqw+neVClU10PFZdeO1THreX5aW7audp3wZ5tk1U
Iuvt+d4GbDCnQfWFvfWSR1v9KEIg4WQG/li/BXLfXEgxSCQcdj788BIHmIWqd0HmbAZLYLnsBG+t
4c53Zt3tPb1bN5pSvBQSDptbRBtE+eVF7rB7y8OnMnYN6loQYz5r2dQnjFSXfwkqnbf0hYah50bi
T0HT5DXn9phSc9DW4Gz1sOyjUvaKn/6TTjUZg/RofYRYwNtsiWK7JYYjFjcNzWViE3hU1sdU3Ojf
+neGOTCXiot4wFpGy5Cw28kbPdXwpi6MQzydwZV4Mih2Cyc7Tz9IMKorSoijwoOJ5P5TOHPSFcqp
iN4bOCwKiwujqHTaiMuhnzZW+Zzkl0nZhLHfMGqlMP1tmP+9UkOQgUaZUQFjuQ3Yyi36nvFgDYE5
HB4fdmr00EW1Qe7cYNicBUP7itkvvTpHUwOcJsGWxTwTcBt0mbkr4BWzJpRiEKKeqn0fOPkHv2uh
rOLzbC0jOdc74x3DA5yrv5Jy23WgAPpew/cAD+zRU0pGCY8NeRUeFU1UeAWHdfw4gKPrsul/50De
Y4NaEctCEOlL95pBUY02cXVAhq2BfjziETYVwY4wMyKbnU9grA+Jz6Bpc6RvclAPNVjG+ihh6W7A
LXH6abyYswpt1CUFNJ/uc38ytiZj03GjKNBQD5zTjKWR3+zwWJgWfNxdZSYK2U8w6cN+tHy84CJ/
k0IoozglCRSiWKBVLvH0/JKQ2lp+XP5G9rJTPW0LYT/Ol756TrKTXDwVSFQqiOxYQrmrcMezdBrP
5bIzmXYxg6wYTOzm8UnJvxZ9p5qQxe6LCVxTbihLqMuohSgSVG4vYAglO2U3kciJz17J7VjRps8H
SwhCSHWYCC54ILrEDEC7y99wBztDTxqQoPc4tXgmOdR4wDGPIuak+ozUbUe8I1qh7M7GjM5lvOlf
4/lvsD88pv3/n/P/fSgp7Op6IQn/cQH+vi82owc60sKH4wdmPcpEp2jDKdDkePv3uSXUCcnojfMY
FhYZm7iLDQBjeIlSBAuAcvoa9rskmgagFP5l1DDqp0VCxN8eMEiiV/z71N8X5bWEsNkDbf99TlpL
vmw9fuLvY6tVfRN5WtCr8OqLVO48cU5+pOnBtf/7XPv4QpNBtf/739IhPfj71/+/8Pd9//2IqQ4Y
UAnJiCWzynjr75uK3FTY8R6/6O9bkQDSmKRythu1vD1F43bGGKZTF4gqA7b7vFhJT8ygxRbUD6M+
WOAAyemfDlIn/KL0MC4Zlqc2Wi5z2BE9af6JRBXtpJeYvOfxJ2Efz3gzfcri2PtqrqqOxXgjydAQ
CqnX8rwO4WkuZyWIcf0D7X0LBfzHjTSf/Rw+XYZ9XLD2XeQXKZlmGIw5Fk7cWg4tdlFS0TUEiZbG
NGiTB3iiuZIeBZJairGatmNCfYrihKNP59zUH0LRuhvmTYEAKk+mz0qs5L0aQosiAGUxcYgu1W1a
co00cfQ74udZg0Cj07noZWlvaUwfMEn7MUVm8abi1wbzyaxzzXb5QBXS2WTHRsEwYjgTQkkTIgqj
HDv/LoHfqcG2wGgr8pYBWiNe+mxaHWDzJM7bvIrfxlTeVbBTH0KSkPHAYNX1RtRwGkswE+aCPAzn
ohLKdwPx0sKsRksgea1qCpluHJ8iXf7tROjMegzDv5P8dWVeXscTnkOr8ZMW2mdpgWcQD4BYkphq
zYCZMJtwX1rgmxQ2hWow2hsVPBklwWPDE8QanZ4wYVbYnooYsh2EwAXLorlMSVdh9pY81/QPHWwx
1JTQnZbIndV1crXm8eOxle+T+J60I57+VQbhCZWvhOzb0RRtORikbwRlgeOa2OUFOSZf87LBkGq3
og21F5xwXS65181Q3KUkX72kGN5CMa63dfFPTGE+hC2EdWNGw7Zm2o44hmZE9JDgQO62fZIekUZ6
qCjZa/LyM2lQW0jHtG4gKWDDhrVOT0eeGR+xYfSBHOpfVrw+LXIOKGWS11iKmr8k0GvJ0SNWFWxT
jvX5iBgOVksVbrTYpOjlUdsayoAefJ43/bLC5o4t8GBmiope3bHpmzxpksAhmy2KKMiRGZtZaub/
WiLIMTVcTusKJmImCxt0yfMRTrEIT0NlyJNTu2K9NXn1P7WIflK9BVrDKdHPJCAqXNq8HgxNbgSc
rMxlZ6wKT0lKNaCmWG2ZnAU1CFrTMyBqVV3w5EFnM5DzT60pgLra9M1IyHLqQ7jORn0VM1oCIhDB
lQlnp0gQz38O36liXQespJF3ZxpuMIVLRqF2Ig5SkKczOmSUyiNghByZblNHsHNz2N/lP5IwhoOU
sXOr+OpaQ0NFnhRJQPCMthsoadIwmoMQTbSDZwAFiwrPUCxhz+eEizoESzLwHfPKXzSkp1yAsQE9
LAaW2biCgkckHW9MGYr/2qaHIaFQKTqqvrLOLlP0mXTzTlLhfYmQDNhio42qmc6iMoZIsumnyLHf
zpLoLa4YKVdGLtmVnAUojLHUaLM1kAe19DsTz6IZpmo0loD/7ao+8iizV9xu7mp2nmtGUz0zxDlb
ID8PrOAYp8JcAMQikoKsMsHFEF+8GGrRnyqZFiabv0VDfJ9n7nWl4RYmLJkHLfurq+jtd+EjCUhe
lJOpAjkK6r3UUZfGfxSghYFLKkK2LUo4uFr7PBeC+p4BN8oKs0oDLDiKR59Q1N1EESHPOgdOZ/a7
bEw+8sFMPUR0e6WLDViRK1PrkQHpHCFLCGGJJEtzsaTeNgf8CyqFMXHaUDn0kiK6Y1O12DEtJ7lf
PFknFi4zQ9qeVrnmA548sgZmiB20QcmA8n5YW+Q3BuZYUiQfRXl4a+XhhlmJVw0ruVGzSBtvgE/E
URcfi5oGVGNov2qirYoZYDvdnDHh3ihr7G+yED7jycScosFuBS5i05OwpFFfpBZDcguThMGvzDcx
A6YMC4TZOgoFKV36TUdwnaDnN2t+yBX04aM343ArGpTDk/6V68XvguNhoM0TLusiGHzhxbohuzia
UTrKRYySV5JOQwXVHG0y5rYq/dIwAWnJkR6s0XBJHlkqVmzd1UrMQZrBKXjMYMp1M0QRc3UjVjlM
Pwc/G/3BCpnKVEeY7I8RfMNS7ErSxaa7ODwvU3fvqufHS9yFRsyiinUhUBZsAlNFY53k98RSYj8u
NWknJ8xo2nIhXnCF4yFZICNmz6OYV0uPIxzFdMngY9SFAQq06HTSgv1AHIX+OGqnLKQaNTQVuxxi
vgYprrHRyi8YOiwb5On2ZHaBocqrK8YrxIZ1yhlXLCFE+xyM0cDWucg6BCL8kpkOZ0hdqWhPZcSS
N0hBcZcHTN1RiKsJ99QS++IRA9TZQi0R5we4jKcz/nEL2NfDwjwdeu01FwENCvOwIhj31Ab2RIXD
E8yldVPXY7qrZpSUWpR7VUkJaRVI+9IIlL/WwsEe0Yz7IV1YJiQJEzRaGIgnE5SFCOW3pyxt5hvt
RZFqwYs1HOSVmcY+VUE9Op3eb+SEtQ0GT7FhkQMi58wwBbjYMEeaZSTb8BFJEJVQ+LBvOS4zmHG1
w7iTWSwpErBDVUdm6/fjFqFMhoepGxlaukkYtEtz7ichBPk2ll8lE3RZYH17PYAasbkJTaJws/IO
zxGTMNyeZICmV4urXKZ3oYk20syGHA3dBA5PMyKWsjtEiF7KDg+0nsOkaA3MBTX5XqjHRWk1DvJ6
IwwAmCRSoNjqqx+uOC27ab3qpja9LYP5HebFdcY771gMY7ef8NCcmQdgdET27cOqVbdo6scCFIrY
nINVFp9aSLYFthuwA9LzTGTxTlmH28IKZLFS1lDd1dgqomwFemXSSGyM4eD38EjCXdHeMH8qdPWt
KBhkCZDYUuz5fBLkQJfFHHeQRvpRMu1etY3kzrWIGcRywGgpdUmGq11CQ3K3ltSgzKAuxN3zahCQ
ojfkXEFqkKUmMJsIqDBC86NE+ofSTQ3dV0/g5QyIJZTHhzWJ3q4Ixhge1AUpUIJEEAKv3+3xvT7i
zHwMhfgdU614g00uL3pJC/Wi9uImWkCTCtlag8YYvbGF/yN2TLZVMcclpku3YULeczedm7xKglKJ
A4L4OAdjWPxV2iBDSgbEio8WSGhzjzAiqRs5phPrGE3SssVAO8c3pXIzYbR8sWZIn8epW6pPuoAV
lB4xXtV0hIyi9E+b+m8CIfm26AwNetlT33HB6ltYEPHUHKy5V6+rrKO7lXADQZK2UpwE6z1OE9VH
Ab5uLGlXJwxz1JBVK63aYYo1himNYBN1V6MPareJBkqP1zSG9+u5jgoEt7jUEhTkGGa/wK0tYmdd
DXhX09NscUpMzH460jpxkYENOQ13RVHSLQmQZ4gIs9wiuIRQ30jc6qSfFU8UMMJA7YuTRmNsF2yB
1FmNnusU4xFcTrsWqqKpqLqvNv2HYdXTobDwTrBoVyytDsb5o9SeZCJdOqTCnmCYjIAWHFIS4zWW
tGuPhxZJCybmNFEKm7DAkIWG4GWJzK9EG4kPXxTL78r+WcL1/VCobGUkKr9rmfCb9VxQDZzUIkwJ
b+33toFiLBTdWyEnzDXE6piEjQYJeN5NPLluobf20vdchUQTaEpyJE3KVSxElwyPU1SD7UlBE5mi
b1ajY/VUTk1JEqwW/xhTEaJy/AozkJ0wWzSPYgyrt3o5KoZ0LGIBo98eloKvSjWU4xpQbaDrZfO3
motoMVHpCSIN6gezN21IFjIaYg8U+F8INjEXAcSIqD07FCKNttzVuUCsaCZYNKWd5Flas2/Ewqs6
872SOYenXAjIqZTdqsxgCnWAb8sinFukBS8iQ7Mp6ciPSzsnViZ4k1NmBBrE/GyvjzIttDzucXTm
QsTEBBplwb9w3GUsopBlmsBP03AYTxKoGm1C5OD4La7EYwh9yTu94Ex/kyckZbGEVYquIQ6dxgSa
4hIRfRjS6q0KXkaxTjLtwKyWu1E5g5Z5Yy52HsFBYOINrvmzmbkJbcdWEfSzZDTgXZ2fiRjZwpuY
C8ZDJkMKhS4VCnOxehxa+AxMW55k67mrD23ux8vwQNzgCvLwwHGqMbWLp61SyUEctoyVl7i/gCnc
BIxAalKHN0rIDcQSFAxkHj6yocwIzjFJEo4F3ErFQ7gwrRW1AhYkcOMCWVrTLzrd0E7SLpPIQCxd
7mk0bCzMRWwjlnKf+EEuGA+7bHrp9KpJZLPHoQSt1nroZbs74u55L9fwrU5qWVp7rVo3Ta6SKpNo
caDo82UcJTrvlmImVFKg0MY84jJWQ3yJSJZ/FMsSi5O6FEJOR1zNWLgmjuBESH2Z7dCCRqV7SRjP
aSQ/8cZXTP9p2HC4QcM+NkdDTD8yJcuCTuMKDQWbX0ViI361z/IMe3xUeqglC9dXfNz3ED6pIoV7
ObTyV1EPgRmFfp/2D51igfcRxvKEmzR4YPcasz6RuctsgU1zK9WewYaW4WA1P3C+rhaObfw1zNqu
Xfpsb5kdq8NUGeu0ESofKK0mbUW0KAytyUCaJsXYxulzlUNjiOL+GzPIf0oLOND0ND0Wc/WZACvR
QNtfkkwJd+lhyTpA2OkTBt5CRXOhN6i2lmVuN5wCCKBbBZ4ufES90aenuDL82tKmB5SBxluGFJfg
hu7pM1G2IV4626GFXzeoa0m3rTqTAptcxP86GOC4tBAftUrVEVW1/xa2Xs2Kl0Mx5CvLoiUWoIN9
NFla6KphOB27LN6M4/q0inK2L014f/Na762h74i6CuEOhomnpeElayFfC6u8Vx7jHU1lY1KL7q6T
AiyIoqtPr2sUiTsMQe4jwXJePXaGzYvSbe5nvFGFFVYMgU5eqRWYdQ4IpXq408vCui4EX9HQNSx3
JdeRouLD6KQ1zKqO4yBi1ZMzJ/pzGYcuXfAr1IxabOXvtbnGciJ5j13f4IYiMHW65IgxMtpgJbng
1xXUMgzDemk2XZa7jSSEV7FFIbIyF+aN5VL+muuKP65bpUNbISjJnrLwAmKyQraYglKU/7FR/sQE
czsGCRvMuSbcbUmGCTtVsFvSXtVUzok4NCtPTywaWtN6KReNh1BnoRoMCyd6+JPMZoM4y/hekwRO
CMT3oRPpdvTpHQVVz01s28Oi8WZjGNVNXc6+0KTMOYQ+vizYmkfPSBxqMCnMl8hENSb5Q+wZpkyP
6dHyZkx0LrnefcgibV3td6H6FlZoS5Fg7cQenkc+xJ+9CCiU4hmQVqmbyBNlVcqQsmuaNx45ACaC
4yii1PdWGfAYVSCeijr2oMogfin6dF1bZhq9fszaCipAZ0LnkyCQTdlPbCSEwEHVlytGZfh9YyxO
CydRw9VTdBAQTpgTEAjOt4dwTcyr1jIQmRheLYBfkZJIR6OSXHxgwbRGqJpZjWsatqtfeGfHX/Q2
Pxpmp4Wkv5SEp3mi0v1wvr0XOtiL1kdUWaeqGQh3a3baHM1+1CTvKmEISMSHiQM1URHzdgOwGlvD
oYDhspTo9nvZTZSiCbSIIsbAqwHjcZ+ji9GEWu0MXFOdUhq/QjmtHRmmeBVSnZCOEKK6Hjexmkv+
bLK9lbhM56F1K9cU/Ur+t1kxfArnYzLn76bUTcGqF92hmVWTeZdAamhCiJ9lNZ/jpAaPNsOpWm31
Fl1d95Y1QuWgbiFoovRHKXxio0v3pmypdlSXgBum9FJbDb1hMQtQPRHFacMbh1dyyeZ+cTTTuuJj
bHnhGsL6b7qbWZauvjSqO1cNstRKuao9+x95hq2bkzlmCKIQwFGVa+RPpBsVnHNgPPMjT3MWW1xH
Rp0IOXXXVqW+MWAeKLkxBCHBCbGJklMJS3ahQkSPQJUkJhU6eVq9EUtDrrK6FdQhcQgacLIytTYK
tQUZ6Op3UgjWKUnrM36DA+7eyuxjh1qzA6N4KUoKeVXH7lrzSeXwxwWLbtUq+6PyNUE8Kdj4HTrC
Bm5v5hZGx9QhfMUxyjNXBZI+vv1TnH62dWWcTeBouobF1kfjbkG+K5D6oXlRF0+rhX8lLo2Tbup0
bsLJGNqfCODNq1q4ElOtkNcBE2OtAeubkLL7gdpXIiHQkaFk9hRHxmYKl6M5z4odGsxIcWynkGso
DgwBRnEowEFYZHYMCfwqWkkXjeNZcIxheI8i4Z5WGGcTJcB4uS7f5AWnXVnL9iF5bM4yIT9UhgfJ
su/dYkHHT3Bk5lUSYLPSnVvBxIohKsA5oljzu49BGPZttzBNWidEHXqLX0GHGyI7aeeOEloescQB
WUtINelX4IiZE85JJSvfpA8bykbmqgqz+K0P2rPSFdq7JcCxMtP6I9XnT7EXjnKrk9+VnCfu7L0O
tR2eXLkTlx2MlY5nsMhVPyWCma54E7b4yAiwGcpDNiHkT//H3pksx41k2/ZXnt3xRRnc0frgThh9
w04kJVITGClK6DtHj6+/C6F8JSWrKtPe/JllhhGMYAiBAODu5+y9NtL3fODm32LLYiAZr1iPMD67
9bcsLJiQCh95cbmEG/37H6NJ3w/tYqhaspBG5ZTJ7eXlYe35E43qZRHRD+TIL+/x80XLK39t5rUL
E+Gy/fPHy5//2+d//fnca/br17bn02EcdsIYfvBPRngkLPZ4ebj8dHkgU7o46h5f66/Ny0+X312e
/fXiD7/7sHl5XQBtpuq/CQ31E6TqRuVjfiQij08zLR/x54+X3162Z2vkKSOH9iFV+cD65I9oKs4u
HLe/to05+L/bl0QtfDTxs5eTB0eYCSBHs5Erm1LmMSMDg09ptAc7yAmlmfx9MFrQcny6p3lfO8fI
jJzjHAX+WvlMaS6bbT3/8US6vMRzCezlpNr/+oPLyy6bwPAQ3A3R6fKr2LHt4yh9nGydmRImYsHt
ubzu8szlocw1/ziLzk9JbGHcdgsMXcmyG5enW+k4h1J+I3XMQTCsetytLlqBGIrYiYnDAqeHVuTV
NPODjLG4ruj+2rBH24QGTa8nvXJLtz1eHuTYIoiAtT2jb5xRiECd8cr2fTTQWhS+Q/UzEfEpZQC3
NR2zqGloFxoGrOtI7uOF4pQsoKjicoIvm5ff5fmAdLvztN5r4q9K0WNvuDzTh4WYN0FVfM8GqvK/
/i5rIgbUqXOPAXC0XXp5h8t7V6GxkEeM/sTHiXe//r2f/8rlbX++5vLU2NJJEUOBK/SfO5X+c88u
r7488dt7/8enf71D5SfNTnXgTf/5Vr/9m2Xs72Oy1TLBBBhmFrc/Pwek4BDFF4XqYbARLkqBz84j
O5xw9xacFPSM3id/OzcI6y1eU1vUe68O6AoQi+wRSn5wo0SfjW6gq5TSx2/DPUkOm4ToQiNEt1KX
oLxArKwDZbz22vzh2lF+7MkQvtIZU33NzIUVp8MqG1KB4brUxOhZyoCVpyqsEQIMDKJeNbuA3ocB
F3TTtJrCm3pkAlbepAO3NFWbSGdNcxO2REJXYQ9ItqFZ3xca4afPWsQegRo0MDyK/HsfxsZGV2ig
mAusu3S66yjRrbHLoy5yy8fWpYFQR5BBBEqKnirZmkk3/e4Wv2KckVlTj+JBesUt01siCclDYyKa
7DOGYBJ3hL5qCxg8gnWZGcTIqXz8XGV3l5HIsKrjoLsZBY2ljg6msGjTdYsaPAvVsS+hhgfEz2Jc
Q0vszNXMpQUUx0OrDPdjQijpV4a+K+ktBsltFJBxBAkWCY1o350w9TdzQr6IVOJURkOH/DRAjN4E
x9DHAGJ66kuKrLKlD7IOwxgHUYeip2go3huvXUf4py6aN9PbplnW0mh06Oin6V1Ts9hOnAoNdYRf
N0ANKmmunWznq+dYrzLtMM82FNPsSewdF+14VCIMKG/7FLmhl9VfcBmQ4OPDOdFtGF7VPnVSkcYO
Q2AzA+Tg/mDY5XioPdYOIT3YtI31yRsIuMG81LePtcm8WLAybQsYJlNDckM33gypOA+W76Af6wC4
++W10Vr1dnCCW0Pab0W91G3ZHYNTmOKINK6IVQMZWGCMIUH5h0eUeRYMGMfD2riOCmpoDGcwhWKD
Y5LJmxDKiGX2eqUbygE1EpipCuWqSMWz2Vrf3dTYLyEIJn96TTmACyaa75a4td7V4x21RxkyWUsd
FGAudPC9B4+mphhyNGxzwjWVpgfhswoqlHHygofU7p37NpM/HImLP86eSCJAQeYW6Hbtl74xwaW0
85doT8QZy4RZJns7XXS9bgs4FuifUw3Gxq9Z67UlJj6ryzZVwl3NysVMc4U5q1XQ0kYC2xSeSRS6
IuIu9b6FPRDfkvJWEKhqHQ3xth4AtwXUdbdBHhzNND5QzHyStR0cao6QoSyDUmfpPImyPWe5QgPn
cxO18wFbne3seyvy920VXDdRrI+2XXAfKfMjJYFrExPW2JCIl+mvZsUe5BUi2Dy4r0px10QjSz+O
d29s+oWxbHXEM6Suca1jfAKyoYRnRAI1DTqsNEYGnjhkSsWIqufChKkT5Uw68QC3UXBdzoTLmkuU
WxMY31iuoagwCf/A4Bt2JxuF3YCxp9Eglbidb60BGl9lkPcyJnn9lruUDRoIiWvLBb5no28TlPYQ
v6TN1pvt4SFvNSrDBKEMxxYBcxsZN8zpAfgJRLdTcWq9OLzzOsbkkLaQbcfhdrTEVz9RJmqYAv2l
TAnMi7tdk7IMF5Hn3PRR8K2lhNYBGr9JJfIuYpNhVnTJXdxW4ANnC/ds0HF1j32PLGa6UsQwbp0Q
0VQ/BFtnHuWm8toB5PhA23J4rJvGRFsafZdWZ61qigXb1kHzOwpJTITHm9IlRuPSLU7EQamVxjOd
NXkL7ySRG6O/ZRflWjZEqmiA19xNyVAoYFTSxkcJO04lSc0DMGUXNSlCjt1sGAQHJZgqoAGRKthe
uY1DmIkFWMgxolvIogMarYWEQPduGyR+e2hJiK5ndGE0q566OcPU1N8PTTOvpE/tY6oE9kIztI+D
331LIKVSaCvexwQk4aAj8Nq9+dkwCdNpPdjdhmN3R7DNJ9PxMbZ13rZPOkr4pUWBx/IWDGiB2aIe
H8ZWoge3Y6rFxnqW1XxqEddkTphfLyIzzlyv7ONzWs1EUOdgsGV/a5gXAXpsb8qErJmp9vSua9H/
D+OcHifNF63m5sYOSQXvCAKljECme4oGJBvH25S6/XGoaKzkPjauMbEwDZfqYI7py4Dg1RvHl8yl
mW66yXVHVjqiUqwWrsTCZGqLdCqk8FM/nTudZMd6Ow35fVYJ7qmFeq2KhmJ+i8XX1Z9T34zRzMDs
pqlVzDEUUZeROTe8d3e5VF1JCyfNz3rgAqJmx2xvHt8Cs74ZzKkCmsOnT3C8CxNLtp9jQa6jR6Ea
RyDVVfUBXU5eI0SAAsrb5cfBBW5Hmxkb1PK7yxOzDxuv9uzHcskLUJHzHGeQDRNtdsduIdgMywOx
6JgpwuIpMqKI5FWtyKwdnyMDUEVTWNNRMNtDXsKDNpxw4+TICRJ0UKe0LgThK/OaMEHo743cjcsa
wPRYF9SsI/2mFDtzgXxeHuQ/f7ps/tzF5Q+aOKYxt7n8om8l07lx2XN/EI/kYgP58QaTfNRhgy7y
Sz62p6qYih3Tx5mC05S2R1/6/EgjnTxWl+xDoQwAJFrtCpiIuX4hZ5zVKNHOjKpM6S8Pts+pIJeH
y2Zk+FTQWbCt7VZ3xzT4GtrdOP/cKatphnnTTs19tJzhqc140CbpfOVytbC4pKlZS9Al5fJw+enD
73pfMW66GIy0TChOLisnw6iY0oZWh/oydW7CrmNBVyzf5a+HZpmjdrETrkw6ziu7ptm5FwuZ9YJI
DVNyX7j77samhZWwPCSeg5Tpsh0vUNa5phqjMmvvGn2Krp7gTxQvkFlz/alvfXFwPYhF/vIwZwh5
jbbOVoM5LKQqYLHHrsJ1pkvnOvJKbhBLaO/Uldbx8pM2DXmsBrekmEEpNlwYsbVlLXMxhyUHW5d9
uPzkstRduzYSrig+V04tjm3jiyM69j6C9O/U0Exkiug3rCJM8JkgVC6yPtEWKY+F8OtdlPhA2ZqX
eWCex1ovX9E2qPkKS8jaoYFlx4PGXUlA3I2V6DUpjtirXNQHnuRWuaCTYV0qr4AWAPGGPO19ViEo
rejWTY0tSVRiLUMf864KgngnckIGUC8QldXGxo9hWcdcHrrlJzEEiOlnokz/icn1ithf64yCiNZ+
AQBdYF8yGNCgelUKIS4BZZcH6quHsp3FbqQ/epyXh8vxv2xalBSznGIOhzsEoLd8B8zc/nhQIwwV
QsCb1awMFLgZCyIZWYhKh13ZoXipmfCqBST86wS8bE4JnvJymoN11/gPljW8VBWeun5etJLJnDTb
yBzfLOzx3Pe9wzBWp//O7b6J7NYYbyQwwlkdKO4A3wwZealZA59MgcRv0o2HO8z8Or9HLCASyoQb
5NXwHDfqsX4zHssTrSkTkSpK7WUuCHM5YUK8wtHknaOn+QW82Pt4S8cieIoec7QeO2+CcLrKfwBR
XC7KcUfZkw5ihS+JVsB0ZdkbmiDQrRPAkXTDnwm8UzEIki039fkBnrQeAL1uO3MH1THq9+an+bb9
VrJJ7HV5ZSOGAHFED/BFcvkKguXW7TP/lEsvDvmXvjI/YUajSZjjBkd4457jN5LQEC9XxNhxBlJ+
2pfGCe9Um2yYOetxhyNE2tvI+YYYBrxtBWj0UbzcA7DaxHekkrhX2IwRWjwaVEqNLbbzZAFN+efp
W3gnz6jTABds8MdCJMhovb5XDGfZyn1w350b+WB8tY4EakEloGaMHYukOI5YdGbOwG1FviRfptvg
fcQb/mWAgd3uwrOIDzYG/m41cNN2WUhu7Xpt0MVCTn4GPjtXLLqvymfOAxzwM90Jukbn7JS84bis
4PxvhL0NNY4CHLHoLTD2AnjoyO+OaWGtkMcBihrumIlx30ASr+7PqC1241tYXzmfvqt2205I5c8T
Pm+/ZjDc2/VeeQ9GtvsN1373k3X+f4ouvyPNtm3+57+I6/mvPzPQfdMxmU44xACZ4Ngdl+e/vX6K
kc78z3+J/67qcUgyS2DUNI+VgWRlk/4wTuU+feuO4Scop0RmMG0O7mJvPeU7yore2b+ev3GGMK9F
o5ctbJfJXYutDpg2HQySnjm/wl3kH4LiDmbnUMFQXVsGsYoEmfnMG0ipWnXPEE1QBn6ef0D32+bb
/AUKxzUe0H31ub9PPuWP1WdytrD+rfX35Aix9jl7tTG47Pqb7MjYjw7T5ITFWL+3dhMdiZ13z80M
rcEe2Qx2auTT+PYtjE3TTg4re83VsQLzhrJ0tnFHtZ+9azDMI9Xss9sT5LX9rvt39zE/g+ONfmBM
wNDg/cAB5cwr98QqbQ0w7SV5QwxpvlO3Rv46PNBYeKz50rHawCrmGa5qeA0Gsn6kZAcMs8HZueeU
bWk/fkJsVn9BYuHflNsbjBJ4dakNZxy/I5KoFy9mkr3P3tDqb4176zMUzK3ahN/nNxdjt7WLH7OF
0yiffVLrzt3B3Ec7m0CIK/trQ2zdFkRUvGrvwQAieM6/lJBFcL2gbNogd8YcyXXq4QZ4Szar+FA4
4FqvuMKm2wUB8GiZq++AyWJvw+xg3a7i9R6YJbBPOtgRBsJTtxgvTvgUwKlvxCealSJipnOmRA5d
fKE3cNoi47uZ1swy1gZxhGvjwEcMt9adeM/zQ70fX1mCs6sM4DvnWL9MJ/XCunLHzG3L3HxPhA9F
N0ALNy/OV5SEKEQ3x2Tnb/7mzF/g/r/D/y8nvitNYbueq5S0/3ziA7JvUHTJ4Ub6/Q2epWi93GM4
vZ489SwXhelVDK3rK7YZlE0YjZ5wJDUL8XvRKv/NzhCE8C87I2wbxTNJXab38Sp0knZ0teqHm1hS
K+T/1jxExYYQJ2jODQ4bxo81PjsyTFhXhbdVexvSwMVm+YR/JL697M7/j1j7TxFrQl1ujP85Y+1M
CnsTvxavfwq7+PlXf4Rd+P4/fOFKpWyLGADXcbnT/hF2oex/mLYv+U8JUziu/BV3YVn/QE0hl8Qw
QmGVVISj/RF3IXlDZfum8qRUpmkp8f8SdyHMD2kXhHFYyJ5t4XiOsD3n4wkfI5HsylhoLvueun3U
qB1Ogsd6Trfp5Mesq1BsE/KCXVUj4hlzKIwZMwL0/yYJQNcRgL4JnciVctOzL8DKUkEa286510H+
JBJifph+r0vbNzaK1ua6pdxPFj0W22KMDrlgEm23O3RCOFikfsls+g0UMgiaApG57nSOd/CLf9tE
dcoSpVlArTBdymeiLedtkVhUgDtxSHqD1DCHxrMReOShM3cZZ8q1Vd4AAu5AsTA0LZFkSLDZiTp/
XRQqe9fWj7pG3qlDPmuJnm3VY01hciuRWqOYqLXPWtTovrdebx66EDwhIh3g9Bb9CwMWQQ4hLCqy
1yrnDXQ1HccaVOxUq3I1jfV4Ej4TaSCM9DNu9dTsTVGaq5Gi0ybuhz09sXc0T5GAa6Q8I0QQ4DJE
lNLapuW4hB0DPUbTBpCb9YCyXb3NRQ9/IgZ/SaF+3ndusPFDj8xd3/46pY61/+ubkPjXE8S2XWk7
nCWcc8iB/nxHTCZf92Vf4Xew1KPZ4tC4PGQ+imEHOeoVqkSC3rLu1uzYKZu51hx7fxzMv94XQl5+
vx9yrtokFpqWbZukwwjT//OuSEOYY5imJMcZjO9xBUgQhzJ0cqO7C2X+ZKjie2xnf3cElnv+b2PC
8s96lhSej9dG0WP9cATmzhVzE7nZoTHis1mneBKfRDBjJk/0pm2l3k0GNpFkmJnPauh7RoMyO6CK
xMdwD3U5f/7r4yA/DAyXPbKVZwqXC9ZnpvbnA5GYskF832QHO+JAJAWKrEa1TEwGOAMlmBiDegrA
yGxpf6M/LrJ5a2TpMUqwsI6WK+Fcqu/9yDLKdVk4KVpAl7damhKjBRS7CZKHv95pa9mpj4fRsYXr
26Q6up7/4dsLuQLiIk/YaZbe2xgwQpv406btDeb7iSuQPRHvYg31iytMdJoh1yGhd5AolFlSX3yv
XaoUlmoJdDNKZG8gKuP6KQusTT1CiCkZnWUK9K9O3tqStU4mG2SaQd1Av5/e6Cbd1M5yIGRMw20k
ptcpUSNF8pP063bTZerxbz7xcmJ8+MR4SPiknkVUvLA/fOIRMWWUpyZTqhbRnkHWuK5jAnyGp8if
5dlSPi4RqKKmtBM8IrO5MgwBLGUGSlQNXrit6Brpvs+3noso3dTONsZzFo8sFeSoHvualkoS3HRB
St+m4iagqg54eRa8qgoxjtORBOiklHALp3uty3EmRhfrbUkoRx2wZAztjd0Hf3e9fEju5Oxk8eB7
nk0bhkfvw/WSicajjYHsttXqsVTdwCGfb3WQvRld0O3qHwWuVwK+jM3YQFTHAKg3qJ2aELJ0ozFv
uSfMdlDmUAnf/M1X8u/2jf2T0nfILbLlh3AnXVO6abWbUPvfmxpIxpyVz6WvGRIa97EyPIi6FHwv
w4Hs4ce5i+MzdJmPZ12/GmBnkHBHnrX82njRG2hnkuVC957Tsll3CBuROMGsFLP+4dgmpjj5OKvp
6CBI8527OhR6j1vJpNiq0TgiS26S3l4bYbyqRJUf4yT+GmMGvP7rjy3+9RbmmJ4rhBLkWnmu+WFa
m4bJEIduxarUBVLjZFCTmxklkNsiTZvj+6K21nYB2aS1TipgY6byiyk9+oT2PMeLAYj4b3bpw7hi
K4fdUEx9mMo4wrQ/7JIdG4MA+02xGnUSK/T51oxce6cJXSwyzz5ELbE/YW+epPLBCXn6JqaNtmpy
8Xd7slyGv12mlz1xBD41m9Wu7YgP52uSt66hDS7TNsYqbb/TuYFdk4XdNk7oyUruQ+kUhccZQXhY
EUZXgp1s82o8TkO2oMi9p8yXwSbqZnfrSGdT0uv666NlfViX/NxHy/WVy8jH3WQ5mr8tyDs3a7Rb
jtxKSI9Huq2oHadrW5WfDek3Xy2qD6GZn8h1DfZV9Ob1yKCcQZpAoPIbJpTvaYKTxa/eU5rkDyOB
Cqamq5z4+Z00wKQGsUSVpAg6oVLcnxJpPHVdBAlrks11NjLb8zVAbw/jzF9/MvFhWFg+mSBqjexg
HE2kuH24IvuJ9mnttITi2KCnamRKUd1PZOv6FJEaDMRWO3IZgXloRc20IqNBGlhTfsR1AFjBA9BV
7L00Mf7mmnE+zDaWHZOezQG3fIu5uP/hBO1Dty/nwIMgl6id107Uq1A+MtZPj445JPA502EVp/Mn
P7DEcgDpFvOIcmM7yi5nEhoysHmFs27GwDg4Kl6XFfpfW9JcnjNgcbRtXFSCt2af11uvdzEUxj7c
UcPdx1ncPZIOK4iySozXEueDY8FuzCbUIqldbexZAJ+wO9I8aKyWTn7f1Rh/phK2SFvSYq9lNK1U
Oehz5LfvQZ/PxDR2BIWk4rbo+R7bFCl+1b76c3I9yiOHelO2UbZXSwlDIb82UkyrbUnnMVhaIAE7
cv/XX763nLYfLj2Hk1mR6kesHwG9fz6tma4Gw+wZxt5m+rFHZs/oTRjLPPPBs85x76y8vw9Irl35
QV9s69rPtnNeV1tCfYlyDuWu0TiZVDo6B8+21k6UA+PyzfXUlxXk9+I7oo1669rhlyBTzZ7r2V+F
SsPRZZp5NaghJtsNUVmQBiQvmNVt1Wv7pYKEFqwbVk7nkhDPrSbXIQkjd51oYCdWEZCk21s0A9Ds
lxEL84wiJHOn5f4wngZc/FU3/Bga8EnOgMIhtD1YzeQbwo21WT81+jVqsNxmw4SoY4mWIDMqbFS4
b1MLK7kR4bUi0XlPhukegd1MY9zoMRCrr05okBJcUpxMcT7WuHBno0yInRph/zvqb0oQ4sN4yUWA
j9y3kIQ6zFWJdv/zF2SqgsSFjKNkxMBO2qLBs1eY+2rEmDAJ2MsOjlkctighKDeZY/HoIrRAfFDe
Rw4cp8yT6D2wjaLFRJ3QNO3mr0+hy935z6cQ1REuT8+TPo8fFwWxITmJjIba7DIXroceTlAYbkqT
sR1ewtXAZXYVx9N2CMp5m+FBuwrr8usUM032sNleoaknogElNOrN8O+OH8v7Dye4b3qeL1k6OMSY
+x+O3+Q3TmPTqTj4Wtq7ODYVJrrha5bQ9wwk4IgKg9nJsGnvFnlsAZba53Mir34OelEdrv/6cFk/
V/QfDphl4e3Ftm5a7NqHWWmmK0P26DT3o5XJtWM16ad8ZNolyJHoC1w0Mti2UVycwziOSPj4rjJZ
vVrli0hw3pSWpb91oMEMI8r3w+wTYlN+ZzrTnQJvKNYxoazbKLbu8IGNmyECBUJa+wKg4aroBdLa
PvscdjTM+qhFMDOGd9qjGZFzVUPLsq6TsXkvqzK5dpOy2jftfBdI/C5N2AdHjyO5jULqy7PqrZ2r
4zedRNF5dHDXpAhuNyphFkxaKFh67w65fX+MCLHck6lFS8r/Bn5fwnO3ScO0rVHt6yI8dRlvlShi
4BzbI8nYDD8pFw8buqMBJx+IDBnkMTEKAeLsEoBa1Dc/+LqBliS9tZWT/27pqthkWOKPPUXcllb1
VRHN9Emoncrcd05lGNMViezkUfovHOzo2iqGT4FpB1tvIAcDtRdGHRbQDHK+OLtViwMrC0H2etm2
axr7oMAT41kP5dqXlT4xoH41vAEI1Ej7CHHGxpnpbuRY6CCxULkIp4SeW5m9eIKcsRgBP6YppGos
mwpyy+2XvCCcXgXxOlXeukoN93oe/fGU+9Tpa0bfvepwOJUdGlsVBcTe6MB9nuUutSV8tX4C3SN/
THMqP3UZAQQzFuDJmwya1OikR3cZQ1x/5w44gJ+5Cd5APlHXInEOzdAGN9lMV7otgEYl48A36feI
TBOJfwnmjo6QZ1SeAtjYjmTLE5l6hxmjXls2JnFpix2rG7lrscExiHbGYbYxv1pGYK7xv3wOBe2x
qSpumoHYs9il1F+bY7MyHffFbxGaJWFRHqdYdVhP/G/o8KstCfTpmRpQzqQXk2qejPqRZXO+dTvo
gKYzYeUxSp9YIc7lqCjbg6uH98Hru11oYDf0nYrGDo5gCJfVLcWLa9sh1iH2mpM1pvmerOsnm0Yl
bFuuaRc1GRQB1Dwspja9XATclXuyFRTSeGhcNNfeTtr62kyy6Dp1UXfKJN12LtxRIeDDh47LurjK
x70b2/fSAmziFSPz1G4k46TsMFiMiA2zIA+PY15jrrhoxL2zl5XmvVmLU9SzbGzl5uekWxfBNiEb
GptLLgkq9EjvKMSOJY6EVoypKtBiExozlTftMEf0EKBozxp3XpDS4LOzL4EovE3TBNDGexXfIbtz
ruaG4cvyP5d9Hd9rDDSYofE8BKVJfKCYxGcr4IKM5JM0wvGzbOhA2k2OjoQJ0xrxhCS+EhZx6Ta7
NAiDc2egPqt8d5tZGDXS8aEvJveaOVCV5MFeGc68c0f7lk5ueG3m33pzAGtsI78cUxVee8tOx426
FZnnr/BHwaDy0FfhkqfWuRBB+yisMdjZEL/HXW1F4Y2cvmGvWxM6La7THpSRnZQ59Bq6c0ZSOGez
QA5YdSLcxXP/aOcSREKSnPuRlqppMJQrwgboywNudM1zL8brwAW0BpXWvDdGIh6WD17qHCl47+sN
lJzxs18h0A+S+SkV8sz80dhHeaFvfcnOpWEcfIna+bMxmwp7gBLX86LJjEygSjJ2dgAVrM8VLIyV
UUb9qbdY5TIaxlEKFCAiJqZxijPmonDlxan9pQAfsMYhW5wmGVqr0mjMFzSxpFGk7l2jZnvH0p3j
5FOfAGKB6tbF4ihom4nR/1YOVr8uQpwJRrIgml3vkw6FenDhDiGHTVCFOuD3MjAIzNRappI3kwdN
z6ekPNbzs6259dQd3OtMUJoIvuc9VQNWje+yBKhew1bAW4VoK541hzBX931K+pXvjZhbWocVThHu
O6AKOGjQX0fE6Xi0vIdR35olXiA7xqletla1S4drL7jlqyQMbyCbQpFYV5qiOoCjoI1j9NYNZZJn
wUQmd1r4xlEcXedFBqFU7uasvncirsFSW8baUvhHs6zpafI2RD4PI6CObmfp4bUo7c/tYBbXaVIt
OY5eva1sEppTkD9Uxm8u7zo2ZM2YsQ9OcRz0xvRBKdjiqz1q7lWDU6wisCNyApHXF2Z1PTfyYFk5
QFcLbLx0cxQZ5IPanNBmTw/NR3u9raLTnCT6vp58EgBQbcwiELu26x907pKEEsLky5Umilck43ou
3U/VpMVtRDnc63wUENLOjsPczlexpc2DUCVm87AHlGBibBsypt+uwhjpZqcprjC7UnSFg4QPrain
66HUTxnNuyC1+uese4UG465YsVhX2k+JjsUulWi+4Dg3YYY47ooalN5yv4AHky2NyQIPhnbOhesm
eMDRCMTxQNiFRdJAmUaMagyCCG+th+gH00jCEcGVKLPWh8RAKVMAa8BOVQjLoyFeBlecsQf08s+z
8sQ58sxylUaIqNoacy5TQASCdD1V2bKM7Fo4cCn8m0cVsXpQU3vMDVylNkCAtWm6Dn1Onx5yuygS
qx5NC/itkwmz3Y3BuQeRBGM5VdZeNEQxYEMWqOX8p3RU714XFdfKjo5zTpELOgNRmSW0tjSYTvPQ
aAQOyQbWDdCIxAGyTfRF6YbjbWYXaqcAG+X9Dxy7yR0mik+ZTXBPk9NDmdKoXmeIkiuvT4+6ccA3
j5iXvWQ+2JkiJoseDt1b1MF+XgIZNkmpVon+7MfD18H4MubuCEnPpUSMyMAPHLS6FDi4j8PgtHxQ
McwMHR08VcNKi7VReN6+Qbq6kqEtzjLf+H78EHeUGbnkGgZdushTmC9tnXln0dR30/YV+fhxZCQe
p/zWoP6NXgW/mqO3pZEh8vOBNY5w3abG/Rziz9zUDa4hMQf3Xq2OaQ5g0AUpgQFu8SiM4bZrK3zo
AJo1c6etxrea2M4DU2qCVt3h3BXGVRijNJn6uaMMAw1uExTdWxVqcNgUY6bGegk9LJ5jgGDATh81
pZEr0+ieu8FWeP+FOODWw1vZ1gVTYvQvzQQywgiYtuFt1WYVr/PZ26UxIg8TaTq3N0iIYwrrmK4A
Pn5pxitPAEzD5Nyjkqm+DH0FapTqxrrKGJpRbj0O87Ps2nyThl28tq0S7mOKeHf08nYz1NN7NVgj
5Vv3XdjVZxRGMKrGJtgEBLQZPtOJoGu3eHc2mW++xJG1rdNm2GS62SUx2HMqrCBTInJr5Hg2FRax
eTCebbCQsTu9srZH7FL7u6hhuZ2NB7+QPVBYvK1dIQlDsJonNEtMjuGl8joALSRNhFH1Jlzr5OE/
hFw6g/FnRtIXlOwSd4d2FaV4HSEnTRQ4dPekkV7H85KnPBq3KcbuufJI9gyvPG8JCfNwDZpd6qzG
PLgb0Me0PSEVWCyGdToLYK1U/kG3RLeg3fETYoRDu8jCqYu8c7YUg1QlX+Ouuq4nFCVtWp61kX2T
BXKB8Iz7EQjjhNFKmOj8mbndtCGWHG3Dd4mCt9SHturlD5Wr925fPbXUGwDTU+SoFYt0u7jRKVi9
Ijf3KuTGhxiZNJaMy2Wok28pbs98IOwJ3EjUkkxBLRGIcYDrPDQIAk1Dsf7alHlxn/tqH3ErIHKq
XLCZnIBmL/udrqKHSgNygkWgr2kBcknUI6zFWX9lcsSQ3UNEcyP1hL2ToVMUu26xvzTLQ78oF/0i
mFZxXjBVWTYvT1xectn8+bCo6WKP4il+j+XHAetv68NZXd4FqSzj2OWF6uLzubzmsj3VZrzchU6X
rZ8vFMpUWzWa55+bv/1TF/Ve6iMrq6Mg2AsD+k5J6klV53wVi4Po1zvLtpJ4I5Y9/uNtpwb9fwbI
7vLLX6/8+Zc/X/Tbu4RKPuCNBYkmF2fTZTdMJwZYHSbh6teff9i/y5v/9jaX7ctrPhy4y+9+/qu/
XnN5W2wlT6qhGDWF16HDch0MS35wmqa/pSu87xPUAYM3vqqsI3s77HajEQKg8aP5aGgcrrhICUcw
S0y13NG2SYP2KxT9cGf5TPCTfHjOo24bpfFrnxbXi+Hq0FQOqrl2Cw/PAiAXfR7a0eVU7/yN2aaA
rgHMkG/cfwlJ0bz2cqzp5hAcwDoWDG0EdcU49sD6VQ0e7P7OnFNcYYGRH3QQHXFdF+eS3rvrIW7y
8/zOUofR9bHWWyzBWIBEG7hP0JGk+aOJVPgpMd/0gBFdppiuCg2fOFD2uPUPc8H83BjnVx1n+Ib/
l70z2Y0c2bLtrxRqzgtja+SgJt73cvXNhJAUEvuexu7ra9EzgXuRwMPDm79BOjIUHpLcnTQ7ds7e
axPZAbxKF6D4HHgYFd0+ElBYTYEGnlM77veYhshU6MUxrs37epznED5Ie3c4tQRGlFEqdkU3SQAt
KUcpt1VbR9bb0HKe4DSYZzEOS1hGBcKXLoSKdFUGpG5e9So3O5RJ5czGMneBrWkPwbrmxLbEI+wv
K01Kpl28aVgnmG6qkUo1vabiMaLVvaon+e12ikRI01vCJEPf3+8dLgP4M39SajbD5N1owx5mTUmc
sEwDRm7tGeEEkS0GrN0hV/WZxgR1D3yWItPgolbenQYFJ+vP9DU+hd5tC6FW2JoGPGGcg8Iem5hs
n2PTJ8HHy9BI8u6Z3vhe6t7VZppEiI5OJxeRYdejTKNUrNe+iiN6tMl9afqkZgSe3A3+eLVSFlQr
DY4hkZP4dS59bqf73O+ZY5mvRgfUx+koRCqZFPy2tNPNuDnVnKjv3ILQkBmg4UekY4KI0Lmx8W0j
D/aB0RyCJlkN0xjzb729wQIKy49QEnMUz4mBP8WdtGg34WXGN8Qkx8GpkJBKotN78PXe3eYwISZn
rPeAMc9myCRz9PKVBD22yBR74KhBNHIFUbC3etHRoAtpow5D0yj8lT0F0a7Uoz/JkOebTJh//DEO
kfn2+k5vHfcSmnipujk5Lk5RzSN4x9JYXnlpzTljmpAzV75oMczxSP40KQIXzYchBrRMB3Zvq50K
iazHtYR5Z+VrincGLbEeDcfc48KC5RQ/yuGPJRqyJOfAhXaA6pgp8jcL5wP0CBgC+RVPj3D40l01
uTTwTSIeXCwcIDengFQyy5g+bYtKMo/6uzT3n5KAlEtBvLacSBQd94mtgdsDnlZBNdt10gXjYMHe
KAOXga5vk9QxeeWaze5tUDmXvhm51MyOT9eoujNj4oXoHJEHkiQnXy/WYc1EQNhYI6Ma5OdY1UfD
KvR1PH25gtZZrq9NYIALHDs5cEf5ajSASYeURhJjuqemSe7n8cCoMIBL6UQbM2qekiY42faXMAmG
pMtzrSd0LWGGZQxzAnyIMQcrI8gSjILurk6hF6RGlvPREkhcVfZHriSLhoVlTseOssA+RnRynxFE
V7ZvehJiddGHrTKnPwLCMiXzo1H22+hX+QGE5cE5dMojykvqv1yA/bIfUmqI2HrRSYX1qfOxNFpg
NjWkzp5p4A+fgPmaBhcgUpQwTQlvoMHPMZmIwREIX26QT5d+UWMMbRAdi9Q6TE6qLaPWWw3z8Dkw
6gcvh3nNgvGS2iZIg+jFE9D/jbw8NIIsPLy650IO224yDobl0UW1ur09Rk9apOH61eipYjDVmOdY
RBL8sSOSZArIxciUoCzHBpzlzJRrlXVPMW0Ls4p/M829d1v4Lq2PJnyaCOF4aLKKWPqq4R4ZYeMl
mHlsQ6wZFoBm+tOapoGPtD1lQfXqjYQgxdAW1qpHKDsJfxtnMdranh6457fOGkALrEKNgLRiop7B
jVxbNBN0QiB1fkwyNsUVxVpw1sQlEvFLWZKLjbz900c2gUQct96oRkbXU/ASJ9aPUY0kas+tp2ly
DnHOxt+khnww23AjsaUNGBftSpqnhjsgrLWvJmZ96OWbVuccWGqjOHdti77ZfpG6OojqYxSQiUwD
oWWbjfug0a6iiuCq6eIwJT6tuUlitZbMziABkRqUuy9hMEQzP+rdodCrWmFsDCUp4X3aZf3gPE2E
O+i+ORMEXerMCtWLFi+LqABk5PWcZzPmpEU87EQM/zltUw70/mdo4YRLTEjeKi3OkbI/FA3cjdcm
jD7klqboG1gj3Nqe8eMMPFeZwMgKDomRjzuljMlE6ekLE3kFztFDsukaOdRWnLI7uG9OznnDjUax
6VUDp0MeWvyoy8kPwe62m8otaecBKT71Pvp4vS+CtV+1D4ZDT6Oy0qcGKbAD5dFk9eSoGhEO0tX7
NIYRXIfzEa9pjENbtKA+ONe7ao6dLWeSuNOJbWRR8bNVHUQD/zOORs6DNez3OEefKwjDgory68tp
j1BFbilFWJZ7JttTU8+KedhOIgWvPXeoerz8G69g4xTheMSesSuAOJdI9i3U8yycDqaKVZ4gxLOT
6BkYClAQY3CXRjRcDWt8yvOOprAZYYAQdPNYvnunW2oVOdEyMA9ag/+mG4pd7XgtZikcLRgAV918
kwrPT9f8xNGPsy3zVjTzgmRVFxdPTD5Sr+J8qXSNmmY0ojVONxuAHR0QmhU1YxhQ3qo/VcFPHpGZ
MdUSwBUstzU9oYdY5TCRdFyScnicCjP/Q188rUKxRGZRHiYGtK/YhV6V1To0CRqKI706agNj9Lzc
+5NNDVSnW9v3pruUHNTK0eSRm+gP/GSXuUhiHsZcgNgwjYvWZyE0kYqloTPeAj3auIdgyqwdpx0a
dU35kTUDpNyivEQANi8VCT51DHSGar7fNFLgXa/MjRvjU4VQueLg5uDvEvLoGfF5DDNvN4rxYfC3
qOeAKtf11olrAM59yCbxYXBGWGTrqAT7lumQ9wqNkVDrdavaVCTklNZL5fUPY9G8VEA/CdVwXlU5
EIExkUHgk2VltGcRUpJAlz0j4TsCWrtqTc070ONoaMM7h9ufVAjnEtsdeHq78leQi9ZW07z6yoFA
O8oV4D0dXAxbIwxygJYG2PcWx5jdIFqTet4d9OBUDO0TcwKU8ho+T/r+D5N+bWsIb5aO4qlqvWBh
QQjtYn4dVcrdpNUn9IHWuhs6Si6P+GrbqS6+KMOznfUPSu/ofRb0I5m8Q2IcWu8xawA25BCvZ0sV
Tek8IqQjLumm/PVF1TFerxEHGbJgsJQO/YKY+ZIttjSfA4MZlQo0wnGa2GAi05OPMBX5SlkFACWP
w/zOIeunmDxB2hkPEsAa8jtKp7jt/3pwwBGvQklEjq0wF8r5ocF9Jidh7ppcm6My1BtKP7ijuTQO
QIcoFlswwG3fRMfeeW6jkDmBlk7vqHPXiankTk+84VAONQo0syAtWNSH24OGF+6v/2O7cjg6WDBR
56+B3rOHCpySEdeHNpS0Muf/89ueIareA2MvAM1bzVgdAtpSh/72Cv/9Z1Nl2EMCl4lrBp36aCsM
Rl3ZAkGarXUw6bGiRZwfiCNowc1BJXg1EtCutITGuPT3t58JxxJ68r9/fET3rcl8bxdnTo+fvIG0
C48de9KkPeIx7A/NO4NmEnXmv789aRhQvA2GhrLA9Fmg20Zzl8g3QPTm9tIpOX8EUpSY5GrG6DmQ
sNqiG1F3IzlQIR57E6RjXmFmzCMuxhyQ/HLMKSu4AvD/ifkhabL0MF3cmxfQgn+9mMjfjko/2ns+
VBLaQbu//nI+v/NBMigcviC4l8zAbka/1oTd12a8Eobd98N8xL49xGwVq4G21cKYDXpjpCro/DFR
gvYldjI0qGULyLihbwmjhRyB+SHRGiQzjMvxHcbTKmtH4xDN/NBec433xJ7avQs3AS23fcDO+1k5
lbY2c67fts02anaB3h7oZ690JSmV+4r01tQHd1u0f//l7f/S+Y81pK2l04KyyRVDz1Ab2cTn3prs
hhfYmIxysI7rcwfHCAnSAcPsmPB2pvadPe6dFfAbohACKEQ0XWpTeBrIBXCMaZ34DQq+PHX9feoe
E1+8wPBnmul3dHnFy8S5doFk9WoM5is28Be7i5pl64PGy5wHn4imcRogJxhqT038UwTUzR+BrQh0
YRyK3RDHRJ7fSa2/R4H50oAXRa7zPDhUILL7FB0pG5NekYRZfUnL+kR8eT/UDofNUgxLNEv7DHci
bDXWpJ6WuWGYQOpaBOyUZuSDNoz6IDceWJUwtMrxlIQTh7r5S/9+aOhHMXRQ4T6HOn/7eiorAkZj
zuzz3/3jqVE6X3y3b3n7a6FauYYd+PqP53XebFK9ffH2vKkhnlFU1rlIMqZCObG5wAlT2Ljit7L7
s5Widqm86M1niLeq6TZl5ag9SyqAhYRseehqnMMY9WLfPdZKQ3aaivPgZw5xBfm91rh3fo0VqYb+
3lTk0PYBH0gGhTnq/AfLnCdhtgYPjNx7kyRq25wBzS6jjS6qGBu3pXzkltPFL+z39o7wzwiU3tou
6rPO4nFy5MHqo3TlJuFq9Lr4wcyKmIqe4iYvAL85Q3wcmmy42CG3VT337oI0n4HP7VeFzBODpcRQ
TIx0XBg7raieOPZLajogbrbFcteKjYFGeZVF+bR2lP4Ij3bYWSqg6PbZi11qDEzqM9byYtYelIaq
uQ5Tuq0a0R5C39jXdkhejevV2xi7Phhv5NUhiusQkfmWTiRn/Vb/lXLgHrVm7xCTpNiM38qhoEVj
4ZBmzx/7V6G73QHT6iepA+SnOs53k7pn6TQAStMraPE/lp2Lowi1VRCcSrby5z4xtiJp7D1+6GUv
KH7HZtvabgcpInzOapd0oIJBnZ6Nf0CtvlSGGWyqeRDQFPLC3fEceSF6Az1oFxnx724bfsVN/8Zq
z0ss9pZpcJYIwyfLG66SkDvFvH9KB7ylCfdZ25ebrqh6Zi6T2iL5+tH+cM7qT7HrPOlOAFgnCuQK
78QTjpP2YFuwZbQ2JWM5kL9l0fvbZjr7OfniTNoOzDHhPKELhpdnJ9OjxWElsw0dJ/Gr6VjfMs8D
bl1mH8zVxvWshW6Zxg6S3wfy5KylKqOlYoikOr/cRnV2pdVLlcvh3AzXPXG6qlGgGqdiY2szXMUi
fUJEVw2whTTDax9AHEUMYKccKHuLQAXfD4ht8Cpa10RXaGINFpeT5rpKnONYOneTyfAqQUli2ETJ
SmN4CnSGwHkd/tHMyaC7oB3zqkGYpM5DNrxbCeVqaPbXpJD3tUOvorUfRA/OMu3e8jA8S3vYxfTs
7RijbDxmH65EfzZ1BN7jo+aKLU5Fnn/y6Se4Q4J7Jw2/qbXIUM3DvTEmJxZ6wVzpj9MUJ+UQJa5b
P4qRPAs06Y4I2hq7Z3airkTD1FBBGuIOHeMks/Era9zfEqF5iZDAq2vB3alfISeigfnqdOfDeGpV
g5NwXiinqvgeBbibIfyBe0vzzLf7ZTDElzAz35NpbgUYzCya7mX0jIEzUYxYAAhRTR7pWJlygcD9
nesyWscCpiMF92UMxEvrOuEqRidMHx4Qyfx90IvUFPVAkMYhOZpu/ajjzmWqionY1bKlDfcOI3M/
ywAltZ5YesDKmd3iF0gNUoOlyZCeXzxpAKIIq3+KqxYv6pQz6q+OoWrfCX7IGf2/Rm6SrBXbaqbj
6ZWd7x1rYF8JYa2tZt+Fg1ltYSPRBq3oUaAh1/PeW/X6cDE7hy4YhtdRJduurk7OwGCDw/VdGBjs
6ndQTRahVT3XNHmdwD61YIhI5WHNMmyMkX64F8QlOsykaK1Z371AhmPE1Wp0dcIAAkXtK9ST28QP
fQPJiM7rQChkrAomIBqtX5w8rFZcgLFOAcsL22m1u+MunXXC+7hv7pVJtLNHyqODTpT5JmHX1zFg
6ckIcsW5q+C8aKq9U4l/KAJ7RyoFBwYoO1n/QoPJlOIX8XOuPCYE4IyKYnzsQPqUfUk5pqcHgm9A
GDMAATG47Wz0jzoNLD36RhiSpOa9mWBRka33hZsAs2JHClXYm5smEihqbFB1edTAMC9QuTZIST4D
tHTwYfyPqYdSpfN7pNyVoXa1/WqRiAlBDfNKZX7RmjhONj4lyy+/23Z4tejrxCWpB8X4UypkaLXj
M7uS9lZrG6KdnWemFjTRFB3kKO1/2qJiz9TdexEFW1W9+8IflpyyLiLTzrE+fbuR9zIQwQWwjULc
XPutPVE05C9azW5beOV3ADa9o/Zj46mrTef6+qahsb8cPY6nVvPGMAn2buyWO6wK2Ly6Dl2bIage
hnFvGN0fv+X8kqjpWjsA+v0QiDeyGZrl+a+gLcrm2t0Htc9NiZpgjKsNx+SnqfnWImxHKqm5Wtr2
qHfwzZjc0z/KHrNaxzhWIWorwhQTO8kHcUYWZyCjc+TVr0GuN8BthHcX0E1dMEv+AvHQ7XA/RUDL
i2wfspZYGoMIhAmELuN0W00a72fs6xNqUFqgk2Geiok+q5AY4rtQXLxZRi/KGdxlw7h0rMdqfDS7
BKVegbxCR41n+23MnMJZ8yrR/cztJSWdb5+i5lhNZEoWPV4RRSzWpIJqZ3IQW8skCuHzBPB0S+Tr
hcP5UgihM35ufpOZK+she4oSyJahYZRQv3n+VCOtwhdPYFbrWrBXS+D8uvcEsbSE15fQQrGabku5
GWH7VjSg2yQ65vZ4XzHPO3lWK09OVJGv7lI16pVdnMB9k+2gG2fPSL+CTk6gX/N2PzAT62Ggn9T8
4BYRifA6Hy/ePQATs+9kHEg3GWiRi3LKj5HJATFJ5s4SaslDnSpvM9swxzQDRFbJOydGPXd7cNVE
MZutssr2toktx0PUmGiCaOsHTk/Gn2IT1S3CJPqEUHKNreRye9BHlHuah9Lcmq4ug3twCf3sSkT0
OSPrTn4Kszl1BpyFMdjlDtWvURXWaWAzXJa+qkHlDUQTAh9+pFbtHuW+DAV8CBuCYips4+hAglv4
LdOvLuvrp1Yfsg2uCKrEOCa/NuaSC1obB3vxHCi4qrc/OIE+bvR5hl8A+Ogsu7e4DZAUWAaK7gRs
0iWcQvZVh2qmFPjivZa3B+CPdQq7/KexwBSaM1U0nXBW6XW0c5jQLZ0K4JIIEf9I37x4ckA2p3xt
7STYIiDdkQMue+K2eoPcJYPjXhtPYI+6GiIAfEkUJy3frWMwPBVM+UdBz6X1LoO77c1yfOS7rIyY
hFA29bskJi7C6vQCGR6se6d3+J5bH8T8KRjZ4hojQcxoaCUf8qDhzFMcGUKyb0YlCJ0z95qHxSik
nEhjPT6qoWPDcnaxVz20EyjfBN5ROPssMdExxJi081DbauWG1O6OQnmHPAZueMntLlvc8kMM4Mit
YGEG67ZiZ4oa/rEpgo3DW7YtHRrxWklfsWlad9V3qC8QD2CitA5+hKCyMRtqRXkIUutadPFep/FH
BaU1uJdeXIIyFjdDryqtaCkCooAmTn69qfDnsYGuLTJ+dCsY99gPzsFQyXMYDykZavVdOZEW3WQ5
wYj1e9Jpfzyrt9CSAsIIZnlLAZagIU+I1zEjc/zkmOaYjykCgV4MrDCT+rLG8TJ1+WORdwkzz8GH
+EroU0gNZxZsmzmmlkhqa7smBcrNiGlJO+s38ft619LNQ+I0XGTsH+f/JpvdN5b90q+86jVEJMZY
M6z79Oj6xlM5RuOd2wNC61j/TRCHwxi+a2nxUDQa7NvAR8iSoPAawXBFlCkWszOo/yzVVmGBqHDp
wYyEuVmtsladG3ylMYE8njnSGoCEdY6jbyB+3p7DPg1UpyGjvR5LYr+QYUY+lmLNAZiYE/MgayzZ
oBX1oE5I6+Z4HJkxNAZ/jnXzBTMy5xWXTHyFZ/1WwVLTQ6WA+nFgm/r45AE2WJOkApBHzZZpb8Bw
3C8cvS12QWIGVDNtuDMHTtZxJrBD3iK9ev9gOhBeOpG2D6Zu7GLrj594ITU4iuuB0erRj8Orsjtt
7zOTbgMdYGWU41MK9WMTD+6qcAMEWGlHYiU9wvkaF2tl0hqevKQ6ji0gr5wNA07QPlRlDTpM28MV
Z9jTTfdA1q9hBekk92BoMO+ITrkNeyoZ5B374bMYynduIbAIGlpPd6q9vdQJzi3o5BlG8WIwhdo6
qv3K4xj2kh09oCqe3SbDaYyJNVGg+CIsVYsm71/qORrW6VGdMPMYHJqzTgBdqWgJZYqZkEzTR9XV
iraifWoE9gGr5ERlKO5vpsg+Vsr4wPUV0csrrzZ4qaFSmH9kifucTD81IaUJ7vOys/CP20f4l0sb
0TJTCVKHUETAsXdxmMBY4+lf+qRDtUlceuhMJNYR6TO+137drPG3dyzL226dRHcEiTV+gy10ei7t
nRB07UpXHgmGQRdZQ0sriIRZpDoMwITKCoU57k8UIvSBaVK4VnxqPPu+UyMV02yhuJn9RE+4lcMF
TsAXvHtp29PORtF/KS3ygnlW3dYoND08rWAKEHvn1CBdSJYHVACPD51IFbtFiGC4W9mTbYUNg6og
di+6Sda0V1mLysrjsxTMTSoH4UjiEtqCOO5ceI3JvwUv0FabmzVTBNpXMGZPnPWZmU3hjtnLMdET
ik3cNEXyFfaB2OkOzeBm0qFURl+5hYgVSUv4l9de76xN3zPAJekPnAh3QBmhrnII39uGa1aHEJg9
KAEM4Jg0kelplo1n4cMse2zeyEbXxUhCoM+A080xzwXyPaUZt+SE+RRbfMvULLtlUPn71OQdRxd1
yDBaLRocsMpBMxulT1Y18KMTrMb0THZW2V2VScWVNvzz0Ect6dfQTjyfmNr5mXLmpd6W1MSuYF5Z
/nvc+U9BO7LSMUNCvsZpFyD9qve0X7PrvGVWgVHvJiY0CQbqGmsIOqvlhMRIq4w/rKezhS256iW9
OKMnaw1kJ6KsCmpuiBSiJ6Q2irtTBApV6qxHiSCPKKSiFiU2XYN1PmR+jJyRe8G+03qLD8mwH4jT
8Ed+K7fRAAPhKS/j8b1VnMWckqmPFvFhW0QphWNMYaShMmua1fzOMIwE/uZS3DWDFi0HFB40OLcS
caFJTuhKAe+/7ScTKQ3wvfdjfO0M+zssOTqUHv/k1r4jFIYDYfg1UEsOefcWTnx2eqERxT7HgOSI
UCI+vosR31m6CSe4HLJj7MX6rsZA0Kh22GQhh1zXoJx30157dsKWTB3iEishLlPjzJkkqj0XzNwz
ZqZ7CaF5P9fATtpX19Rk0YxG610FvXXtKCPFQHaR7cF6N43umrTzhIcQswbtQ98PhBQr570J6vR4
e9A69RGGWnAYtdJeE910IrRT+HNsSLfSOYQc80m+hr2GfNYejfM4gEL0J5zgrKMPDNu77WSIh9Ju
nQ1riX00lX9EjEI9NJDEwRF/V7nVh5fq4EEb/T5UXKLtqK17h01yvqjEjHUIlfWmSYaJcTu/f7TX
DvaIM83yD5NFE5RXeRpAOxqtt53P/OMArgqBk9i3LiTl1NvS5HcWaBEY3IExTntR78cEx9NNdqur
zlzqBnQExadHYdAtPMqEfj6pGbURrKHX4Vxk9MeNGOwLEb3FHUrQhFSqFfXjvZ2UFzkEWMrATeLu
aeB9zhYgriXwugWVDBIHiqbUSR6t1ibLZ/jBYeeuHBMBts5pfSHRDvG7lSNxCRX0Q+elLV0S4DPK
pQB1T95ULzWV8bIaWINuCxHtlQK4AqzNsmE79lMNoqb5NeXzaVRJzv5RdNdW3P2SuQSze4rbalEN
xLyijNhnkqk/nbVuLbO7TIAsgfVf7QSUCCpF9CKGhaKDtAF+GquxarpXXcNwDaGZ+tej/83xEFjr
sk3rA64X1LYdm+rtfXKcN61Hm2ZB8CREDd/xvHKW0wBTjmpL9MHzRCG4onRlr4eBosOmixiib0Iu
AYQp+s84hsOKe3KlFRZuLIVYgqQNitaBRiauOjoK3KuRsLEn5jE9AxYsQ2epSZD7tG2nqHoYOpDb
p1y5h5UsV1EZHmoZfs3m/7ZJv7KcqwkhLWJvso+JJ8B27naPgd6+jFxWeJQgqfx9CYqaoXeM5xtW
5JO+6hJWrGRkfSQyPq8uiTeyP7r7SA/fcNHDAe0xokGFoCzhSUUrt2NGvpoBy3VJb+1HYGCnW+au
RM2S71+yaWRNdvozresR5FXhLSOUn3aAyAR9AFkLtL2XLlYXPXvgHH/RAgyCUkcwN69XgLk6RBFo
9lmfm5EDX8LTrZqSD4MIrUoD1Fsznm8tdWwk5iLjFI9MggA/Jx5XmuWc5NynZGmfNn45Uy4Sksmk
OkcsMrD2v1pdgb33eTUleVhEATPrn3aZ35CwTvuc5F8+x7/WRNUfND3pN14ffwFNDJeViVkm1clm
6cxjSrBaa/cemFbudvJdOZOEl4op1CKjb/vadWGFW6QINqkMRthjaIZ64NKFqX4iGjq7arDFFRbk
zzA8Bl5hfNCoQPGcT9Mpspx4Z5tTvQwwq680GlSFEOmhqAoS2wx1Nodun3Uc/jzdMs4dNU6WErTa
FaO/9RyP+8SHkJIj30Tbz+VcgjyAH5jyDQEaRnVTMd/Nv+xcB+CRcj/OV0itq+/WG58NIz/DFLj0
BTgQv4asjOl9L2prT++bQ47SGevRZ+7nq8cWYAlHqkQxrwSDB2jNZ1ExycfkluKOI1D2Y1Kk1qb4
nB0reZ3XQ+4TVAdyXYbRVyj9pyKp7vPJemvHEMCbswt7YlTwsilQd/YS0UzHRyofK8prs6dDaEZz
Zz+l3LXmm6ga+EFNQWNvsmcrZFaSxkboA4qfRQIPFAgLTZ5ppPkmWJG9tCZaTO5uGzbkTFMYR0xz
8SII7HSFB52gy2N3NGr3qxTuPrE83IHGPtSJUyvb8ttvXK5ZLi6h7KfBZU5uZUv8zLmXkTIA2tch
vw7I9IyD7Li0LQYpbH7xl4OZehFM3m6+d424mTYZv86guU9Dy3JXC0BjJLhflKBWVHM5MZj+xqpw
K7vFnV9yM4gct3RDq9sOrEuBDm9x+83rDpd27Ix3las9qo5knW7A/kYVUU7eBUzpTMJkIzAl9s3W
Y5EDfmkN8lIlXP43ENXtdgliQO5WftbQTtNb5PMNMCEoRaiYXbIs+YjjMWy8OPOXuR+GRVebK4wl
rA74a1cZ4A+CsUg+sy5alc7J1bJmARP+b0Qk1nb+uhiRWlG6uqu0QyqEZKj2Kz5Ji4npeLZ6X61u
P2t+bsMCBx5pUQQlzJz5uFNKYSwNkztJRWccUXOXnk2HeJOEIEHSJw3aIbnGtMRhsS0VF4WLpyl1
aj68jD1MZemXkZmHOnGxj82crDjKd6mko+gHs8DO4WVPXjyux+xou/Cpwvlsn2nTOSnsb7vkpALp
HGk/LWgZlt421YSzpvJ56TyykmsOd3M6bJpiGbhZc13SS7mA5k7hkK+JACTdhKN4llIiSNdbkdfj
MNzBkKH15mNlEPSLvM1hFyeBLqZx4gKZr+Ztk4uDKLN62mLRgHBa4T5LcG3k1UfBJ7eOE++5wVij
R9p91ABQijKPqamlODJC3vJri5jSKuKFNs2j1asXIqf4RWt5bDtzxEHBNu2SnBaH/TXG271Kp+ir
N7jpyZXeKm/ixJZQ1la4ODAg1bsAiT8aywlJyeTRMp6vx/7GRyo6i9/297Z246Wj0aCjYB+KXUfi
AXUjH9lgmo9uVcYXOVo/afYFxmx4YwwqRnnCRYcQP0XTi5N5bybReKj0mrw/3/JWtowhgdZRchfT
e1imcUkTxpGgizKI3XpBfhVPyPuQ+CimGhiFkQfhvtO5g/ZWnK57b5gz7cOVVyeIcMaGEb9ooyXN
w36FpGcN7d0/azMT3pDjk2uiieLmx63RMVoBIL3rmuaq8zseY4mQbbTrvRX11aYe7xo6XhO6JTf2
X7xcr/clthx0OM62C3ANTiU8DZgRekRKOzyZetOaij02oADC3FAs3TCfNkPVXsEeYWoZk/RBN1He
FCzfGGlIQ7MMFZ8bTvBLgoVWuSby68Bp8WFCwKnQk/yF9Pn/WML/E5bQMNnd/sP1v/psP//rJ2+j
drx8Zj//89+Xn/6/dp9ZOQcS/PwnmvDvf/k3mlCKfyFVg04ITc2AyvI3llAa/7Jt18HGiJSQ6fTM
6coLjAb/89+W/S9TOLoNrsMExWabcMn+xhJaxr8cz2Y1MGnC2MzyzP8XLKH9T2wCAhe+E6gw4Gbc
yM4/GAWW5gxYkCQZsQHe38g5myjk6Mprz9Up3UlnORmA2A8+4ygYgU/tp/UdPLUvuBNIKhvn5Ejw
f0upvbblUflb3VlgpuFkakM1wt0TrzINSeIifMZQUeX70n9It+DeN/mnSVCDuQZOnPmr8Fn/Ux1Z
APfc1P9XANKMfvhPDsPtNXoYJ20bDIPzT6RP7cOBAQ4w7cQkX5SuP9Ap31aueY1761vV6lfTEHWV
SfRuR/rDf1wQ179+yn8Sfi3vn9Cj+adbfFKkawspbPMfQKEi81F2Bea0c5+9/ih+i4f6ji6I+Gg3
2S+FS45Z+1c+Wg/o8K1jSMX/qG3c85wMt5zuKgA09zqijBPA8M/sMu2T+0Stmgus5/4e0SAdj8v4
6cLTZX7+KMlRiFfFbvguXsKTeRXb0v2ZPexrzZtekh+a487Vem9WPdTZghbowj63dAjlglDahfqo
nrNn4DeaubezRSbX0lshrdFLiOWMnuGBL5pTBixZ/GHDN3ecS91qNUtZ2XNX9WN1QbZMO3LrHsxV
9lE864SXfsdPvJzN8Jr/TlvtYYo20dnfOZxoEKN8Bu4OX+HdXOtv4p9xx0hqxaCfIW1SLn6NY4XE
CKlhrO0Fw7gvOumKs9oq+yK5cgDota8/OHZkuOSf6eDNXTJjDSAoeCpgoD/7zTaN78crbhd8RWhn
3KfiPvkJrAV9Ue1cPNlbsEKMcl+z/glqMYGLvB043N7yT2cDeXjurv0iMCZuxNl3+iEJ1jlAYxKL
XPpcvCErlC9M1RM29fENyaVpnifm0anO7O7eEhvAyCgOPvqj81Vc/bu2uBiPvUmFQpG+i+h5tUvv
IdriZTn0l+DQTbvg6hxJIp8ThJbkMpSf5DWQ+INe655omd94HaC6JuRvgaSh/wLjnXQYmyj6VvbS
fzOadVlco6c2PLtHimMa7phAibpZ58dpC+cbLejSgzLMOPBd/+OfUYxBpHij6+utsju8xx/hmSzJ
gLe2AR+MUJqx/Bxpuoi38jRgwwXN9L/snddy40zWZZ8If8Ak3MTEXBAESNBTnrpBSFUSvPd4+llU
/+br6p7uF5gbRklVJZEgmJnnnL3X3luvGBMLBjgcD7+aK0PziUzPlTjLN3Vw9YfQ57gXkYUBSEoF
rOlQ1HElOIZ3jmke6m5Fi/uj9xsnP6sPSrWynsNP49QTxSGt4tfg2bouaJlOc+UM3bpHP+Ybp/w8
+hyqcu1gXtleycmptsXn6BXkeG7rbfZG/FKywhPYO8nRvtgvS418c4MIeXLJCufTscq+hhPZjv1e
TZ7ocdbn0jfOLawjHbskFNCVme5GvKO8aYLz7rCC+RSsYZt/GFtqBVoELgMYMoQlp/Tsq74LMYQc
YT8jydBHX3EFfshfjYO4TN0aHtkQPmf+cOFCIuTcIBLeBtVWwKtymlNOZLUPdgKMnWAN1Lo1lik6
GIHsoOQeQjeUV8rv7JnG6RZxB4fADRbb7XRh+G1sZkyrfvLcvc/r7byNngWomAqEnhOewSGhLNKf
go/2W2p3DBQpDgd/fq12k4tW0L6impmmlQRr1oehMm2m0GEQZZ21/tm+DsfuFu2wDpm3+UF+ldf5
mmGP/KCcQZn96/XxTyiZZSmqLiyMI8ACNdhHf489UsGT6CSAEP0adtRNy0bNzVeLVtO//jX/sAjf
f41uqybGEcNS/6QrNY3E8CIgiExXxqf7r7DnyZ9D+lYtJJKZ2Bp5qdni/xtR/E+WfhVozp87j0XZ
LVu6MEBLY8S740X/ApPTwloYk9222DaRUqE8cfWpSIA6oW4qDE16V6hKMjujRUEWtC1AA32UGnCf
AE/0YEqGL6r5qQyCYbtYNI2zDFt9rxerjgi9AwyS80R+BO5yRgSKNhNBLJMvY02q5TWqUnnLAngz
rdtTByjNy4j8sEuxl7UsOReLVh/ESDcZgM8uJfa2btsXlToJVFpcM4ii1smKEq2qtTwwNsR9UrHR
h/MWCsoK/sFzp5v9Y6i3zOSzYl8nFUL31CRvV4Q44buWeXYRb5Almw4q8Js9lH6onzMkyl6m/6KH
6xA7RRVrSDXmnxVddq+sYbnmqUIpvvhmzwnYAPGAYxgXvxGgpWgaiAIUQOMI/hap+iUueAm87R3L
ARRImwKJ9teO3E9aG5H9CsNHWje4o9fMq7/7pqM9PTbM9Er5MTUCcYwHuubFci9c0S+sSkxiqTWj
BWgQecVkZkENm+KaiaNOxQOa5lt9ipSANbWgpcctF6B8pCTQQ0VbqRIkD0FJ6yGE9iQ1pQOCzurY
teaR1hmOPHlk4zPFGVcjQ2NJfFKDCECDrmCCtgqw05D0rJIq3umE8jHmISDgopXSL1vlmRX68qSr
HyHPd1Va+e8G4+VWrwz2s0U9J0N3jCQ9R55n6J4aGy8ksCyuYOZLMxQZBwZBnMCc0RpB3oRhPKJw
eZQrGrOpcpItUsJm/aJMv2lJPSwVQQGMll8no3qppuwjOvcyBvR2ah9ATTwmQfikxu1vxJdEcXMD
L4J+tN6+3v8sCKsbGfktMY56QtDX4bQoa12WeImp2KIMp7HTg1IyiINgfCtUHGpIre+BDuEpqvTn
WF1oPsi9I2zeaUvdMZIiwiAT0rYhAzkZADdoKUqPph9fyGun1zmWzlSFlidNXzO3uixlT1Ol/kYT
Tv5JgQnCTvOVnILbI4rDCIkhjnrjIiM1XcEczLrTwDswBwyxuToZ2o65WlcVUITxsQJV06H7uqcS
Vn22FnNE7HS/vr9nMqEYUwa8K0Tw0TtapK9HhAJk/ACoqrfiYhBOkut3+sGCeLZ2qrTGNNKjiAkI
fzJXSUNWeIyBga638s6E1zERAQLKWRX6VxJ9LPhiBn1Nr+/ZaseDrUW+ZcqeQHRpEuXTLjN4I/bJ
KTb2udkYey0MQaDl+XmOkN8icjNJsTLvm0bTa/gRIJEgwz8tGj2uefT1TgS4IPVhPWOt8VWjmJH8
96RxBwL0izL1aCmbBwlF90aUIT3wNGnI+osUbKsLwQmsfKtKs+h+Dmq4nQcMJD3AvhSshEOwuoul
LN4BTPTMVlJ3Pw/GrKq7LG44s6l2F23qzroE3YD4X9IZ6ymEWmCTrfDvyOl+EmO6M42PhKlliRSN
b8XWa4HaelfGebb/+c4dHPO3Pw3qLz4RCYoDPAcmkCrmdWJww+YeCdplLJ+TnQW7qFe/6lCVPGRg
sXuhXTiv5PPy0I4Ox0WOANgI1u2xvCIlizewwDkyBjf1ebmHljBAXDdH0umPJEpjxdsTTWDYa/uy
IDppnfSGboVmw2FiLvrdbGBPcUI4aCfrtgLYZ63kmzRxWoo+2gP6qGMvr4JT+Yme/cKc9u4Cf+M9
Mt6sfftILvs6RqaBYds6M4mhccdKDywJVk1CHlm3HgUcK8c8yRfajQrH03TdGDuOswMT+mzFwEC5
oicmGwNa0E1pHRor9G75byYHRGbuK/3Tuli/MVJ/xcMNTFqarAFOiJ7/OHzXmqu/jAfsrwWScZss
Q049TtqtsxO8zpfyiYN8eEGx8WJuzI18jsHH0/NfkwRuX7Xv7H1JNnSiP5f3ZFmZCLhdxEs0V2f2
JrY8Y93tgS/WlCoezdYJEeQuG1hAbceiJ1SuG31jKPsxdem6z+N2sjz07uroau1eET4Q4JlPWwdi
zZGP92EX5jXweQLp3opRUzwxpb+fz+9juIuOyZWXd61Zm/a5O7qx5dEBvQs0cMwWTkPceL1GtBpW
bviadZuKHuTKwm3ClIlDKK3c5k2tNpriFej7MGaTHkIQM96Gs7qzEHLtrONdBcsEIVjhAaC3aKzH
N64xHaZ53mA/brStyvUwDlPvAXhKImSJLibqDuaAG19BnxacLr907N/NvvlkysXbU6/aCYoNut9V
dga7l+LyCLdG8TAO/mTfpBNLmH3S9Z1xkyp32HJb5JLPJSYsJQ8fzZP4jcJKTl1Ksq7aNbTCOgVi
gkPT2TwR6dYmJyvek9njStflJThTP7W3Jqdqf+ieJiA9qNXeOfq+FYfKH35Tk6EfF1+aF5+MY/7R
l46srbrX8TnGS0BS9ImPDcjmcmuNDgO78rnymkcMP4y74fBbK+0zp1hDvanQ4eZNo9x06mfiS8Ra
P6XPOkdVnObK3khcTNnBunkdCPoctxXPf8fzlfsjM04+kxyh6J139AtXT03q1PXKrDf1M+3SOfR5
mfzoYbiUCi4up7BWlnUIyfhKaZIyXFuZFJKntHH0g1K7iGx2FhWoRV3DO+XxM+p0zRtUrOXgpU9f
woUkMcdIN1m/lz6B+MYPobLtkYHbm5qD2Mk+z7mL3yKfjpM/EIlLx9rjzhWki6/qTbPvU2/akaty
TMI1J5vs90zC1ptsH7JDUGypbUGw3i3ehV9+NlBRqOYw6jgoJcw37iuE/ES/DkQ1ENG1VVkzesJk
xBbrRXuItgVOcpy3b9mmA2VB9BmGL3d6iXG4njtIAzSW10xmWlymkXPXU1vOyAyDmsFwMWhSkBfr
5Whz11Ci0hdws/cGzeKIldqJrlTk5GanT8OGU579RDRc/1pywpk2lqP5raO8KZ66MZ4xaZAqQ8bU
wvbhZ0ec7c8FfQXXPOzxxy+PY+5OFwg1jPSv1DO3zkt87ALimLKMhWsiGli4fxO8FW7zk+DnDm9i
Y73zGq5UulaxjXYDbnAS13jVGRJt1/YJyZnOjBfJgSaOtig9+RQ8YHgm6oiqrnLGNWV599CepVu9
1x8xmXZv1hXn2Hvkt/uARgrHhGswIUil2Ham4TGZPWuzsOj7KK8/VTd/YQvtLojflMPklafw1Pxa
NCzKVFdp7ECi0EAouuK5+mRycWSFFU/aKX5O93BP1R0WW2Ls0YuB0J/lbZYeqs6v5ItxFUfzsXzJ
8WERtgBmA/4Qd52+bX5TGhDBtG985c3EzXCmpDuxw9AKoUaMPxngEEZgh27Eh/Vu+EBX6+T5GhUw
151x1Fu9B9BTCbd5gxGradwG1kmH1KN4pBNDpI/IP1U83qcg8ngtZXqVp0MpfIyfFKnIFYPeg5cC
wbfksHCgqlR+t/UnpwpykMlxFdfoSVqBs1I866pu7EdU84i6S2MVQuQkpSJ2YhcpV+PThNf61XSI
tzEnAvtUnxpI++JUG47Cp/Ibcqjmc9uFr8uvHJgZy5xww13+TndlRFbwnodbjkW2O1/Iwdql1zDe
acpnhOTcuobjMX4fOXhl++XuoCR+CtkX0UvGkcWfqWOY7gPSTZFZhdL3asDmjjE0ubD+2FgPSSRg
/vk4u9Ev5VWy11QE4zG70YHQ3pQzDZABCc858xevvjJNI7g8v4bv7EssBpr2YQ9efxzO5UMMEvVX
56HfyV9lROSE9OGK4AKQh8VWxvoYUgqGiAHd7HmqnkOLU7iT6hti/rTSY1NRWO1uyXtnOulZ5Vx6
nd6C4BH2V8oB1Ne4YxNQsmQEugRLEfWI1AyzrOJWn/Vz+V4GB/FSxQ/Jxar2tr7Vt8ntfvAEePcx
IURgcIDZTFmluwQLzXZho3hVtpUH9wk7Ago8B8XEpvMpT5mUp+uo2SDC7r/uXHhyj/Q1AWkyU9Gb
9Sgvp+ARHrgb3PqvrlpVnAKeGNAx0dWaNR+U8CS7+TNxa8GlvAonfKgO+eKkH0Td19+a178zrAm/
513+oWrXnHRmirqFyz7sx5FbepUxE1rFV0aIF3z0OiqIXezO76Jf18+s6lrOMumE9MZOYMMece6x
i2hb68WgTYkx4kxD6UPz5C++UPTNGKKIWke0WKdNAFKrxoLqBE8q3cu9/lDRLIm8COjDl7ZwinXz
L93EFXldbORvHgHJIH/ME3EEw2Uw/IBtcZbfBe2WTHwOC/Zi0CcifFsMODcpGxQhr61X8tGLKWxH
wUo3Ymfpm3XGEaiOGwp118Tz0+LTTTaKuhLHmQL9rSic4Nho323zq4nWzYXXNLNHIanwwy/OMMWZ
6WV8RT6FRw63BUblzgVYY6dOdUt6zrgr8RXwNhZgOyk/Vj1eNWJiVtHTcBh+m7/GdwQAaegsn/UX
VaONaLFxgu/W8CY2mpGaeUcvWX9loMueJReOsgHvfJzXhNhuck6Xa+Sf4ynlmIGIrhCbUvIUIGwM
Dlf1KXYXGX+CJ37LPkfEmJABJ9yLY72l4cfyUrvhKbsVfrIhxKz97CsXJ0j0VO/BExEnx05xtjb1
ybL2JIN+DV/WibsSVnT+RP7RsfhlP4Xn7khgsPi0/filOQzcBcGqhn/nzcW3slxm8C8ZITlYNfwC
6S+I+F+mtakYU9iUMsgIuNElgkpijEbIhFVHTLO8X1TBdZ5qnfABqthIN+X9GGbKHiYaf6HI3XHI
O2kjtzMjwrvRsb//7c/Dz7/7+dPPfzPH8G6oTYmwI9hyb0+xAoz2/q9Lc6l2YISysNuOeRJd4V2t
Q33S4DcROxaxznR1K9aW3KhIXLheFYN1wNBEtiRTzlneuoOZiB6b+GDnaCFymD1MQdMrdsK9wYza
7eyOzq3IZW+Q2EEW6NSroKihWqYVtuYhxXKsqyweRunhMedEJZkEtMyy25oW0v9Gphll67zkIGKY
mnQ3krQjt+7b8VEBGA8TDd+qSoddtjlwdwy21nWQTFTCzWPbasiQA+tDBfXLsRrDxqyR5g6fBQ0e
DEHbbNwxI99ggvQM7maKXuLY02vBjDgB6RiHXeMMWtB4tY5ZvcZ4uEbr0j3UnI7gd65tO7FWzRRS
rBEdv5LbcS969vUqXWikWOM+SrKrFNSLM8hMbqNWuxkollCVV7ukT++uXzqZQkoecEHCcTf3JptT
ENUAXLFfL2TYIzCCZV4G1ywO3oWWtruOzLehnCifE9Y/hH9elnrj3fsNlsBPQ3jc6qWr5GytioWW
uJqn7hznVCIzh4q8Ez4hQM9RbkZOQpp7NFi71gwPQTW9MUVX/WFEC5h3xiVIPrK+wfdvK1+iyijL
BmtyhzlJNnCj2H+lTdKL7CYsihWiaO6aiYrsUuT+rhRMD0t4zYtCf8v7t1ZCGT/J3a0g1sBRRvSm
wVOtfyv4pFbY318GZDd83vHzjo39XRfmXmmnBtVJQOek4Dnks+LWkyAgF07SlC+vUodHqZu0eIXa
93shyFS5KxOsMCOdcIi2Ab28ul+ea1NY2z6RwHZLFr1vY2TCEI6v8/2XkXgUpqRuqjY2gwm4EIpu
20UG6gmyj504UWUUQeoWvNmE7t7eLHdRV1pAPWnUfb+8jrX0OhTRyWAPHUD7wQ4oX7uOYuzn/+aJ
/n2X6txF2BVCpJZ+WmxOlPyZdSYg+86TlJ86WbwVU7rta9foHUlwvMeuxeHafmFVjlY9YBO5Mn8R
Df1a6iOAAwpifHLoYMvuuahBIhaCyCBztD+bCZlF8CkMjsaY6/ZmyYG5ypkgEFlgixtq0Lemp+OY
CgZYXTw66TgfyqG/CyEbh/AITlbIxFEuZxulyUP/IdIZKpUzFR2wB9APMcUMXku1Nq/2bL5IyUjZ
RESba8q3tBo/k4mdBmThBrkRpUfn6zGgALUvGPRAKBfJc21AxEg0lpQMVYUL5wHqRby4Xa5hqp3V
bmvF6JVsABy7QWEDMMOnHovCBiv1QF2adANuZkkGltB7LRFYjhQ/BVHyQQ5VQffJTF2r63w109KN
1qItzIiiIJeYvgXKvsJvazp6MRNElkhXI7Rt1aDukTXmbWEPxtsurvHYPCv1fG+TzUS3YwaNlO4B
PiuyLnl8zgUqqFg1qGRMIDpqy9gi6EjzLRkny6TaApDRQ0PyKqW8alxa7k612MLRS696g+wJufAr
TjjOIxmzGNbw/GDXL5pFiaYUyQ2DJOOrJJhPWELgHVpPA2aOxWjJuhKpZ5FVXZbU0tMQqS7oOwSS
6ayeK+aAklwOnmFj88ogMaU2rkEBMzuBaoY11SYAj8q1jPLnCTFoPPBeabbW3GW92FXS+gS3edN1
wRdUt7U29K8w+RNUj4JgsSxJ3AqkDgfladcOO6tV36OJg2zV3WRjHyoVGjGCaEw42VbXfsEifa6R
gsst7jOpOJazRm8mD4/OQ2npPoCrR9m2TlPVbIbRYNLWyaOfN83vKtvZs/wRhph36crD0oqXe75a
RrPJzG6p5LVkG63w3B8zyEu0R6EiIN5czbcPVG6wXmoO9mQHEsRKn1ST1APCdMgeaK6Zuo4PMSza
VZrEVzDZjp7p+VarGftO2E6X0n4MmyT3sn5mY00JI2gXvzOGXZA08r5spNJJ5OxhGrrbAO0JfhsC
JGTyFMucifJiuKJB/5iG3p0j7RwOxR7pxHmc7JB3o0cMmFBKIqi1JNhoGSIrR+h8aeRqsw1SeROZ
1MRFGLacozJzXdr5M45BvlXRVoMXuM+i8Fk2J5Dz6A9bXdnUY5YxWoVrIg9EJrCarWA70u6Ab60s
6ks2zAbsp7RfLdlOxzv/gVR+r4QLlhtZueYWZ9Csq57Bq1FEG93jpNHBDUbz2t9l7bNggVftjSbA
ApITQN3ErDUUlFUDbto2qLyU7KggrrYawb5xRaNPy2zFiZXC17JqP8AOlnj9L+ie8Mmnb6kJyMHM
Ik6LbGRKoaVM20bZF2iAZRs7oKrltJATjXWqEXhkKwp7iAAUmIHBti/1pQ/4mmxyAC1yCHknKIbh
nBIbT7YR+eh4+HlL7HW0jIqnMdf5mwU3VikNgeKKFAHaOOWZU1apT+rMNi8tNFhd71oSETNRTy5D
AU3JWKb1iGJjPeKWThe1dVr8F2S+wJOOqMsURCxOkEiXWXQAQisBacACfN3DRqxLk3DqUf0e64E2
boZd7mmQZN0lcMWp54TSoe2PrRrFTHYjdyHkYLa6R3DP9DW7xg96C/0fUBOz0a9jzpZbLb0fTzaC
aJ5DTOBlZaDhBk8aJwytsix+rOeWT0yrv6oTtmM5zW+AU54hCs8bHRJbF9uvpow1Vx0mDwhH4MR2
m/tkHr0JIDVIGaW1rmgpQ5rCXJGP6PF2A+hS1LduCEmRMOgJWPeeta5mD4sk7eFtPCKAE5x0hS5c
peJjnGOuJ3NTRyas/O5zMJkiaTf08XFViQq/UNA9hC0BA+anocbyui2MXZjP30kZRp5lDMQcc4VK
IdweLNRKuRP1YhGpjtHCrga9gZb/l1nX7GwGt0TUBnCoJzy+qafkae2oA5Q4OFLPWInDw9BTKAjU
EeXd/wN4/DHNk95jQNPjREAVVDPKTgckEKQTZgEcQCYa80hfI+zMo0oyBeK9CscSEQu9fQ2CtnS6
eVk2cTGcCQKBq8NcPuq1zdIUYtfmI0zB+5/++HLKytmPMOqHdfoZMxlyYUTou9GK/vrw8z0swLYb
y/BqEgKYfh7qgU8AC5bi5hWntkBRb3JfalBiil96KbeeDY9uPcgSoOU6BLIRDXT4Iqi0oUIhCxmk
WE+DhHEMa6jIqNzCqtsNYQjeg66TDqyNJm72nw/9XF3vkEJvIVRh1yZzU6xUvTR3aqRhZL4/gG9T
dt3NViYTPfp/PcTIC8Si137SwtLK7g+5OvF08NF4pi4/kLJMV0zTi4scjOpm6PX0kKH23fxMu/+/
OvD/rQ5UDOb5/60I+KfqwFvZpH8vDPz5T/8lDFT+w9IV1UIboJiEtJh/EQfa/2ES2ycb4p5n+Tfd
4P+IA0kxtnSo+CZcAMLc/kccKP+HsG2N8FQN1YGt8QP/z//+Nf2v8Kv8T8FC+8fXf9WuKXd5wt8J
53RDI6pY03RZRz/3p2pCGYx6kGVu2FkOs/OPNZWIIKwqQKF6fFaEHyws88Lpw+BbB8xN2hpn7r9c
tH8io/gzUlFYPAuL+EIuE9fiRyb5VxHFwPq/wIy7pxXiqa/04HGw8+NCnt1JhwPjzXlzbAz48/iJ
sbhLbqh33zgRok2kc4YBwNj8G9GK+mdYF09JkIWlmrKJN4jq/O91HQ1uM7Oy6NGrczUA2ZDw5/WL
4mSZ+TvvEvmSTf22Lttuo2nhp9DNkigHg5B5bKyFLj0EwP7dvhhJs9B1lG4ZLQ2IeeyA2PwcU5bG
TaXVimOWXehaFcEqpdlspbHdjqoCLSScnv/NRf4jQfV+ke/BlcgXuaFQrfyhA60lucW+0hS+bC/y
XjMnBTw1c/aKpEatssUWqw/U8nRSt0olNin1Ddo0o+yqA6iMp7g01XOhWq8BWdvuv3lufAr+vA3Z
AhFXo5XlQ3K/3/96A3RtlzSjZeY+huuHYGScpskZvjVj3oQke69am8YldABanT1LoM5MXh1rPzNo
MoGNX865dA5lFvh/87zuuYR/9/FAoSvLPCthICvS/9QuJbKEvIAj0lakft0VJrZ/Bge6hMiiUopD
p2OMjTrbXagvNmo4glmii14W9YQfY1GOOW3Mf/2U9H/QObGi3wVOKId5L0na/PtLRdUkLyH+8K0G
1NrTk0DaGw0DKWp4RDpx85gFxxRizZUDbPKEwdaddUbUi4A+nDfDhJihmk6FKClYBgmg2gSvd9ZC
emmL/NqMTKGGoDku2p1bwnHa0VPxZMwTSVqDvBO98AolQa06nROCu/xJKiHKAKUnShfkgDVp7hDM
n2Vf4ACW7Mlry/IgWnNYNVVL7mJ5A6+B3b1lUo/hYatJ7UkbyWspy2Y+NYCi5/k7TuqfNCVY3SaS
I1Mw9Op6sJ2GjZ1nsZdxNRYjw1bVevrXl1cV/xCCxxpN6g7LNbouW1bFHxe4yG0LZkfXb1UOM4aa
lyctDPZ1YdsoCjWCUiBZo7iyhssUTCdO7ct+SYvikkTFBez1T94GR2+GAHt7aL6aHI7yXHOB5v43
iRK89rnGch0swT4KzF9VDeA7jmeb60vf3xDj2jCl6haAnIwiBnDZpLabMlDN3aiKS2qpT/YcDX7U
QlEAjC+ffv5EKlO464z+Mti0x7VoNhAwKtH55yGL7JMSWKU/lkrg0hjcm23xwNvYn7JumkiG05Wn
gcitK9AGeh79pehyBf7ZogDCQQjQNtHZTqi4x1kmwl6UOCGJ3lIJI9S7HMe5rEO8oiPj6CV1aRSW
CMGLxBdiSY+dXaVHVf+ce5XzEj74owpsEOVan/lscGsZF47HhxvHEziXbUS63IFiY50cUoX5ExxD
+wSnLT4qnNtzNaQFlrzOUttv2dogfSgLgX/NoJwou1UJnoVh4rbTa2k9VPfIebWwicKp8W3cT1uZ
jB5HKSvFZ2NHCyzTxRvFXJIuf9cMRXF76GMGtrDIdlIE3ADiIsifXtumbfBBRfRsVaW1+3mPQIQx
EY6ILDXHtoPtLN/QqKCZqaF6TKMODaPD0gLGnoMhQlEpMw/sqr5dm/HV7Kx9TnfmEJFrcg2kgcI5
wRtcyjU4vBJgoVQrjwBJAlZmi5ScSXiKasAOr3iNtVXMp1HibqF9Pa36bD6oZkJDKhT11TbixC9h
c2zoIrzHXVgc2km5q/n71ulNARxAJ3HXZG6vzezyiXQnMA2CamDKkoO4P+B01bbBGJ1SeAyYDzuY
UncURGhND8lYFDtJV+LzJEehlwxop5b+ntRnNBkDeW25MBmRLwG9nJgcZhKi+4+pqedLn0vTZejy
FztN90vfMaFSJu1ByLV0jlGr/HylCfmpIEFvB+aKaTt5cUbV2jsCx/0eUP/550EPm9i3rYxW3v17
i11Yf/uLVOd1dMOI/OP+vSiJAecuFV12tVwOP/9Ys2Wa6pAhXDtHHZKbGPyqsA2vzf0hy0ks5ENC
a+P+JUg1/kKLpqNojM3Pt4RcRCGS512r5aNDuyWCepOGjzQxTbjAyHRZYKSHnwc50XdRNi8n+f4v
Ikvut9ndJaZR/rSacfl5oP9c7GYx//r5CrrgcuLlraH4sja3Q8VQL8oefx6mIbgBki68mUV7dXfc
Q8ai4wDkhRlwlue7Zaqri52NTLwmu3sMUaqxwS4HqSrokGv2ixLLJrxj+v3E5qyVMnypitzc0rib
t72edMx2297tepQwMjF6SLbpcvQLkPUpqKubVUM6Nn6PMQhqCAr7XMZPIDL9Bakrgp4yR4wkaMf0
tWByoE6/cBfal8aid6a+WzlBGvCsA1DwdEX2wkC9HRFYa0B5ZRgwbGFtkKBj6+ukt6FaBYAO+Fy4
EnIzvR8zn85S7eKE1AFp6Ye+IfkmNsEwpwJFfmguozNbSCfsepw3WZ7iRh/BjwzoH8EMxN8qS5tn
Q7tg5UIFAnQA8ahqMaLeLEQqORFFXd5MwTXK8vdOI/tJsPhucybCRdNbp1Lqonv0waqVhxziVMJg
Y1afkw6LIEtXfTEiOp3y+BRMEoqL0LZQVsChshWwVFlmQ6e2wmMWARn/uZooEQldRO2i6CrioxRy
Zpy86n3fXeQOqGBNm/tnfVoyS3uauZeb9o2Yh+rKTnXKtWXc2zE2YMWaHvG0xRtwKBN7HDBJvsvR
3SC5YoKIOk7vohWLJ+L21KuwOPqRRcKwMMcvdHLbaswdkSzbyELSqICpGvgBtzBbHiEciUNMpq5b
AJHbpMzG5Gm0XdmOpV1Nxxctn2NHSr7n/buA9Rz3XWheQPBNq1QOICrNhChbkbnVs5IBhGI5GAzT
TREUZDpYjCt5acRP5jhNpjhE9hIVd3yF8ilLBep1ZKRVkuQISvtyT04ow6W4A6CgKfsussaDCF1N
KZaT0g/7okyk12XZQocTUDiimbZ3lm61uDotPTNeCrJsY9ZF7AmJPLFxxlgxvMYlLlxrwjpPCgbE
D/0xDee16CNmnZ0ivYQAldbRVG7sfgDDrIdQv+proyfKLmhjVKHVVPHrVdK5OouNdVj21tSkfgSa
jI1AIZc6t4ydjeQ0pvMLk3D00zrXd5UFc7i697LnqrQPwDftAzklU6c3OyMUOrHIyBJlgAHlL9kq
07U8VskWlPixJtbjJNtf0ajRRQ1QMaCP91O9+YqZIjm1bEDC6uyz0msm8ImlcQsj190wS0Y0SMAu
mJop+8IUbMcWIppFTVH2dVNzaXraM0NhiI+SjJtbbEYvQzrqO60lOXBEk7rus1yC3a5pPjTXZtdD
WTOaamO1DHuseEh9uTZONZyGKr5ryMiqkVpADKlxUZK8BJyG6LYq/dqu4HmbWP7NJME2bQaN//Pk
pS5sr1VvH/ECw9WvoenrM9Ouro/lo52nmyXMgXhhOBnqhmVgiH2tQzTFaTna6nFyq6NZOnb0/QWv
bJaa7iySCP2UiPP9FE3W2k76gOk90ABQGltbq89ZMzTbqWX0IVV+SUDddpi+APGWZPJZ43oJmu9q
oaE1hmzgiV45+UK8SVLj5GJOuM0I892xqRWu4M1zbIXUGyMkowDanbluW5bCPphIkKk0J5p5CSnq
3TVxzhJCHO6m+8/oggB1LALdDXeQr/UasNAlwVSuhp2robUMx1R3p7Bj7wlhRY6ZcciL2g2CSjpk
Q5etl4bUq741cbWSmtiBtEqMr0zEy4W2MBwv01c72yIPBziamK1dX/UQumKLAA56FasBDWNrD9lT
P657CQFlWDU1Yo21CbrmqenJU0d+kDPkeCVIofJofT6pPUES8RKsgVqXDk+HARQBu/QcreS5n+Xv
hpkNHCgzeWhAbfbtrH0Mg7RgOsorT8Hl7ETSgHqmGyoiIvk9TA4YZveIKZUuORmtydlUy5OtFE1E
et2/7Pth+r/snceS40iWRb8IY3CH9C2DWoSWuYFlZWZAa42vn+Os7smqrOkqm/1saCQjgkESgIv3
7j0XKRtHnMLmKeqYowaHfkyf54fUUJuhHt0LGIfxVLnOQKKKG+CBQ1bjyTR/F1Fwb4zJ8MPy2gO1
h4vfAEeWaMdvmrxwT9JXpPm2fb+h8o9EUXCB8Ew8ju4JhP28qhequUkW02e9/qS6/lVfnZpB0XrW
XeCsiMdz04fVujfR9RR5hz3Mm4mSiNgmkdXBQyP4riCKbsexMrexk38h8M04kXIVnq/3rjdeREDD
aKL7csLSaGiU2cZJJYg25WAfr7/SxukRF7Gxmxb16XUypmQ53xpOYh0JAZK/3xQZR68eCAuIEakj
/stowEGARbFfZnf+En+YNWo4okoEW7oHu74HaeveGw6zTxlUj2YmQd9QwYEiPleP1+dwIEOZaAZ/
11akeXamgfJvjppHkibBt3Rk5epH1FXFkVRirPb6YbgnarTbchoX69rNdYapU204ZayH1EUoNKdk
XqVwG24ikH6rhmrLobawQk0uNFhgWufeDOsnKPk3TBuPnvDDYznXuSaRYblqBJBIlb4IWi1n0fkH
3x4JRDBR+ZthJB67VJiPETHDdssbDDplb8uRFI8YbA6lKSC9vb58/GIjiTxgu1GeifopkH8CbqEr
eCdacgbmxTRJ+SzRDl4fexUKII9C/Nqng5OwQToZs08wB87/m5Yi2tE2wker95vdYk3+qaLFdxxY
2PXjtByvN2Xm90Co/udxBFCG643UBsn3zJQ5uz9i0c6ky+xdr4b8XjsPWdVDtuYiOrEuRwSBIj3P
K7XmL5KTF4UNNN/6VgYLjsLYeTdMlBIZIRd4PsfDVKC8LWI/2/Rhjvg7e29K97egMcOTkTV7U+EP
y/P4PAAQ4sCGD+aY3Kolvm3QULudfGaFt09EfzvFvNVZ2Lx2jkVmtLJzxyyA78sA2zt9qbMI1a5M
3gzk6YLchZskiZ/dgq1XY2H5X2hfuPYNQQYxl6D65iw2KdjefvSHF2jSPSAutKbusnaLGLnRc0QS
APmSSbkrJpggkY9IbqSPIdoRfE33wOLkLdIzTGaPu7nctiYqsKreS5Ecwuwgm+g+JfRp19GjMyW+
SFGgIQtGGgnZHJ4Nez6MHiykeiDUxfxa9o+s88mOpBO0Agk00Xj2xIHAMXnjDNN+sG3kwoMh4CVx
TdUiPsUmoivT73/YUGa2rpN+nVIkmDhR3mTpdgdynqaAFTrSCvdAqQ1iMDgSakpHTw+X15vcWbtN
5O5Fon60C58TgNCuttwDkGZzg6f8waVxtepQRMsSf6VRVD4ECEJwBoS9qQW0qyIGPHGNR4PcB5xX
g7eZyuy3SSHvq3V5J/eh5vivpgQOHrg+uo92QtGISmLl0MxYlTF9HKbOm1i3SspcfAZ81dUYoCHG
J7U2BAuBLq2/ph9WUoHf0Z6ssIZWoyvIRbV03xk47hiGSKWzJJI9g44XMX+gZ/Pyc3Qmm06fI7di
Us5r6Fq3qnYOIF4VFVBXHIssstlfRdaLqyo0FnF2jAFunm20JTpvKDnLGmNGXXkPKXIq1GzNl7go
qzcOycXIgtemJpcybuqvgAvpx7r1smtHIEruQBAvSc44MRhDrsYS2xMTfTiLghmQ1lsjU+suls1t
R8N423bG68DwU0C7PSXz4G+qiunLD4gql8JCYEd0wr7LDOQs5qNabvsqLnfwCqsHaLl45Qmr61Ny
xl3PY1Pu0qUR86oqg/w8kOjAZunFFJ15NuGhrjmF0ZcVNV+ibE523TWnqrGztZM1tZZoDAfldF/I
0IhXo98eSzlFW8Y9xi/HvLMy4d1HFKgLw733k8Ng0/SvTHR/S+jZpyRTWH/M4kvNWmpHi+4BWvBl
CSQkJQcVJUxsAeJTOdt0HKCbPI8UlfcGLLs1VWrMtHX85Nkp3FTS9jhqIMYc6kkBnIWNn1JSJtQb
lfJCAnvK1X8AFVsjH8Suep03QkO+qNmxDiwUzmUaolVvefeZnTz47hi8lEmxLav5FaTBiEpajitz
RsLjR015s8RJsRZj+iAM3M3FFJZHWMmOgPQdyxEndRsENz3nNOqn+m4o29vUoOMdJfw8nVnTxmYQ
6ATq/djW8iYodP5GfBi7FJtsuYzrsJosfE10AN3cK7dkNr34jl8ddel6gWfI3VbExJq2ASrurvpC
IxeTrflcFmprpKON4Qby2rHKM3mMKvaUlWfjKAajnf2WUIxAeRggVBqk4x+vj3Vs7EQ+9sGNq/JY
SXrtjb65Prze2BCjkaX9px8HlfvH3x493JHzGD35stgJYofrwf3wUlLNW8yH7gY34jafi3Q/1AQZ
NfoXdMtyIUqN2YQcO9Vk62s8zPVmSFB6zt8j9uAEkUws1gAb9/EhM7BRu3d9Rbemj4eHIqjOdP/9
YwHRD8BU/nXO0TcZFvQksgmNI87FNlc9O03DhzetDQcuMZAhFJrHoIZE7wVLvhVj+EBCFq3np9gb
XhrTR5oEAfVoOk5OFAvIrAaJGHTstQWBYvSe+oa2ihr8N3PKy2eFd+x58bRDGmXZMB7IbsLrbfnz
bTTH9drxkIWmZbUKUWzx1WTHwIxI5+5Q+Y5tTyVjLg4LmCkq2h3QWGMy8qMO1KC4aj+R6VdUVXpU
5fKdg60h7waJPaM2nMikA9Y2v8sRqvEYLdYuUy6xzg5ywIXZuGlLdoAz2NoSim2UUVnps7C8c5L2
4kNWPNXgfhVnMolhheK3gCNYU4T1q91If0nf3TxvTkFBsSGI22Ld0i87p1lxa8FmfK2QRW491ggH
4uGHBwUIQrcfum9TirxrARm/dPaT50Xljkug2AdRVLyWRXAqisT42mMBvLF9MdxOeZTdMkWzUVLD
pmIx/jWsqPH0OPy9yf4ATvfgBsQ/5tG4HtBxSsaYuyywhnMRItppzHlf260Lpw67gOYG4tihkJ71
0SPJt1QGe4q8bKgR4JCGeZAwkNZeDpWqJ9prtxQMHSSoWMwtHUIdCpNlNSKMrKcdJY722BaaJoWj
8zaskYVTTCBU2+2Ns9cY4XpucVez2f+06nbPhtI9uDUEktAr7lIxiGeKbceQggJrFDWfHHZwM4Tj
p6YLcKnyCPEDPqW88247aQlsRws+VFsTmOfiOWKPcJP07ILDBiV74g/lzjY7RCtzsu5ZmT9MxJok
Dh7gRmd0GxAC/HY+kNY4dVC+ECdNE2IsB/5YZeEW9cC5HUaSnbdNNXiXsckvflLEZ9RkGe3B6UR3
siRGfL4MIukfZO5+TXFaoLrNgdDO031iAiiQEZOUmHwi0frHvmUybkMTNpu/YOHIh70dIDEzKK7i
pSLT1jVp4DZNtE2aEO3PFLcX1HHjOhl7dgkIu8d0bvZ9P39EUccSfWzE7bUspRxrR9vIfRTm19qy
K8w3JVNY57+7VVqtoyqysHouENOrattDldsHU0PXM1xe47ku9nIenzha88Et0P3H6bBsC9njePSx
r8FTlLs0NJet4ARjiIDDnSB8TakOtyW/H1nNm+pIIYSJtKpnk1zlrDtT5nSAVXx4fX5XOG3zEC2I
hAo37C4GRpvcZkprxnbaOfPHrMZbVSjzHKZYB/l6SX4q3iETjKfBdU+JJNu0mEe4/UaJIj84exH4
BGt0MYdPtGzS2b1TFWr8VCJxW8L2bqG0HXp0bGBrxdulrIndjPvHxU2ppDvfa2vaFA7ekzE0WGwn
2IJaCyBYgA9BIZplfUzE5mh5O9d1sNuO3TdznKPTYjjxutURfcO+bICx5+XUX6IaO3WGyXcDmWys
fWdnYS5fm1UFyUdXDto8d9dBh4VdhSgivbE4DCmyvNivxX4mLxDkmn0b57730bygvczJCbib5dAc
5yF9glAZ3yZzJU8pnGO3hio9zYpoCSRil8C4EYpdpJLS3RtaNzaz8Ywo6I19b+6Wlu0/peLqjdGe
VbiZYDJKii/dcpjj+NhbdnzrGvSaWSRhSzfJWbiLQ1ZCHp2n+6hlOLSazjgnjcGLyvB+dCgGTM1y
8e0A312Lm06wCcFfN3FeLHx/LGzdU1T6/akv1QsaQLyAsgkA2BC55QFEYeDhj6rOwQ3SK3CgZiJP
U5D8GKzM3aK6xmXfP8aT378Ps/ned8ywHqElu0hwiEnEEruqWSL8DQjUIvrzc05rTCSutSu9AZ+Z
aQ63LlLqCl99kHRQ2MMKsNFUvtoiic7wEmoyzaTawFokoC1vQ05CI33weYl17AMVlVYS7Mxo10Nu
GyZvH7P/P7VdhBFUze6pZM0YdBSO0kF2O3a49YWInP44RVRNnVJc4sh9NXO73zNWvdKqMCiel3W7
nfTSQjQ0fKXfUl+SnH3Sxzuv5hGCQDfCfVIMrzRNUgongcD1rDenePExeafDzo7ns2C5cbb0TUw4
wky8I84qVoSViV+npy11jF2azVUsnsccZStavRgs8olKan5CCyxu2tH4zAJ8mm0fVM+W7Q93Rpru
HP/DdGbnuTUakkQp+ndj+hGbQ3fxiIs7E/Sz90a0+WJJgiPfyEKdLn7u5sq5reuFfp7fpUgi8/yU
Z3Z+isKMCN4GPVYt6uI0GZINIrZMI2HJF5kkHmSO209kvMQ/3KQmjSly7KNrZj7sitc8LOkciCS4
cT0C51YuEzvlVsndJgsXQPQVplRKFri9GTCueXYFKEucR63YklBO0c9LZvtGGoR06ijWZqyDZl/1
bb0OBtipJVqKlRMzvywyCHEAddV4Gzm+2CYZjfih6F4kWZ37YgwSglyBTVyywhov5GItiiE5bb27
hsQBmLjcXIedjCsYHUq696Y7mpas1evOL2493aa2J9FenAlTmRPt/YQRPikQ9cyzSO8ifc+LjR9p
yaa76EZ3P4I3FZJkyqHJeC4oLm45tGegeTufZeypcSdnUy1pdohIBCUnNKLL6rEDVVg9m4xp0jZ1
ahPpvUsRupexg8Y85uYlRZum2oLw+hE7Rm1mw55xb9lYCnbYzNi8g3HyNfJI1TH9XD31Ir4UXWN+
BBb4jGh0C+y14r5v2fjneQ94hy8S81hdkPlVGkdsGF9GIaN1OqpTVTiF7pp7EPgyqK/V0TOt8Lnp
BAW7aT6FTi/XUeKhS7T8b1hDmh3hcePGiOQpom/0MZnhenEJHm1Ykt6KKgwu9pTAbSTf1aaAchxY
6gmvFL+lUP+WOKd7wCK08Kn+5b3R0NuUVHZ2gyWdVV636jkp1E4BfSLBLj5PGfWEIZdHIZr6rjbL
O0r0mzSVFWpm84cT9kgNi3IfALt9rihPU1p4jisr3o8dxaXr+XA9M+Cr7GyWHJuqQ9kvobWA8Xa5
zsOYM75NX+ymxo9IOWPXFnYDG584zUgGK9OasbxQKqMP9WWIsIQL5o0VzfjmHCbimQY49EfSljYD
ezcS/jTUknYnptr2ETeRDeaTSkUyLelqaMrptVDOD6NdeCrLsO0tHcCEnlVrscgFewODsFXSVYp9
1nTO1H0bkaVc8qY1d/NQlxAo6Gw2iTR2REw7l6X1XqOSbN3CVPYlsuRrWj+49P+fXODzz6rBOhcV
sdhFYMa3syJp0x6ryqQswN3rYzDx/7q3zERtXh9Gs43MKo4Vc13HlBAn6mDZCj5H2mf18XpTFOMb
pMlsTeL8zlYxBkOvonNvZua/76a0tQ/jfKHYXB6vN47eiim97breM/uY2aPsKIBzyWM7RBR6BBcE
poFGaICV+Xof1wVW58ZKCDo1skMQo0EFgvmvG+XHXrpy65PoavPQWv33tMtrENwzLzDq8MrOwO93
vSfSUqPe3LfEcyA/DBTNjr/fnfTdOCTaFH4kzcjWwTdRkI0omLSOi765Pvx543hRTOAavdpYp2Ze
X+D6gr+/1P8810DiXLyw3OdswJabTOeKOtP4ev219Prc9QVSkzgk2KK8hV9eMK0QZyFmfK2pkR5L
d+RAEMhYH39/rJ8MIwNzKKKMdTFY7Y2f4ZRsCeE80rsrcUZw7+fDIDJYqAKU+uX569f/y3M/H/78
e4s2j44i/fcrZ+CAqR0UYMX0AYx+HsXrYxJpORJxGx45+U0alzHhLnZjH7Mxgm/TOTmCDJXuxtFX
lA6frr8A+UfJtjpM3lS1JyVgmVxf11sKzo7r3aAcCjrD/OR6T0R+uzGT7tvPp67P+/rXrvda5be7
GU/az5e7Pv/7a5YThT+7Qj93FQhf5chX0fD13vXm+oOe+JlVlvb2TVw9KZqfB8g3VHAHN9sonWWb
4TA5si5ayRBE//UwR9fT7edhxSA36IvqeiVNOkf1ejPoe7Y7YwFe4mhjhON0rKtiOkrK8xT1ePjz
5vpcHi3sDA2q5mkXkAaX5eXm+kF+CrVnr8FJnDYTchG/eMHyhNQJvQCieU3ZRv2pdU3RtCIIbeu5
mJPmmHKfMskJzzUsFuJk6j8bPpg02s27JC8mpmh3i1sGcTBsyqJ4tFJKsONEWi6TAaVzgmpCgexg
3rFAkyffYYsvUugD7PBWtA5fslje5TLxt4QDfiekkkAW0b64Jf8w73RnkWvaKMo3f7YOQ9Ha+Fij
cNdaFtGgVEFRgV3SsEZ95EyvsnbuOpmE59AmpW7RxeY4OAcYM48eb3AFrmFuf6MWR6+cxii8iENK
qO/EyrJFk6Gzh+ZNF1D9n2ub6ma3IdQ0R9SS4mV2rUtg25gC+8uke8N9RxCKm9yZnoIf2AY3VOuG
rqZH2s9rp+1JeWvuqZjt+gC8YyjW0ex/q5y3zsUMX3bq0IbpN0brNU1APk8Y7xLDR69Vz9/AkZH3
kXO4acz6s/JXYeW8yNH7aphYa3Niub3um9/RZ5mVZwDAp18QtCmxlzMdnEiyWWAaj/GxRw7utrjH
/mMExNxQA7qEQfyFAPuMrUcmVkJOhxKxRULnZiDf3g2C+9innxgCM48KW4cAQoWAb5kBbaKbQ0HG
9+V2pIBqd8B50KMsbN1Eh9TBfwJGvhIW31zLTgwc6nAgOiKhMDRH2yrK6J8r8VG6O6nYZlk5S/yK
NM12CB7i7rbAhrUp8xSWFaHfPuuadYf7mD1t1vpkguBy7VGCr2xL7ALENhiR656OFVVJKeOLaqyn
uZNwm92uv0Eb8UiJ6sJnb1fEJqEoBpW/9WK+vUaJVeIABa/c4pWr81N0626hTpq0NLhZ4B9s0OYr
Qb5QsMA3bK1otxAIiwvS/I0NRMslK0VDdKEgnaIIyzV1+dW0Dbrqbe5wnVdljJOCoG000WsUkiRI
Ox6++1w8zp7zPSC3A7tklYKNbKBKrfrGlJtAgkMXRR7sCM7d24i8CLUnAc006nTbRd30IrNebidM
dZASarkjF9pcN3U57JNwImAg6uznCS9LPppALBU5PD6Rws8LOXoPdNWBN7JtuD5FToAGgolHs4Cp
7UyO2rT18iED6VywyXoHL0lx99mUC5ZQevDoJu/Z6KOaDnpgbukrIuh0gucJdfFBsUkEt1xwgVox
OADXwdmuw6YCPkFrV8WD7RbLUxRVmOh1YM4csOIxOW0UGj90LeiVLNpoVCba4Xma5uQW+9oLE8Xw
fL0h+2SaWvMJsEYc8EpJbX2HS6vYYwGr8OyGar8ZMhUuP7I47o8yHuP72DL81Yh7ugokY1Wm9p6H
rzNoDVg0kXeMbJIBacz6gzOQ6ufQI8CJB13n0eos73Ei9H7OluHe7OVTXTTfIjNX/GimVj1bxZ1r
d5BlTTEefJFajBoNYptSYHLNMfznimRfu8Xkxs5uKIsOU7v8ynon3SaUEan7TVAyC3s8e8lrXiXw
U4qx2QSwiwI5PiP0gNw0YLUVvmLpRGbMQqxxDZ/44sjZhpyEXHFC17B1icbkSk4gkFRuRtnfu4nD
SJxtYT/UA8hXww0n0Aec16XxBhsNdHHnnyd0V0SX1TH5MeD5cEpU6ybutFodsDH68B9zJp9QVkRP
HeX5KOjyF3c8zUurnpzIZVxJ33Ixj+dAzdUlMcTjVXVTN1QlQQYew6XZDy7//u+VxeIvjGIf1ZVn
Obg5hGv+BVC5DDJRsWdV+1T46Z6cuGrT5SCD0Ay++IgWn6a8bdbNMm8dLe6Y3C7+h7cg/+L28IFx
YhwRjjBpBFq/oDhVEHV9gqB/nxvInYJe3nmYldYGob/k7/kfGRmFWhBQbRWpAbc27kolcwF0FFdk
W1skJVI4PGmxqTmI/A66wnNHc/nAdtW81SrQazXq7784qQXXfxLh864908Q9gQ7fRvX+Z8U7bobM
SsqJL0510P0d4R/CISD8akH2Xmb2Dg89ZKBBHEiKjXZsm9IP0CfCxhKGDztobfV12lTCj7DGma8l
xRyKP84PBCqOzfjFEphqzD2hEjF42Hg5/sP7/4u5gfevJC4CX7l8jKvg/A+IUCIQ8MwIt2SoK1i6
2+QtxF3Lh4AWj1HcPKDKKG6QPA3bJfPeBzdmeLAvCaAHMGqlvUHbfx793xyYfPvF9d+VroAA4/zg
yrtPpqraQfYYb9o8cnZdYt/aHZmk1w/x/96v/+T9whAlcaH8Z+/XK8p9Rr8/Wr/+9Tc/rV+2Z+Fn
4XqTLhVyrsZ/c+Gt/7LRpms3DkOBwP30Ry68CUZe+DZlaAvJ3k/nl/wvTyqh+AklItOxvf+L8+sX
N5CElC5gz/MGbcujbvDrRSUGfL4Yxvehq775vcY4PyxinFYAMKx/8KxYf7mC0QLySbEeoazm+/jF
eoRHlHh02JL7uRHpVvqIzrxhIqWhtrj4CGo2v7eteejTTW3OFxql77UxQbciDC8e8i+5lx/LDJ8J
5fxxPXY0jac5XNspHUG/iF9i33yuMvb7DCCnOHOQF8oaBZu2dtsp+tvJo9PrxOdSo8gRg2zoq5Sb
wWju/3AG3P8+Jv3RTuf9xTXGB3Vc0zcVR8rj8P55qIrcLCPD0lf7ObT3kw56sRIfRV7sUIGn9CAy
DBOx/IYI9TOLLTDBzb0ZQyPogqLaxBVgqSDfM19/5nZ+zrJhXPtpQN27cTZwRPKbmczcDbaLlSwJ
Imxy8Zb2UXmkf9JnIL18FjIu9O8ltMH5d9bFC9MLoRkWVaDNtbNtSBOqNVN37Nr9MVsin5V2gYqd
Fg5Bm1m0zhq66oZHG8qxedvd4LPeZnxeKdZ8gOS697nWAathjVRYvBTxbBJoFeU3vkr2ia8p49gN
+ZP4UyTzvqhGgEocAEgt6VquxLz8qLP6PjXDT+JjEdSk8VPFxkOOJEHxsSDz2ekHTBgAKGr4OtTg
H3PC4db/cKz+YqTiWGlvHxkMDMry11wEsyFUKu9I6IkilluiDp4TK/2iSF0ZismE7wN2qCn6nrjA
xFkPsOzSskEI6jr71vBKQL5U5rNIJ34C7UlpJDeeu8GACwUnZoUcMdg7tf+OiTrTBFyaH8O8Siim
ssoPd02FJqShYbv16S28Yb10dKH600lUS6IiJJEaGcoqKTnva0zGzUiFbrHVb0hipqPV1O9ZVJzt
svTZLjkJnU8w5U56ymX12o/FPeb7dI36gt4VMYQi/ULOyn3Qzu3WOZb0xmfpolzJbjGQ3fWyOzse
TqP8aJlAh5BiUg2QLr4SjqJdmA7lCvXAkhGI6QxXIUqSO0WCmGcD4G3TT58cVQ7UY644Y/7hOP06
+3OYfM9VuEJ922OC/vMl1doW/UgoLPvYqsZ1Y0Kl8EPC9AQBFZ186uz0/e//ofjfLmKCMiyg5Xhw
sUv++T86g2ihLvEfrclCQOreLz6qM/RW8CSK/q2KabsbCO1i+kcAQjRomiPsEeqO4dM/NHH4CdSZ
FvV+6D/+/r39b+esQiTG2YL3T1nMUH/0SUrRFkWOMmnvybNqS7r7EW+NmYx+p+M5N73O/CuoG/+f
/61tCttyPN8iudH+5RioRkqd5ejvcyf7nBz/2awYD/wy+WzrPtiEE3Lm9p+seML8y4oZ96Xkac/V
09Rf5qgkpD0xcuFCOiXPKg7vqB4ROTBCiqpw7HgVWCh7IG7AJgXCe04TqgbXfLDSMz+FUKd8IPxN
MS1x2eVEfpesmhhkAjOddzEvkwkFUAfkS5HMlH1N9owVkYfrzM3v7RYWUDbHb0VjPBQ25vyBr3r2
YCGlbrmp+b+bbGI/kdnuNqnGjnPz3rVKxNKutsxl+QGra7sKrVNhogktv4Sz1H3GMMeeN8FbWKBK
lOhwXb/51pkv0LvGddCPd2TMw5UNcA6Q1fmlg4xINDljMICPdVojgQjgEqDYsD8nvB4iAFidxBSc
qnza+CkkEVSlLkXpWQ882bTgj2AyMG1imGYOG7AIwwWIHU+uQ+jn/GwN5Usv9O8ytUK0mh/Jvc5u
amMgTxaFN6x33pjiy3Vq6x1xIO5HPTvMmO/GmkRQqSA/ROm+gQxY0hQmtQMTRwYZ7u9PQ+3C/HU0
IMSGHYzjSR3zohx97f5hLR1I9EfR0kz7UCGdGq1tAjCi1+QIQzMkBvXga6ZEBFzC0pSJCNzEMsKd
yOrwME/UsQciapHxR0gFV4FP1K2PzRN3NnkbYCyIZh9uHMAWoyZc0HINzyXQiz5pBVpeOBg0ETUV
g30UrSp7UARysfU2nG+xl9H0hX9I4jGyUB8DI71RKMWeswmER87HAqNY0zgisBwdeA5PczpsR/1W
EocejY+qpMEUDyg5ta1cpnZzKRf7e2q07JCDGdI5u0XGrE3J6QQ1Jq6WJ8uMzlRBH338gCta0gDl
ytTBnCzflaaMSHAjjuaOZL2CXaNRJJpJsvQssWD7HDoM/jc9ofFGUWhumfHmgjSZGtgmOLVe2qX8
CMreuWnAnzSag5IDREk0GYWk2lqTUhKQKX6Gxt1FhV8DU5k0VWXovAf+b3sTeGoPh51UcggsdYTl
LKn2msbtm2TIuSn5kTPUFp9vyMv4quzXTlNdJvAuJHV/zjUySsoSBIBAcRMVcUMgE/IDSdkPEQtr
aHkduSwQHNGfVTeZpslMdO0nzZfxAM3wXa2zuUTHYTh8e/HSbwJLUdpj8QWmZtK8GkeTayQIG5Zm
4DqhGifdnOnVKdUgEaznIEFaTXGekPj62IfucNe2VbwdNCmHTdm6TqySMr9C8lpzStBVgG2qGTuj
pu1YmruT6pCDMJWnpnDMAw7SdG3FxLBrXo9vVzQzRf4+OyZ9tjp6XcLsKXHqU5xUh4QUdVS6eAeS
ONrnPSkogIEolW9HXF6RJgbNoINMr+xZ5GKRyLN9bSKbwfBL2XNWDyp0sasYw1PYEsJXieYl53Jd
DcJ6iEbPwAORgoaTy9cCGVDKyzCVuLsqsF+d2rl1zTrdtCIiKRwVUGEyu9RTzSgoQ4mEYUQYSdW4
jF+KdDolAi/gWJpwZrPqZYJntl5UhphrKknw7EFNaiKTnTKXRinVZKV5TdEIQozwUyytjChzhPVs
8e7KuDotkXU3A32qgD+hhHlg0Uoea+rBjZOsnqZcUwyHj0EWj6HJ8c8b0zwhtoW+Zx7kwArVYbVS
OlW+hXj1ZAWMzGya75SNTKZFZAG65iHx4Va1AKxaTbJCrkgQBHCrpWlp/Quu6k4kiGji5QZ+5IfF
ZbOaiBmoghmJ4JgQ7oJ5Kc13dV1+NDQfVy3YxZWbw/vGOUHRLYMf2x2DqP9eM9ocmpHrWE30aZ3g
NoPXVcDtetiOKrpUGuZFXOfFnJqti6iwwnyV5sOP2gP/NcABY2S7badT79YfXd0/K2hhqQ1lZjnS
h6aPp0rSgjDbIAsnxWjxxrfMcdY97LGaep4Di2zRULKl8BrSYXFMzxDLKshljUaYSVhmZCWGK+2m
yTTmjBziG9fK6YiUw7CF+bYtgPPcdU2GoV2D0sKUOIV0EjtDQ9RMaGpelp2HIngeDSx7U7ncDi2O
+UpmH0nBtxPZr8iRgY1SiV0ZLp1clrZvpGwA+U7M9KEyFNBZbOQrJeoHOwT4VrI7SBOyK6YOB9F8
E7BvXCUaEhdJdFiZBsfxmi/oFkgStobHGlBIYnMxV6VUpKN3Lx78OaOr7lKrS9aFP2jNG9p539/U
rVXftIv34rG/wYkJs7yaYGIsS0s9Og/SXev3B7+Lso1QNsB7mHhB/NxoRN4IKy+KrIcihAW8hPAC
rF2noXoiSp69mpE0AdOv61YMCkG3x+NHmyY1oYjpSptnewQFW4iJfdJCx/GlQhu9aq9Yv6U/9uIQ
j6gJ0xkAmAYAEtr7mxF/4SpvN4FGBAKJeO1b9TAJ5uoQ10sL9g0dCIcfqssKEhuwQbdFvqHxg1AB
YAJWIAkr2IRmjtzcZ+fHOpKeTQ/YeLHeAYF8gIeVGm/owznMNPDQgXwIqPSbBQ0pC7/lGoyYa0Qi
q6mXrkIQ2SFpXVc0BiQ8RdNQ34I83rsatDgHxmvqQmzwREl05M1Q092Dy2ja70MzP+cML6sZcmOi
EY6I/PZqUCg72Eam2bFX3meSAIwEfMobhQM5KoCQHmRIRBG3pRW9B+F7K0+ZxkeaGiSZQJQUGi3Z
RXgf9N+OcwzriumthUOJIZOkKY2mHIWDusu5WTS00gvHt0hjLBsNtBwS0JaNhlw2/fJiQL2MNf6y
UCDhJn5e0Iabu/TToVaHkC0d92IWb+UShesaFpmsbbFBRntcGOOoRZgY5ADe0rv5nPQ/W3zgGxJC
Z1RRia8x+M51+AI925ssSJ7J+NEZuB0D712GAtNO85DE5mM+4uEE5UrTzFgURkyG+KLJoZEBDRXM
ueMMRZTC9bRxNFnUADGKDwB75vy16Nz7UTNISVuXBwMsaQeetMOWPBTDVhWg4knFeUEqZOO27jbz
WCFM15RToXmnTAPZGm7AfVqdZFcc7AYNmMHOtbW3gUtD3DSiVm8AUcvoG2cBjGKX+bDuXOeB5eqy
xR453fjpTB7WYlDXmRBuYzvRFkqUTtMYkSii7/28+W/2zmS5cSRb06/S1nuUwQHHtOgNZ5Eig2Iw
KGVsYAxFCPM84+n7c2bVzazIrMy+vb5lViwpVBIHONzP+c8/BAqgyGKi8PROUQIVTw3AeTvlqbvF
Cbfcm4qnYRPAtGnn4jShsNmHVTvv44xJGVpbmC7qT7qtgeYiHbd4/+6k6yGVQiOQkgYTCugiSZXf
ajeLNnndYkCNvc2TgXCYaDPYeEkstp1pHEtLP+o58beDgeFaaxxjI2SFZl9Y4hy7EnfBFjYOtDqq
EYsYhkrLEOsa7WF2+w1J8UQraMkPwObzMGfk0Lr5D0ukRyd8KSN6D9RVZ98fUSm649JzwvNQNF/I
uf1cJdEh64of9TAeIkPFRxl3t7O/yr2r2s+e6AN88X4YaXA2WuU7gIq7cBwMLAT55m5y7Dubc73D
mTL9QQ11IIeXMkWGzJ1mjj7AMFcvsUx1Q6Zb2P+nLc8CzQnul5d9pe+b9paOvfpgdvmaMRd/1YaQ
ucDykP47l4zu036vMGjFU0E1mu9tY4Qf0hW3h2wBkzu83LnQ2CoegoxbVIsKSK6T6+8fD/mQIvKN
khN1t7/xFf9g7tjG0sHaAtJU+1rHcZOA25pg67q4whN4b1pqlcfVfXz1WCvwjwnsnnzqbBPq5tZ/
MC6U29vjK1d2WLyjOFyHRDBi6nO1DexBYBl+M1A2kTodPkWw0IIY9Gfo85vv+lvoHojd4+RDRVnT
MO1kWmCfkVvPRht88cyO9Cvb4/Xq1i7CXomtgfmX6IK9O4HvBCo0N+qZ6XITPKkIW8ACqGEVpdtS
mnis6rm1toz5uySl54FhtrHrLggHJK0TzXwBG7KMrM1cd290bZRHuNGt7floqzR0fkC017gebNoT
n4+nbuMPJfjh6mg/xj5mVFrzBlrSpqxyxBt7xuBZUmLuHdrL2iEUaJwmY13ZH4k61hX092gS/TJe
ljZ+4TLDOLaQYvFouWf4ssTjYnWQ9SQbELmJRwX/FPnmFyGmNUQm1gcQ3gPm0jLvCv3vazVDLWcq
i/4tjd8bP/mQqBqdNn2yR95fXJ9CnWAFXLbJm9f1cB21+iU2XDC2gf+TM33SenznvYLT1Q6JcOnY
D9cQtDUoqMtyDEhMIyCwbxGGCNsLV7ahkoZwm58o4eKovGO48dmqybafpLOsTeiTaXfPbOx3o95A
JWg6z0b0nHYpOZM+ERlubixD2xh2Dnhqe28KOii1YsY5tFeVwjHtmbSIcNML0IO6zUokBONK1lO0
hIBvASMAR5PMjjwq12HQWNzjnYIVhyLErnsYX1qnZpgOIpAP06EUyOr8HqDCjptX3yUCaALhYBR3
E92Mu0altErJcKilQVZhy6k91DjQo2AmZ9JTjhUO7vMaL8rW2jOR8UVz6AQ39+PywGuGMRwpuQLB
A1yIdT/DHtA5ymKQwcEqPkGuyxeJjgoKb4vLLMeBPMiS2yMxT5qJSswCOIkqqmnXcy9aRG7K6IFK
qHhzJ1ZmTnb0S9RFWHOD9T5WXTKG60zoUEthOi6GkZAmoX/MZD/IsP8VCEmwasY1PsDsHsSR+QNh
or57TWOID7H6GV1bxYJCSmo8LoAZqpZaITFOZr3UtXxPS7AhD+IQQNKPCP1yLj+HvcoeCr3N4yPF
TWpYk1KpgMop4B61oBM+/lpBVgE6RAqfPnx2MoXjarAc4fsSjQoTBGnY52wcT3EBOt8X9HJZJN1F
h6aRvGwYkNgQHNMy2eWADbiTmNius+ChYXBdH+B2DhgHsj08wbzGOhSER7OzfF0kHZYic0a9MMRr
YwQYLkoZ7USLPXk6YVwQZNZT1w5w5ab4ayBBYYT2zMw1WcBD2KeZvPgu3Arge47j0DlUgwjJQkd1
GuNXjK0N1A+ZtzvP/xw2TbQNYTLz6gFr6h02GhkhvEz004FOYfbGJxFNT7VmvQWMHugKynWV+/s2
SL4NQQLVqKsQT7rzR6Z/adUCtgjaXmpe8jUidQ6jZ9rjnCdJwM1Erb8MpbPNTNA5PQZWwhc3BhcC
smDhgV9YxEsdHjOZVIs/gFe4zIN7jVLjlM7WS+OzbCmgmjRrcZDoKHc6osLVGsPOdYCsaW4EUlxu
XUz09a56aRpJJ1AkH/rMTtvVR5OtcqFHGTyOyQINE8bBMCQK9a1AoIpXDwZPI2yvTG/A1fB7mJI+
WaAFS9lkmnffJ6EBFNdPnttquoR98Ip9h4UA3dBWqQelCNcAcDSq4KB34R1Z4WrifuYdNj+qkqih
KQoPCBNh0zDjQ5IMQOrhu6Gxp2DqNQvwB0ZtWdATbueV/nqILok93msExxyxKx8BMg3/s6cUybrS
JusOVeJIm9NIeFlGiw+Th79u9FRUOwg4+KYUG6xjtoFSPTMpeI2QQeOdvytApATEsgUgNgFKtB1b
kUOv4XAm8RFbx0BfDSQ9CEbGQTp9sZFdi8y59672Xj/02EKD4k4FV5HPKigL8XMCirLMZU1/UyLq
LpW6O0Lm7Si9d4PwG53Fc5IJFXVDFLyX4oLX283J94yd1RrXCvk4jgMnvUpPRGa+dEpfniI0n5Xi
3Ed67ikNeoUYXSBKbxGnY9MENbHXY3wXWI9Kwe4rLbtA1I66Ptgg6Txpnqy2QLbxIZtjDykdZ13b
EYTkJcVhnChT7PYlkuCZi6jbTXM2Ia03f/izUblLnUiBNThzuPBNhACPh0CvOnTh//V9jatrCht6
rzUFBPlK1FsTWX+t9P1CKf0dyR7Sj9p0IENgwV5SrUz2JaIbsQvAQ4Osi8mudUwl+N7DbE2YuG0m
iFZBF82cBAQCHZT3gFAmBIAFmHPAbssxKLCHlCAizcQgNklMVoT6srQCY//46vGQJJDnIs7uddpO
hO+pBzz7CXdoEqq1MEGl9V8/mEPUZnRy6yAGJ6wLwpkD83PQmdEzqQ7VUEFN0xKifSWwyA6JJ4HC
SF4QjT2hkHItTKV5ooJTG+1ArO9/e7CQhixM2Y3kY6DL0GT9K6Xif9gI/4mNQMHOKOg/kxGWRZ7/
eG+j9679PSHh11/7jY/gQLkS8I9M2zRcAengNz6CY8A30AlPf/jUer/xEYx/wKxkUgr3xoAuoOwQ
/5VTr//Dg9KCQN6yHDxuPfHfISRAhvoZ22fKA0/GQGvqWLr+86QPdpjt2UXU7+pU36FNwqEqqJ5l
5CgnkJzA+bZ9a7WPpDYvro6bSFnMRF530AeTmIF07pJhFWkNN6Cbv5aF/KS37tXtXbIM89Kn8WFe
AjLlUluQu3uKCvJodMTMShPqxERtTJ0cEdB5fNv70EMLuSV6NlpiFUGY7/wl8uCDoj4+AYa+lCqj
tjSdezMmoEvGSwrxitiu4Sg1woOcs762KF9XBhu3qByOCsGLpF9/HoaNb4p7LKhZQaZX+vjFd4nw
MCJJ+MMF261rTdCVNudXVGgfYW2fbCv+1g3ep8YOkYr6z2NLFIVenxLBOVy22bzoOlsH1qnf5rC8
hn5x6f3qlyZF7aKPMFrbjsLWuUkzPENLJomLF29b5VtaRB9F0JqLseBjZvz6YpfWobbEM60dRvEB
rzlw6jdZ4BMbbqC9bjHrXmMAeGq9mi2K0DZLnnovfkt7f4svNmXo3OirIP9uVjHsPfcp0vnYmM7E
4C7EuvqcyD200gDvQwWerE17OhoJfFzbVk7Xyc6VJIuGOEnoqIkxIyihL8TpTifEI4DpytAN+wUd
b/nR/upDJ/Zrfi/qZ5rXmMCkITtAqSDNzmcsaj9WigaaaM9fBRYiMZzLTRIq0/wRbKyyo2WfyJfZ
SWcup7FTfziWlNuPqw3n8rssX4OJz6FMzXZdje4rtgzkscbYSAVF+tIEFVbcVMeQmyMbX/AETdKT
NVSrAZFXI9GTRc1wQiEDi3bO1x1irpVZMmbEyPVL0njjwndwovOK/IMhEaLBON8VUXCK1JnPf7fw
SCwm8fR4beG81q3bH4iifSflgjgh6u/YwTc1Co6BSUZcCpgVdsqeDqOxMIsxfAPlXAhnOmu9eDfq
d+wmtYvR+KTlAQUEXamvyN2pPGIJLX8vZz3Z1I4T7bxxP7hMlMyG1zpYtEK+8xQS4Pq4WXzPg+Qb
9lS8QpIy+VE66IjERNJXzz1T6/R+Y/Aazekpibi+VOmZbr30UW0sDRG8YKcbbSCZk7SLPDVG3NW6
5SaIZbickBoTNPKO1eGyLPMeVZ9x8VqwsuBCuDJJ3p5zomdn9EAQXZd6P3z47lF2KQ1YLjm2f1L/
sH3oC7OhbrwqeUpD/AgyyzqNU/IxesA1jLTpU4zi1Rp2YUqrKRPuBP0Vot6eNYo8T6CdlPWzHFgi
Tl8wXci4VkEO/X8egjeh+lximHuWKb6HdVO/DbEtFtpTFjCM61NuMY2bDk3WtiqzZ2TyuBKYV8cj
U6enaQgEesPkW1IRH6kKgIrPuuNV6CL4kLXAUGsj5+gazeMG3cHZhYW8xCPZJA+nHBdhhsN+kT1V
ciRbIfMPUH+TdRryc4iN30xBa8jeCJG48t9yBnq7jksI4nw1ahNkQXZrfkKFirR+EVXMjVKb/dRE
urIMwgEh6kDF5TRvUFsY7jkVYRnduA2b6dll90xsh7SH8ozHCxcW14tNlQ2UB0n2TWMjwz+1espK
NpbcybxlwaTFaICUgoqQG6ZDpR7amzoVl87FMQLOWbfLGgY4BoL/xVDjxod0hnu2U854kXMaYzbL
oq7vRuF9GGOaLAkuWTVhhY6DVqBADAFrWTu4jTZu28A8J+G8r1GTrc2KN+SFt6ZhO0pgaSynwXyO
BuXn2BXNirwIFSAqN3Uc5RwGyRGRMLYimYvc4KBHiGC8yPysyXY9tpTC7gyLHxHWSqFCZpH52JcR
RdmHFnasXMEensgSPWQHjQjUAOnEF72zdoUriHmEynPUs3qgHSJfUc+6ZuU5TMb0bLCgVpHuxlx6
O/itXI5Jv+4FLPk+cQuF9p6pFTfS/KRlXArNz5+N0n9PDIcwAkGOXxl/7/L0szlwtRLrjVE+4Z6E
R8OrrkkuncpvZaLznhvriuM7Tq9myK2XMpXVjGD5cNJVe0nQGC+TMsYNvPZCmshnve6+j934pbZT
RlNty2ZhB2cn+f5Y5aO3axOkQ3HdL1p7O8ghZDVMBFI6xafIjDYMGNhuESTi4eViB6kOLOwwo+Ws
8UILDfVJ31T0/4xtlnD0vpl9+Wmc2jvR8B+hzLbx3EEGYxkIkX7HV4EUbbP1loFBWJ00MAHt5ZOP
Fyf0M81apHoIx8OrDmPjIz60thW7/eR3NFzRtPAN+zQPuC0MoOvMmoh8RVhfhXgiRxbyNPAQf9Z/
6HZ7c2dUuPi2vswm0oY5rwA3ZmeBVSMfviBV1lTQlWNzL899XXM4YZ3ReLyvHJTOibO7PiSvdanj
UZPDteCcpAQvwSgsGcZAQ+PX1if+EdfSYGkHd/T5/bIvn60Bg+wiXT0QFF/g0lSP4LogfJwQiHm8
jt92SMPawAXaBRkUAliRSy0lMI0g7HbdlWw+THWvTT+zVbgBwoHOeOk7nIqx0N5gVT5t7RGsum84
iXWM1pcpMgJsZDG2nhUKBXDWAfTE4QDaLuEOiJOJp12W6i1eubQhj+OQm4cpLxVHqqovULbFqCEn
j9gQtUC7zlP7BiKf7McCnVles9la8kXX4C0IPdx4HSdlaB6ttlD1G2WDZpWftYH3EnpHE8s0drdU
X4WVjnkxdKpCC0+qdIlKA+PchiGQIU6IVd8eK8czif5Fg4Xn+LQPsSVZO9jY0fmn3kbmdrJOZgRQ
tdZ8Gnr/NYqzHQAd+conzyHPKpMSgzeUSasRb0BjHsJVGztcf53sRoHJQtGCckT5D3cQiN8tu9xU
un9vO8ta98TMYBaBuz9CEueWFZRKiUaZZScbi9Agp6Brt8s+3rRCXvjIccOwMb5tjfGfD9VUtIca
tTAml3Wush7tsfdIPm22blti9oZsPqxsTgmld2yyR3E87OvaYwpWpK84Wq9CrVF/DScr5x6QILhx
S9DZhV/P/0xw//V7vZlT5JV02UY5k4+O9V8MOrHqTP0z84RmzwC62SPkwVXK2bQYoa+jjhZ+kHW3
tzocCMoo7vaPbx8PnfqBv5mCBuqA/DaIpMWOjiBbu0KIZRP5gozYCA9J5n5CFYirVEN8iecSMVPH
wl5qJHx7Rk3CVrux3cHYzU60Hht5IokQA/IIMkqY+OFKyioWS4ZB3jbD2qiRLXBQrl5Lzue4h8Xx
xaqJ0mXUyw8qJW1slchRqNyWuRXBfurWUdWr60m8vYf9+lPUQB/uanwQ8tOUYKmWw2hY2JMInh27
fS479Oc1LgYU7Q1Zfm36rBWGvjVDjGRcle3iSXNNote4A3OFKpp/9hEVjLn/uZlNCjCvf8fUvn8O
sZd+nl/S0D6BGaE6TV1rz7N8scOvpRvYe9O3EM32KfY9MaIiQPyFqywH2t7XxPLxZeIYlDh2+vH4
Dg+qhIofH0ecEj7HmT3sY0wfGHzxFaF/Vu4EB1h15SEuCLYZDeeXXJvJRmKxwv2x3xzm9BuQN3M/
KFDA1k1IL799b4wwxuw8/J4ptECPRgc89PGlTCQcuITa0ed5tLpE2K75NkL10DtgKR2tKHNQyuJA
sy0y4xmFl3aoY1nuAytfPr4zhoh2Ck4KOexuX67gF+N6qR7I3vrnV/1Q3szI9zfETzhrGhWmCspC
E0mEWBtDCbLo2L1ynqY3dCgCEuW3afshPHYDUQeeFads1mHHKefOKsPV8/EVml28IFuNnFL1b4//
C2DGPm8AcOxYrh//YqpfsnP4v06NM2iHRSiUtKM/4BmKCcyhHPX6l6TGBM9FkHkafKbJPc7Ah0H5
jk4abiYzVfgsh88IPbRTm1kHBofjojJJL66cTiCTQjBvFPCAH99ac3hCvURY6kBtVg66cU2jWDw3
M3kCQ58SfqHcUlOiCZCym8PXcg62zugkL4llYFuajL9knZPdkIZa61R5sCa5RXmOP4Cp/FlDx77+
Dl/4E6q7+AM5EyzAJrLDtlks7h+oqKmnGbMs6m7XZk2+Nfy16lWjZHJXZu5eu5qqxgSli2DaQ7vi
9Pr/eX5JFhgEUN0x9Z85qZOE2tSW3a5xxi/WXJ1qh2KSRtCMku8U+0YDU7JDP+uLefvXz/0HFq56
63AMbPiJHu7uPz01xT8+OJgN7dKJPlE1jE3nXcd0YsAmJ6I29J0eNsH/SHCm8sf/+d/3/wR6GY6t
BBT/GfW6hMX3H//rqUnv+fffw17//MXfcC8BqiRsE/gIlEpHCvMv3Ev8g8AhqaPVgIurAKl/BTCB
eiE9JmXVRbai28bvZDjiH0JaulCCHv75p7Clvwpf4kb5GfGC027q0uQ18LrMn2NvKpx16szzih0n
JmFgQfiV4sXWrxOUBfJgizOmGZAxzJrSENv6xeCNNq7V8RNHv9h0eLDEYGTZ2a36q4vlbGRYbxwo
yJOjZ7eJk6XFnCtJ7pCYjk6BMagmF258DLPiqVEq2OiFVNjTEDPSsIYRS0r2ZU+RF/Dv2MK3QCZn
YydUvrQDvoGwWVZzQdi08AMqz/SU4tyzat0CwaeJ2LxKYPmknX7r5qNTu5JEmE6HRgw9DZoxGlca
Oh3kuhfWR1vph1z7ilEwOFuoE3hqY9DVkpzNVC1vc0TOEQ4afQL6ZsQfmMgOnIkOQZqcLsYozkma
7lrpfO8nZ1V7+NeAsagwO4mZd3bEMBurLrI2iVmq6u7aSp47Vs1W9mOA4KyhToet82OyVo5J7rlP
LUi4wMKJtM+c/T6dQn9MfFx1QdwwStNWRLO9DDpj1DY9FrncddgtMVNfSQw7tGE6R7Vz0iId49f5
UHj62fP1W6hZOzOfzn5FQrixQa1zowLdWEm9brAViOz0iMXXh2DMDpj4ijjjgqbgaoTWW5cE62zf
ALVhj06sPOkVY3K0k/gurPmAl9POS/LjIPoLNeqTETx5Cfm6nPXSSI7woc8yng6xPWw9lBmDF+3r
WFv0c3xEK8WqiI4lBshYODgQwVqJs0Hh7Ix02FptwiQDD0NDh0Ziv+F4u3G06axMQtvpVU8Zj3oy
/DAz1kGA8SfZBhgMiIOPFfCQY5UVk2Kt4VODfhz7Lp65aHysZkeoGW25Eq0JaSW9Y7fxHAzwBcS5
DK1d2Yb7mFgBYQR7vSYthiuMgTPcNrzXwEhkkn5YQfhRteNFfYylNt8qyC2OnK/YpdeJ/j7hcEcW
65JqGIoQVAhXIFMmtomwzcCEXZ2Tt1cXw2G24WQGEHwa09uPYjiPs73rpmgPcpII61TM1skI+QTL
8SBCuQuC6UD6xocbkJKrj5iqjYTOS3ACa76pNTlX1k6H/yetaA9w9O7SocArHJPxaofTZSjlW2gm
ZA2Q0UcSTl3F98dzTIw1EWSfm4hGZIBN11XMHBsXSUE+boMxvSsfQORca8lVCZ0cNzBCiVl/7XTu
qTAjPXqzuvijJol8MlVvFu/1KT1qMtmb3OfZFO18AGaSlW4jybwAc0xP53NEKE8ytJsqZq1q9ecE
LVw8bpk+XmTaXWstO/ZqO3C/jeF88+buMtDpBePF4JKAA9yb/hdvavftMN+car6pK9jpE6bRyVGG
2V19MGo9CsK8nIiRdzHfmomoKSxvezh26i35JuFOFp4UjtxZBpdGq+bz0Ojn1hi2RbAxxuwpMGv+
Xr3yeD8J/rIx/fkwWG8N9EdvhnAj3W8kos4he4Ivu88wd0najI4JRGT12tKAvQwX22skxmU8o6WP
82McsRWgISBMvcPVn3udNM1N1iBskXIdRW80YmsRjVdDtBu1mDxs1arIuPnErhvZreWTMnvnbaSW
V4SJmy6fGs37HJTNhkCIvRbXkN06tun57NRY3FnjFeBzRf4PAo2z1k03Jx62WM2wyxTR3Q1Iu/aC
FxJ6rJOs9fewLskhDVY9arClSX1JVNu7Z/lfcgt1hhWjHZgORoeBKYsZWGPdTvsisE/0yKV29ofi
WaW62GS0ToQ+V3TgqWufpNVf4SacSwl7W31p7SxzPpjf7Dh50Yt439bmrjLSY1bx2kdujylkSfBJ
2wQq118bs/7UdfMBx4Rr02CbQfkf++Nh5kZQ/9VIeS8gBRL9w6GB6CAQh8rqYPuM55G1iZPmtWLG
CVeu3PrhvK4dyFRsVlHDbTWLjvkknp5YFTEe7q5YuQOuIzLjZGvj+UZuxL2tqi+Gf+uy8Wr68E8i
Ob4b4Y8m8p6C0T6pW1LtCQocDmOuHTcRVFqOK4GSpw/ct06hiSLnpPHkWwUox5kIDKK3F1tyz7NR
kVlKUkJ8b3mONGd38zBfHB0bpYnNrZbdY2/g/gif6xDDn+SYGc7pccdhDS0MYo99TX5tNe0kch9x
uhZ+Au+m/Y8HVJaT+WU20JgHDM33owY2akzmLh0Df6lb7asbV3cq2n5nxeI9DuyAfAxAQYj+z0RB
EFAw2PuYLfY5Cad0HU0TPLARxxuH8NCgxY1mxti5b1ZZWDXLtEveYK6cvSKZDlORHVrRfDU1WiPT
d1v8x5h5+TCPSACIWm1Js+AtpCFmANDrb2TMh0b0wbJ7/Ns0R9N2IHy8c+yXKIyNzYyh4R69B8Gs
6qvHA+Pef34rFefTgMAAnOApdAFXyXqP3uoVjtq46s322engoGIyAtEYu27UHGFkLj2FWjwehqkS
cEBlu/Fn61VgPzhPpI0Qh7XByPyV4XjDHMkf9q5XBk9Znyy7tK82kx7dhCOInM0GvKNntpBO31Wt
vRGutp6ZKPRzss6lth46TFMEeKz25jYfdm1vkjFdTznGvRNoEBrMakU69hpzFvKTwmFNs4PDe6c1
h1LBNo+HTkE5vLgZ9KI5OWE9biiK4GDTQWI8vEmBg3KFC1F/3Vz4ENZ9ttCdcgqsq9C917mAht71
7h6W8ld652WONxZsc2/RKRiqs+FOYXRwsxVEVZZDjpoDeKlGLiJaqLbMN/lkYuM91dBh5tYJRUmL
R5C+TGp3h5/2W1eiJZ25zWFVHQxugXzqLpk3X4J6WnKzrSeVAS1BmlIIjJ/gWXhsNow41u7DVRJF
2pQ4b2puamUDI4TpCtn6lNqghj4WIFZ0jyTxlViRYLn8u6L+/6nVxD6BAbgtXcN2GDX/ZFsRxTCB
4yEpdgr/Y5hDns41d0hYcsdTDaAB3aKijhqdav03z/xHuZkSchs6WlCdXtP+qdPzMHfN7cnBzjYQ
50n59k749acrO2N/odCJYuRGmIzgx3ZSpdLfPD3dTvnvzhdKKu0yXAeR95jP8/Pfqd0GRxHC/bLY
GS1FPHsNLPeNVpVbT78kYrjYZgQ38alFGIN9aC3Z1Shsw3j6m4ZX/KHjpcFH+QkJwMWAgP/99xeC
p6eHNRnW0eriwwS8WFQmICH4dnyaSgqDlGGBky/cCg2qwCop7S75VK1zwemTUrASLxoRt1Y6r3/9
Ef2RNKBeGSQE3XGEJaDk//srK7GQn+PJzXdE2ymu1AF47kVrIAiOw0ARatlrMtq/PZZ32VCfp5hU
DYI5x7mw4rvuje9myAbwKA9daz4HW8PW4DTNt5ajy4wnUEzKEGo7FD1bsCZM3qw32xu2SWztQm4A
VaXrGFa76XjJwnjvZvp5Nq1dzbUYyI1KCyKywv4SdzV0+rfU1TcVh5/vdtu8m7a121yqadilrbVM
MFQSKcBz72/I0iOxpMGcpF6PWXDTguk9mfVXe5QnbzKXjlmfXdFd/DL7qLyOPx/fa/g2nGHIzXFK
BjJMGIgg5Uzp/5BPgRkO/RUr/fy/qw/mIkjYpHibYExh/MzcMNLIywqDrPXQaPBP0s8kt+0zgiZU
ZT3eRFs//fVlB177k1tDClN17S7C5J9F2t5A3hk/ZARiQ7ZKFQqKYMq8xQU6Lg6+jSuT+6TGHLOG
B2bXX2l3cRtE4U5dn/bWk8DXqSFyuDjOWX/xPPLYjPyT6ajFoFOQpv10Js2dRsL4hMKE4IcZ/TfG
dthU5EP+PLMfdpRi6u8OjK7RpaAH2UkKUNUVpKwEL8z2uJRhhKqDms63nq4qw/7TI1Fjyr4q1rbW
DVv6+y22q8c86jdR881V01eB7sEDwV2NDPcMp9xF6PHX44BULBaWtpIlWeowCI1y3dVpxyryjxDW
uwW9/rvADUmnkjIq/Jy64BPKvNvg+FccppY9LRgVuPlmkBhFQ4ShjvlLTTtapNFdFa2Y1G5jKz1l
U/Nad9N7b1CO5REte3ghRFNlcXXBU89nHFiI3/TsGLryzSgsPI32mZyeR1idmoHKM7BWbtBtpjK9
i9RH77pqzfNYmkR8WruJXfthIN6Ls2r3qFgO05rBDcYov/ZJhb0zupltN9xX+cvI7E69D22gfrOD
02AW2LJ2K0eAu7r6u+/KkyOACf56pcF8+sMWLOFNOTgmwZH6A9bnaEUlNTOHlieYyY5X1Idv4ub4
JUEu1i63y13+N7vtn+364MYcti4ELuvhh/S7Xb82GHiTzsVmm9CQNTSmxd8fqX+yo4NgYrCoHj2C
0f5934zCKmlTXc8RxPTMC60GECedrzVM1Srwlg5Q0EuiV5cZ0dGEKyXTzkMTQk6gyq69+YBJ4joy
vbVnoZwwgCM045TQ9vSGfHPYCJ083cchvwMjuYnjb67N0yCaP+JIvpeYrKqNOMnGWxcYtz5mq67r
BNR2XpdTdmxssh4cYne4/p2f3A0c+9sWK7Kcl0lf5pjzLfTkKSmxWTEpyZv8aDmXeRh3Fo2OepGE
le8r2z5Npn0tAC1sTALd8ksJwuB6izkaz4kZH7FZvsJGewuy8eDa8ZEUqmMI4xLbx4Nqm9owOuoz
PtxW/czyOMzBJ1j9yYIR996o6ZJA9xYjujQIm9XCD6H3jJReuoGRB8cFippjFSHCGZO9gRIx5UoS
MbNTuIJ6Op0kJdRm1ltud1fsv9ZJ5bzpuY5zYEtkQrpkNo9p/HBVO7ikX/vrxS30PylwWGKexLHG
0bGw+MlQIjfKdiymLN+JlOOTQKZlUcXI1Vr6JgRw9kJL9ENB+vlShFwjbYy2A5amhJh9xq0QAsHc
n2raPNyEDp20T5109017swrEsnToqnXr+3OTjZdQC54bl4mQG/8Cbr8oc6L5Yv0Um9Hr5Cb3mOwM
jiw+UmIen2REPB/AX26RPEquYVwBAfTc+VSjqqjo6vHS+dZJ7arVzKDNRz2qN4fIH96Jp7kjU787
ZnGUeIGWBN1pEvKJM24F4ALoHfZ+F8/tL6LrVp01brLiq2pSnSTe1xBIrLndlIAjjdltM4tqB/zF
LsdbFepnGrxxkBgnDJgY0pcQUxfQzC0C65Rj3yO6vaybS9YP7xN0GVUEWY2CLMw3L4biBmfc9pGj
FcPNtnjH+LAfXdNHBbaH2PUtITqe2r1d/fWF/pNdjMJN/UfgwGSIny7zEOAIjBQp38EtXjGYXEiE
xQtnGLZqkZs48WNw4ZfB36wv2NJ/3D5dymdOaBwnsVP5qYKtpImiWXb5rg2tW1anR3XOQZDoU+hH
OhcjzZirtSuFnyVkDPmm3NUUPOUE8ALCaXCjmIr9NhurvAOyoshOgDVrXSxVLSbsbzZACoOohaqX
XIBSZzwrdCNP3LfeazZDFe/VljFER6zrt01vb6H0MGdDou9RhWXTe+Dbp9AwVxJwLybavSrTo5Xp
zPKTfcyii7EFDnJlt2TB3ls3cXacCLOpk+ESUPRQTxTV/G6owyjnasYqvnpe921yzE36cTJumA0d
Mod9Q93DgZnc1Xs2Z/02C/0Wz/gjdlyX5JvmpMdJ0vbxu0nExNep14bN7lune1XoOKN+aFn2DZ0r
uswOAn1bM4X038ADuWN7900hFAF6mzaExGDKUzlnHwoOcfvxU05l/r2ovG2PS75oi5UYPuoUZsKA
O4qk6sBI4z3TccpUFuVEfOZo9cYTDt/0hpR1s5XfZ6KGm2H6FIQ+jkbE3yzCSiwIm900tLsxot2J
kDdyjo8lksspdk7dmNyx8Dkp1FqA1ym0CcHrRpsko91uRe/1rt40DKCrAdGt0qK97oCmxd1FnfAR
9wZ2iafAn87q+9KYDnr3f9k7s+W2kS7rvkq/ACowJoC+JMFR1CzRsm8QlCxhnmc8/b8Sri/aU7n+
vu+LUsgu26RAIDPPOXuvzcQ8PZIIdp3TTu5HcR02sLLDGY1d0qwLHwhEm5p7ufrKzlpBvWi2/a02
bJYiduqenGl404r4caY5o3Xqo3KUq25Hk1z142vCaXZM1y9mFF9reUexGSLS4V3hksEJOmAQmlAq
xkgaAtJkrBfZaYN4sa15eiEmvbCFk7bF9sHpsgwhf4qTPDBp6XQmYuIFPv+GYOGNlsxvfchWx2mi
z7Oj0sfH0KWP6NZbXGbrwD5GDhnb9NraNqW9WKGFQSKbHMtyulpueIYe8hiJPXQ/DlxPVi9TGnBz
wkjZBdPSvnHT1qOHiMtgOMjNJzdbKkgLa35PzNabKm1P8oaT3deYTbUcqR2aim7NmDGCoL3Q2P0Z
zxOOhJmdFI4EhNFdX9F1ZjmWfcK59N//vGqhMv/d8mFbktCF/vwXcFw6GXGlm1a2b+zpLW+4kMQW
Gv4zfS4aHp0ZrmQxSm7iiTYmM5oBL0WOugMxCTdWE7oCyRo1QOvSIi6G9CFNrGXZXv4BW38l8/Kt
r9FAu9Nb7IA1sYiY1KNHCDvk0kPJSYekPtEPGjbNfaLAnFHJKBwjRT+aPXsOcCD4jCmhLmM37Q10
ngzcu7vMpkgP8J6rVsmR2Zmv8yJ60WQXScw8JqPI6q2mVxe0eaEXxCVSMpoadUEvtC3obarArlZQ
hZmbCQzGo17shjikE949xu10Rkoc9v2HWhto6HjA5fpC6tShQPM7lCrBmGjGzfZqo7M4yTXnMcAZ
p1aAsuvwoiKJd/rhbKjjwxib+7YER64d+6LeyD08jVrWYfQhosWexlFP7rtdeu1yR8rnr7HdR814
7JlrpLF6J/81eUwKdFkaR8fkVqntTcFMQN4ViW3eyH8Eqywx29Q4dAaIfVolOvoWKg0Tbq6WiL1V
TG8TWcjIws7EcCG61Lb7uuQUVHQP6imqbBVx8bDrQUUL3HhB1XykbfdkiPFOPtCt/Z+j//+5TP5x
4A5Ukg38nwfu15emubyFXfPets0PE/dvf/Pvibtw/3JRZUBso7qwluH5fwbuxl9UNsKgi8e2r/Mn
vh+5Mw23wTo5wtJ52Plf/zGaaH/paG4k+IwZvsY8/n8zdv91TdFsTrucSCycJpAaf6x8XGMSSlIq
5V6th5vCVD2/JogqLI2t4hT+igHpv9WQv3tFOnisXzTQEFX99IrAknNzHrVyzyKCPAorXvmsi9Ng
gjUYwMJ8E4q8jf8dvBe/6ZfKZtyPXUOJnjRclAU2BZ4jWyff1Y9Bq/hzTSwXZ/otdnX2cHs6E+Ry
If3y/N3H///3UpIIZ6oWL6jyaj++VE9sj1vUc7mf8NYmafLhK9FHZIAhC17//Eq/9ns0Xolej2Zz
D/zyqbGIzw2jtJKjOxxE15HZQujh1gmpA/9y/aQR6ucL6AhYLg6lke1oP/ebg1KFUhDyUxEnoK97
Qz07Ve2R53g1qtRFosLTXDgHrWaPJHmYIbp9Q+TkZtbz6z//1L+e22k6UxjqfJoIUX6u0u0+c5TW
Hcq96ypbNfGvRTc9TAEtNYWRLo1XcsXf/ehvqdE/3kHLT/jTLeSgl0HbRcsdzNpP/V5Fs7CWawW3
kAK2QG0POv1E2Vqr5AC+UyIiFk9xPp9jh8lAoUSX2qy35US7LDIRwY+OeIpF8vTnq/H7t0UtYQCu
NYX4+dEVddHpUC9LlB/s/0Fq7YXNq7Xy7Ks67ddOve5qxrJtTNMTFTd+mZQ8aShRZdc/OgRcTnO3
HZBb//mN/fZjgknH8kSTnuXlx8dg7mL0A0VWcgyrCIDq9cKru96bJjDog8kTYbdrurGfSx3RyJ9f
Wvu1gucW+e615f//7mkHPW32EGrK/WgZt8SvIXqDSAolC05MPZ5HFVSfGo/7QYjXCEhX7bf/8rz8
Zr354R38tLwNSRaST8I7mEMdcY49MqeKL3Mh+UAsCX/+eXWUVr88njCQHYf70nZN/ZdhBJm5lpMV
ZbYv1HJrV/YVbPqPQeUECzMBYlsFiisHVBQ9g70iZyOke5E6w4PFhHs5CEqtgsPfmTg1ubKbYygo
QQZ3y4DgXDJ1d5P+JlC7B9PoHop4O1rFJwkPcKP4IjRU700/nucUbk5xwp7VEc65XoRR8s93Mvuk
NxjXFjtCIR6nCRNToc/rxjkF+XxVCakbSPhDVtupZHLc5HNdrWyLvvNgUbigA5cP1NgPD6YpDr0u
1qEW7lMNXFyISYJPNIcbw4RDMSVSaboMzXgXEfsB1I6UGEIxXN4jjCIiFPO75WCkIomXWVp0fsPk
kIEmnXxjC5j8jBBrbzZfE4YH5IJfJUZAbIW7jcykXZVDv9Hd+ENSP2UzRt5PusstrEmFaZTfG1bz
5silWF4ZNUGAJQcA5VAimdLfFFyUMG/DDxFGO7yl1w0JvauBn0sbiR9DhcABDm5G49Vcz2XxaMV4
FdY0hlAWK+Aqswuy5rNZc4F0VrxBhqxI/ZYWOXzY3WVQpC4MZTMBrKuubzFv29wHpLC2axINktVS
dBdjToRfcex8FjB5+X1UFEOSAFJWnizs5WulyD5QeW/dOvyAjHSt43dYmRN5mrKH6fflG4FeK3Pk
R1VwmgOMUM991N+QzD06OELAPZ7DgX0C7wDFButi6R6rULstC1RlPv5/aHzz/Wg43LCIY2g9ue68
J+JChubx993G3dwnDY1KUQYX4p2rVe5XXh59rXqZBZpe5Evk8/AQDrKNgNJLvh7hml8azP2ukl5o
J1xZ8kpJAcRYihs7QVc3pB7E+Y8E1IXUUPS2lWJdOVdMnFY9+fJFcG8UmCohcz/ETu2h3OKeCqx2
7QfdfZJBYXaNBvCpy/1pEs27SQvobiqSNSdk2JuSdcfxYuYdrWU/rCojQkiROMVJiBdzqm5F0L87
ES+nG3xYtXCnXZXcFO8ZmZB3FvqGtYRh8lydlndvJ/x8I8I2ue/GVVOsooteOqu5qi5DxjMymScX
ThhxxGm+NnVj0Q/KW3mQm7MUzCiMIFczIO1Y47OJOKjuTHCVut+fjTout00NUSSJp2cNR/vJHHlv
mORpNKYwxxKcg3iG8HeM3B+GDsA1pqLhdqys4COWD+5MbBBekvTF0IN7u4UVg4GTFrNcSmQA7SDG
s5vyrBR7lttV0FBqhexT5FaDVfUrki1IeQgKTCPQai4tnSJsrwimBRFS04R9gDPhsmz1cqsPOx2O
HrdQGWALG4mpkSWgJj+oNY7FN+R1fWST4w3Sp6Npvu6S8GOp2bE2swfWARgNPMp1clFQ6VVR+4WR
VT/xDPTcLlqQXBxFNq0RO4mOLYtxFS5bR0NwWinGbvkDbrcLKtmvpA2wdMBbhbdFSAWX3JCyGl7F
Zx/yasW4aZwKh+EEcwEbxQwCFReTbZpQjMYrtY4UL3H9a7Xj2pBF2e0GdW8RODzWTIhyIxq3Q8q6
rbhBtLXq8doBJeVNo34WqXy6BPEUcsUkKWdaWyVPOrjSbF1rSLnKVnOhB/leUWEs9a9nK7BOWIvT
Vek4/abtueFN2Nx6k+NdHY6GUR3sllW0KeU2WWCCUlReVqjKE88WwUbQBxH0O2u9ba6rSQF/Ay19
HZQSMgP8TRlLmfIZP49BDxMrN7MN2dLYITR1Eys8V2nITSGG6aymA1gkeUMuhxeBbk9uB2omlY1i
rzBQV1nicHbRhmvVr5VPakyYMwnQ7gffvZq6GFxLX3i+cNr1t49oaj91brZjOnxcbv4uGwrPORod
QHMgW2wCcX7RtGTaaCnM+GZKtlOFesTitg6ZWmyKqXvvcHxtrEIQFeNOB6IoD5pr5NsIK8QqnUqx
Gju/2RpB/VwR37wLGkx9VXZqQXd6IDDovzYWSVAJWhQaL17TkowkaNt46sA9bwTKrsLVzwcoybq6
slksrFE565CbaM3URnC0Bx4fS+E5NP3W6wMsZl08E01UlJ4+zft41kZuz2byAGiiFsvdQ5TnQHxb
rB8Z1jQeZH1di+I6L7E8OIBhuP3eK6e9QSjH4saeibHtXaiwd7KKi9QnYJJJOVx3zsjo1uLFoGW9
A3KteIT7DaDM9ttntww/+rn9yM1zU3e348jt0sJb8oAZXNBiOV6iRlJcW3l6DSs/TPnYUStcmJrc
6MzvdmhV9lBHCBSTZyJTR84XWxRJLpCSieAz7MgtxKgZKosFVc4KqS9CorHNDGlWJ8+yfofrr3sf
1WxcDw40CH6o2Cwe4Pqd85FHgKDbR8Cm97pcyy1cjqoVra2GRzQYjBc7p6+0LEFo2CBnajDQEMF2
tg6crHwrG+s82s57OvLYEvv0bA90W+Y8hpQ4000qIrcHDs13fCrkwzvjqaI82JpldqTQpJMNYXqN
EmPbdt0pcHTUjkH+1Ioy2tg+6AER09kx2Re9eSIHZWYShHuPJ5yDQcez7OXVaJ26nKCz/FHH3/6Y
V4ILVTTX+kxqZzbca7YzvMaBsw4TYryDSXwJNp1qb5tWGZ7iwjz1PdE6FN8RZM8IMVevXmUwd04K
pJIkSv2dUcRXetXvKr+kWVWNKvP1qFy3emDig6VdbITFW+RONBarmJhdZaNG2tkFXSomeEGYjp8j
tlJPjbY2atrDBIsOpUC6U6u5IrthjlYtkM5dkwEuq2pF9chqmLxJn8A9CQjPxrXa6I/5IGj2fVlq
cpPbfsjhMnf2DnmNtmUMWa9T40RcJEumpd9ZI9Z+rSA1lDignQWCvSSLyp36nIC3MEMG6JxhN6EB
IoabkS794qy7U7WeP8xAMtOb4MrMqqvK7KptB82WZXPqiTKjtRlX7Vc5Te/yWGof2i1+XZcomeyK
gWHFQ5E8kNy5trIzMGt4t/LIUDO+R/UKmg4YNZpGsigzH1mxxjHPst9aRDeILdCekuzbrdPitja0
k29jr4yUmoF97KkO561+NF9MhbzHKWAlB/7LQSugMKkMxAmdkKQbFEN9ljiAKaDcG7ygW1nMbUsL
AXbCFoAsYVwNkZOvY5v7ctpYLlwFAkBxLkyYUdWo8wKE4bBvi4GazyLWN4bSF0LWHeypOhHWB1wr
6NiRxm03Nf0O/+htMiAitJDMeTlhV1qb2Bt6zxbn2P4zStMWLOzQow2B12o4eCmdCLQTeee2A0bB
RvuHCiIGuJGsq2aAFBXUTEyRmhaK769rdhgP6ubkiZIhiaJoTDE4+WGhewXCzO3ERV2b8tVF2+5a
q4o2lkBtXzMEcPt0t+x0uUHiN7SwdSsFJP4YmIe5npNdQJ+A5cwlYC5/gEGq76D9yeGBgQ7f8EJ2
hd2oBIwr9fDaxaBu+MEz/kYyX/vmNa0U6ePMQi/Tky9F2pLXmb5UIic7Xu+3idZwKGqjYGcqJI+1
4smxk2hL9Sa2ftRfi6l5dh0i0qaspzkdhYVn+6On6lKZ2Dl7Zww4IOYc07XOWOcaN8Esj5SOpjNG
6Nwri/IBtpx2zvXEXzkTx3SFY7KF241U+fQiN8xv3SVcIkGxZlpReHHB7cOzbjKJ+tRb+nEq8FQL
eShIbImHmhUU7hX7u845S6hUZrijcWazCEahu1uOrUloIJ2eeGfNJ/BI7LBUM3Hfljg2cAe4olmT
lLhTtJF3avABQblKOOMR58I1mQ3niQDfO9akT4UT3CxH3TZm3uDoLfyPKD7rDoc3zLsPGnob/b2d
+Llrtbq45U6elJkCnXN4JCaoGHrbar+LpP4oUj5brB2LLHn0g3wjNWXyP/yygEnr+GOuGX32YZxv
gtS/VdIQbamUlZdDAccQHbfO0Q4M9AcwucTTKifaK57h1PUpdDYmhem2jODFmaSF9+AgZoIAPKej
viOWbOOHICukLUnRqk2q8DHGstjqZK+lk1chdKBndpFN9kL8Ohfq2YprBasFag2T6z+ALczAdoF4
ZppV8YlhboUiR0Wy03MubpHe2T3DRdt6zBhX4ID5KE2IJ3GLUKO6KXz5iOEkAGZrEIhSeUVcNjB6
qkdLliHDmDyVal7tlSpN0fU2syea4sro85Nim9k2qADh+lH+eTJvLJ360iYVMfGp9ShXAofS1JCC
byXhy7cjVZvf49v/JkyYKnValcAJ3JkNVZalonW/oKfH+cdnCg9zuUODjqHjIofJUs8pgQbV+HSW
t905kKkLjXh3jWqBeJe9bqi3AtmSh26NSB+Zm4Pe9TEiziMp2ak1BoVG5jJZDLW9tKwYA86TmsNx
Z3PhOdlToG1JKPtQYK9s4q5/gF2r48sPjkFWEN/dUZk2/dWs6+flM+iizIfoMe/DTr4Hua7mhawt
ZH2shtMnLNkX7A8QwOuIrFTf1Va2ISfgsko20nk/2sqNanHUgqMzsPqi5OolJFO+Cb0pGEjx4+Yi
Y9jLQJ0uLUEpFKtSPNFZz3bs1iulmDBpM/hC/bNqrOm+UvKTbaOvSdpbnTYERKWjMvE3k5w/If9p
2f+wgv51KJ5NAa26m1Iv5h7JwRe5tPQMXeyLzvlS9sjpS208aTOH3cmOLoYs0YleSFT/09J+W968
Jvec0uR+1TMaFTGblBbpH63IvaHgbyoJkQ04eA90nmW9C+Cl4YZPInHjZ/RSNMRBmXZPsCKcQWO8
NmJ2TMUCS5p5XPlnuWBAIH3BKYFmipVvJOk8QsawlG2YzVjQ0oZsV49DMLVe53Cyqh6XbnIVcKlr
64viCJpnRMmChMBKw74MYXbVzvl73fNMy6K+LziydxrTCrtwT6h52AHakOyogmiFwNlwxHDJeJjP
SGv4GwHhWlkA8hALs3xqZ9kdA0/5FX0JiRKyjHCM6qr89qBtnfGYd82XZKQAkQtt+Qk94ldpCpJL
ifxUw7nbi8K6jGkIveotzpM1/rhknaY5y4xyi9QD9wWwdtRV1PC0IPqGpycYxwfLfiKo6q3StgDW
FY7qOv5l4+B3LBmzvCbEqI7z+CJ/TKHInjKLYtmiNndoZsoB39K4lH4w4ijlRvKs83RUgkbFYJoJ
Cll2rmU2YLSVvfLbkZ/Ch+yuaCiElOZjLNOHyi22aMQ8F30tGCmAJkGYH8aKTFw5wIg1+Lx1ox9j
laZXn79MIp6xyVF3yIaPNKBNJl0NMfCuw0Y5MOrZaRwSbXlrL1+iWjanVlEG77JSI9jBU7gXqbgZ
R27BpmLAxMBiIwamliKdNktjIXxKLbJPfd1pIANz4wURBXjrZgRBcYOTzlHoKObkSaDrMH4aFn12
AqfOWVp/63hg37/kdXfTp/q2p3ciLFlbc1dio9o1itgt7shxaZ/Fu8iFQhAiGB1aCGQNq7rLxYlJ
zJA/4lgPrzQPN1U9bNIOazvxIKxJxFO0vXa9PA+tb/IR1lT2EQXVpDgI4sVXdAfUQhUxo3IAH4xe
YDmfDKHvnVaSSJbHj5geA+aKt5TaPsa30cD0Q4+R4TNknpF8NJ0bWpb37Pc9hjgBzmJlpTOTYcoi
4STkJ3QPKf60qQT3hI2G84FmBusQvFIpT9QWXdil0gpkq4xANvIxIAa0sLW9xXbFwGW19EgzhV03
oukGz3mB98Qhq4EIOL3lrgmOBWtOG/KBWCm3ZDXrLKR07rKQhJmohOZPV8jXBgzuY7jDwEEN6rbk
DUzRYyOQ2cQHZEb5loh5xdMokFWjuA+hYOBw7RWQaDd6zL9N/CwawOdWomn7hiUmtdKved1rN0vt
mc8oLWOHYLaGS9TaRDW002mIpVzH75Q1NGC0UJZ9IReFE8NNgOjHHLOPpUujKPzQdRp5FRGrLOL4
eq0IB2jI1pbTmlxUeBwVSd4jYCKyKI1dS3c3UEFWymR/tZH983FyHTMAWeR+Oe9A3PknM4WdMjTI
NWHFKku60bXBtUvctFotMpHcvSvizIbnHX1Msu4tXWZI0Js/gW376EaTBiI4zYIuQmSEH3F5l6H0
XcUzHaW5eGnm9rZUaF9hYKSISi0WVLY3IyBVgyLvaqmZkeHQcpZ7WyI4Rre2eK8aBTcPzepZtqZ0
iwczxyPFifGWLsOKYXW2Eg1ahMDdgpCK+SMEsplYu2pYEs60JQyuu16e5UbRqVHL+XY5zS0/KEev
ySsB3lGkkhM3UmLKD93Amy1MZdcHenQfaNVD45SvmMycXVpda5P62bc4bpcMAfwg/WJHcJWxKfi0
HFBOyWsjTE6SQ3Uo8iBdy7t+TB6qBGCQ4qQ8lcDRmnz6TMQRhzs7upnd+wHYDx+A314ZKXVoK3Tg
69cNeylLaa3jtsiOMT/a0RwPqlNSFNTTV9+wPylmXm4pz3dW0LG4uVO3rtzspazaY0BMSlrzY+Gz
mqw83WZ5vw6rN5gXYhtat35fHBSV2NHAsdGzU+v6bXNq4Kke8sRWQJui4IN0fTXokX49qn33OKnZ
c5aAYM2scZ8QtVMq7na2xofSDZWNTftuHakKiN6plOllSn2W3sKRiDqMsF4xG9VJM9L41i9MaB2E
EIw6yRV9ddMn0BshzwOX0gEeCzhi0MVIKqqqtNmmGseGuBtvm8hQQRkiUuvDeas6TOZK3+/3ME+f
6s4QB0DJ64HjNuXRJR8MMs2dZ4sgEyuD4tSUyhf4RLJHGsT7uXTcTakmn7IqMXdDZyUnPMr6zrTy
u3xwAlAtlvogKmSKC5Qmk6ibhXdDHkJ1iGFToJGxj8sXX+M7yFZ5rx0Xosy3L1ZhH1s0iBQprkKj
IzfsbT+V92mViuPyRUjyjMWTMxDde2iCsj1aaX6bRgicJ3ICE8fgh9GgK9Uh/WIRstIsFBxJjl/5
iat7olCbbZOmb42KjqnL1M95yUCBLBwNpnkeopTSSNyUX6LE/+zWk7vRjco6jk74/Zfl9+KSkwdq
8tcIW8mUFtOBq2keQZSbWLn57qdfGmFn7Ii+PUaSDWtKSqxw4bsokiH7P19KyZXVJGGWdFxaOJXk
zsYAaInU2ViSSEsGHzC3sJKgWptVAOZBAsA2G0JnO7hQb4xx3KhAbhdyzfKlk7CbWrJw6VQDJ5dI
m+ULJiuYuZKeq0ms7vKFdr+E2/DLbgHuzvJbW1J4O1U3eVqj6s5VgG4WpfrQJJr6gHQaSFNOaxBt
5CEE/3ZK9OjZEDUY07atKRyjbK+kanDkU3oo2mCdjWr5qIr6xP8eb4TWAWxJ0vgAM5n8lSiH0um4
0JLRpd9bmqJju1TLjYjDaOO6ee61moXjhhMBi87kSuKJ03JDyV/SaK/uBl5j+dU4WGSSqJAMBvJV
d13H2wmGqXyYSad6mPAJ0BqnT7H8ngRPtm4n7kzldkzU4h68Ck2xaWvP0WdThRoVeSOloYC1FPZ0
93EAm2xEXM6mA3C+Wr61AAhpC0nIbgxKAGhDQn7Xy09h+e7b76mwiPrAfHGGOVwng995A8AiRbXb
LaTG6sqUNKOMLB03Go/QyYhUX7704SONs3nVEHnGswowKQCQFDNo3ySShrT81vKF/Ii/f1lKuJKd
lmCW3Cw96MwZdHqSRyv8wpu5T3rucp2EbHZ882a6d1u/Z9rEF2ea3tiOSPcgt+9x0nfFUD9a6L79
upiQYxobPYQLRa6AOLaTq+46Mz5VEhyVtf7GUdCG03E/WZIulUnOFM8TMUDjjS0JVFix9bVRwy+L
JJ4qlKAqacqU4KpaPuKNhFmJtjTXQ6RqyOPvyTjpjn0CHGed4T89pnK1KfxiF0lIlrHwsshmCpHL
hgh1JU4rHfWb0Ik3jBL1vY/E3U4cULQNxDxQXLUgugxZXnsUEIG3McSuLm5Bd6Ua4RvzSLreLJNb
RP5WVbz2tDM7gGC9WXfHQr6ZQE84Yyzfkj7eE6kFPoxWxLiGKWke7Vk1j8t3yxdQTH//MrJKfZu5
Djtnd5jsEn4nMWqAUMh/mQaCYZbvlt+zguchAN1F99hlnxtpj4eQeLgFomKlS2ezLj3ODWbnSeOy
RjZb9NTDmIiIS8UXbeArD8t62mtYpnXpnYb0GUovdcLNTONhgPQVOUddOq4BgZSn0pVwLtzYJiVP
niIzjUr1FbfRLravmhgYWzF+cavyTObNp0SauWGg7gdp71Y4hxynxfKN99uSJvBO2sFBH96q0iDe
4BR3MRSo0jre983XikN5K+1cqTR2fRiYvCLp9hqk7yuccIBpWMGgrHmO9IYViSRp2c1LbGWvjXBe
KUxWliR/YtF6HSv/Mpn1erSbhzywWNYl2aIbt4ECs4MfQEXsy7nM4ZEYQ2M3J5z14onDbeeUHIx0
+6kNB48my7rsgy16azqooOZ8xL9IeXG4sdrV4kuUYiCb+UckAcohdWQ1dNE6wvDhaVb2KSgJg7RC
50l3g1fDbl+NXKPvdR8l2NfTgBOcZVF+zxn8VCU5zdjI4RAQasq8V8pkLSmYVaV0Ft79C6sQnrOw
PijgF1Mps9XR22J0I39YSnBntLiZFOUaUp47SKHujGKXWVy/qu9HKeTlNFufZinuZRT1Ees9iTuy
y2MqnZcX6tUCXZaFQBo/9TYsZwSJnKjTZV7nu62+jot95tf3mtpjhad8Wjp6sRt8yFbQuBRUKh0W
JyPWXfeRdCfZOraGc+1C4LSI25FeTbX1KSCNtSR4LBEHJiYXZNb1XSLzKkRyiVz10eCwSO+QmtnJ
2nUkPbY9fQFMw5wakRJ0tIXSKL2AsFdWe7Ny/8V8bUoJ3w9SMFelKkDWBPBIN7QlkfM7fVEzkyUN
AS3dS4F6PlGrlPAbN9pcr0ZmJHaZvXLSI/2iAmSZZfQnZKvJZaDWASB0w9jaNJy6aVBE2iqTAvLl
Uga0GU28scZwgOmMu7zOZVu4gfQqmDJbFJedT71dWihGpg8Bl5aZIGdC1d5HBPqBuMSuGAtt21Sf
BaFIoxUrawWkLcmD25nlmiN/7GWdghmj3/xZhKRJQdcvFwUNKYZjS+off9I92oEeTA4tESJPtXOH
nKhOKFnlW8K9f63ZV/NAQmntjSNg5z+/tv6b19YgUvGiGgIo9+cw9cbsrYxWf7ov5cQ786m/eCEt
PFu0GRQdq4M+PQjUItOonfE0HtxhOMoqjLHog+8GkCxNEnvQtUxde12n7mE0afn8+V2KX0RhkOZV
2yI9WcWgzdCQK/jdbZPXY55gPuC2IXuHQS0FotM0w4plmGJyku01fFzrUpDCF7joqpCMVUPyIWFQ
UcSnmOVMRwjk2RZUxGgNLoas5YghdvEj5Je4zi4prULuCZhHHMqCOPxSwB8Uxd0iQQxUWbfLdmBb
IUF/iSfbXo0BReGi06BM+GAQLDwYtyu9p5DXk7TcQYc8BvN4lch36Rgkb2IYIhOpTq+lUn6YrBQH
b/8wZeF7RJDkZ1ekD7Jgo89zEfXwkNZNvzbHT7psMkaiOlg559sQ4g+jx9qYHskM3v/5Wmu/mqG5
2ESYY2a3gfH9Ilglk6FQHFof+0gk1tpV8dVUzDp0qTep5UpmNlIVlZUHejQ9bMAp8+JU6Ddab26B
SxRsB3SUHTviZJyWzVXeRsO+6ZVdKnfuaaCfM2epnR3DgF5k7eJL9RkAl1pxmhs32/Yq2TCz0rO4
tcVWVNN2aTYHIR0LIwAdG16CRkEIp9Gvjvjo5EAxj2iSxQNrf02NQsIJvayMU5cue8+xvi9tum+0
GcA+03MLJmMTt3dDyGAK9kG0yor0xZ6piCWXJdOBaBHuui4nVp7at7+krc2pUP7/MOXLMm/tlPc0
hkdMz0HR2nIT5+1b5i7t+izTOSkYm3QgK0fNL53OODIz1J0Ttoy81GyT46oiXdCWo5GIwJFcfeag
R7+Kjo9Jay7R6xPsEwcNAz+15bYPS6+9VIob004OYam8Fzq3T54Hmlf41met57jnmzODkYQCS0VX
1gTkDjLuBdM87JRMJ/Asrgi/bdmPFbJgy4sOkeA4IJsiYdo6W/xPJgTHoBheQS/XHM62kJCujdI+
lFIkILAS05QSe6NWvgQZz7l8q9UhKMJ3ZcBDmRT97SRSAPGw2sh6HM/QSBFrVCUzrrY+puTQ/cvt
+psdRbN0Qe6JEJb7i3U/6NCYmEqT7Mma5/2wsUK+hpdaul+V9iqHKy7CkO4Sw2cISXJ4JwdmhVTS
mVJGVbXpv+h3f1V8u4bLJoHPiKeItVW6pb9brdpJDKKMtGifWsHnMovvOD4fZOs7HeBj19PBl4qz
YujPUnqVOenFV6tPhmP9y7X5zeJuYNLk6sC9QhL5s/S8i7reF3iF8EuOAJU7niqs/HFTrlG2tGuU
4m81pVo/W2+iZv4SIDlvZH+D3F6D3TZaN8TwkfXgPKld9KSb4bShE+avo3L8FyWu+4tM3jVV1hwU
8tAGAYTLLeC7i8YB22QMPoT7MYl9T2GKjrLCU/tG4q2JtSGUK8IYKOyNxcdGCvpVCEDsiA8ZUyN/
kQb1iVjdAfi2k23QT9hrXXajImLEHcOMIBlNoNEbhHlF557hbCB4IDmW4jEvlFWJu/MwJONzNsXQ
2GdUsXpWE6OWmB4ocPfsUgvp6oNePypJClRZ9sQDJWL3qee9nhgenT530w801tJPJR5fgpVzsoa7
KNzyWKxblJXPItO3AiAeJLf52u3nVTQxt1CMwQvMEiBTzWOD7Ssn00Cbt5GrfKpLyPQR8l3uYPVl
ShHrKsZe9hwXqSggQYkqB8MRf6jsEaEe3vWCBXkGIAwwgp0M4riXGcoBV9xd3gUfVqF2O2Hs/Zho
pKJxaGgXY7ytBPAbMVenyi3Lh5QQaO4CVqtsasd9HUXvZI4V304f/+eJ+kdPlKFp+Hn+2RN18z78
1/G9bt6nHwxR3/7afxCkxl+4rgVydZBXlov96X8QpNZfFnIa0EbSDvU9glT7yxAYeeSqxEpgyDPm
334ow5H+Ko7k/B+wRCqrxP8CQ6rp9s8rMjcSZzWJ9oHtI5m6Pz7JelXnmcGZew85hQPDpFzPLe2d
wEUZENcyeTeITLyOMv8kC5+UWvC8RxmAyqz1usSvnmRaAGk9qhezmZ3YvWDYDYjOkjoFsOWQjxGn
KOmbsWRyLuNLs9G/8iP1pi5Ga6tNVH30yA+a2kBsdEW5M144GdRXbsNss8jA4hRZF6HH6bOtiebR
M3TCGwlmmB6ri6/Fr7VTxPeNHGSYDZykbB5ORZ0gwa0IT1AIBEib3oeeDuo0jRUF9bRiEgpb3jlo
426cPn1yyvl6svoG6F3QHAKGg4qqnlmrlU2YwMQPx+kDvTDyRECNHagKgifXArrpouesEEnCbMwA
vrn+U5ebb0SDf6kMFqFCdfo7JGUePXaEWmmPJoK+fzclR+J4WeF04mqva3IIC3b3a1QUpKOqiJmc
RoY/jwUCnSJQDrWZP6GEtIGcJ9nGMmqE5dXsoVDLdnUwPE/AZPc5aEF/AMg8yEpNsMqSEZB7U0Sk
RlGox14JXgI84Uv+IWNYhKD2E41LwgEHWqXMhY4cmZUcZZ4oURt0BGZWkUZsvExbkimoS3+BQqsk
ewlMmqZDXqjB1IaTxgzd5bf/H3vnseQ6km3ZL0IZtJgSADVD31AT2JUOLRzav74XIutZ5ivrGvS8
zdIiI0gGLwMEHX7O2XttDiKSfgRKpQC11hFRbmc1cb8WyZ1rfgQmyzcdDQPQf2PIZDxscopob6n2
XkvzAtjFpbTcD1qQ9YEKuZmH5omMOI5bhbOil0QzToI5eoVIw91+Y3bZluUJWkofie0uyLmtWkj3
GJz+YRjWo25yOIjaI/h1IZdlskWk5KuuLbwpYOIGXqdloZpZkJ2pkQl6ysTQUWXs5561U6snnwdG
saDLb4by3KtfDOQ4Gc3eXs05Wh0y0C2DCCkSHs9mscTa4tWHdeLwTtU3LDFPgYQtl6+bHr04r36A
tgUST6xmPhotJ11mWFeGfxne+2OhkIiPzECgb5oLp5q0ywPn8LI3SzMJ6YYMyqfDjlJGIES00pkg
bnRvIqgYnnThWqPzsz0jgzBOxUyHkZG1xXw+K95rdd9gfLuUXQaifCCAz4FV7vTebl6MnvkdSY8d
bZM4neYfrvve5sb0PGpvDl747U1VZ3vUeFNd7ZDL3CeJioNUqPR97HPtbM2KucMq3JON3DKusC2D
CWxeOw/UrOjdw5LN9XFptvSpjpSkxpAkznXD1U/0NiSvi2THXD6aCU1NaUwHOGuPMMYJnUK8v1ts
GtxeNahbWaIMTF2yL6QGTpKuV0C/zsiK4kAL1ILZ6YZzy8lTxfZEf4dJnqJWb6/aBkOfUh+RJblh
GI4zxJcuQuPgaDFeYo/4CVHvUVosJJksnwkwoF8rDVJWHrCDUF/4df/sWwQzrZI2mDeVcTKuzR4f
VhmxV/ntNkmAWEXnZHF42GDOEALQQB0Srw3VAspFUHGyPyAXtUz7kPgdlkVEJo0x1QcUUI+Lx0R5
qecgnGBoZVPqhmxxfjWiyENbdC8olojcc0gKVTpvby5naA+qhD7RF85O1ou2dzDxaMZ4tP8Iv8n2
ycz77GM4oSVwVp40dk4WlNd16FFWeWmx973puSwN7O5WC7lC2hbUMv9Vc2dOUd9Qj0Udkx/+u9CL
b0Ix/zW06WRVAKQIFyU4wcMc0Pz2G2AYSe1cTB2Zd5r90JaKnWkKqblozRNqRZq0TfFDgq/IZkqo
KbPo51A26gPxUA47ulCaxX0zdFlobyEx01I1kTP6+yID2iW9Kna3By0keHOEgH8p9kuEQAWHguxn
H1Zf5Mxg/PMjLqr607TMnjCjEUPi2tk0G6sXf6zVfrbWawDkAjVUrJ1qenqscTYJJV433gojuPOx
SO1Io84jxJgJ6cJQGBsyg1C09n00Z+J3joF4HLdFNfsl0ukm2o7cE02fqCybuPdXouk09nGER5F8
SvzLMIGbLAT6BFurGb434q7QrQ0pRrPdzXxMghoiqQY5pKrdj77V3Stxu+YeziCVgJXod0vW0div
+lhWCDio2pDWZsxMRmtiVmsO3QPoqLCvS+0oZPuI9b699yYtu9alILiJanZn9nAglPcImXs6zdx5
9YkvqwxZPMq+BenKVUVDMXlArp48TsN6F4BguDheVuzrzP+1aNZZaGZyWylQkDyYf5SZO1cseQ5D
z22cnnUYJfpaEm3F0jTw8awhw3HCYQvu/BEg1PKhi2DdF8rZToNjlZJvs+R0fCYERQBFGLDB9wzy
/s5elyHWEh63dqx13lnT0DgiOr5LkYfgYyJaM0l/cLUnO2h7uqWanhf5fdLp2kIKoMM7kbmsdJJy
R7kgk2iypwCFwVmMULKFPLA14w/O0m99J9N9NVSQXnRtxjzGh1FBlJ7awSRhJ4nRIS+R44u4LWx1
tCE67fIFFsFifJSmCA5uGdyheF3xkL2aveaFc6D36JuJY5csNTpPy1mMtgGgyljr6mi4yU8fOP3u
K2PQmv2EKGjC4gzbOwYcT7xrTBesKXsaNoGNNT57i3fAcYUIZM4GRvdgRE3/hcsQDI8vGYw/Z9FI
yE/s2/WyG4ppQo9DV7sjfSL2e+MPF2bbMNY7/KraXrrjXZUbeLcZ42XDYO6MSn5Y1sCJwWpbMPwg
t37d2z78ebUaP0DLvTV2YF4TtoXbpQxxy3A2swWVBBskZ+68aOFqDsqijDzdPNSWm5zBjTCsHghs
XYOWmaa2z3Kk1Dp0yHxBKD6mL4Hdb0GwKXPblT+MgxsWCbkRaCPWqGzttxYqym7WGkYx5AefFv+e
gYO8NYazX1PzrKdp2LPIsTch9IeFIU4Dc8SXczKYdttSi9IVjFVPLl2Ongi9ittctdXlDR3nLSaj
s2II/fOJi6IE0pWhW+/NBCHLGjwB4/9J6Ncz2PDpwSBaR/a5/1TVz82AFsU1s/5SGNl8mUmwDkbn
2nBtrrg2PtXK4hAVQ0BCb8nMG4G9TiJ7RaDlQ2t3DMwKxYoqyGKT+FxcMF+SMO9r0Vm/8qRWcLmv
69LrzyPJLr2YXr6+zJiN1mXN72YPdIa91EzuVjFBKO3K2NVNtRcq0Q+tRIud4RVwXJ5psNv6UdO4
0De2GTWuY7AGZhwItEenpB1wyTY6F20neeGSSMMqSfS9mNIuTolFetGF6Z0KmxaIT4x7WKvBg8Ji
OrehUx/u4qBgr1ct7hH+P7FX3gUYG190Z3VekqLY67T1H/+6iXEAJzmUzhW9m5MO9ksh+HCgi5uO
TUrYWT935gHD1Yr4fDT3Yzos3wyNjy8AwRxRBn9Cutg/nZUsgnTmzSUKmb/iJ80jJzIBON5qfcO7
t252F1TmWTq7nAH1tejPmZoLPq4kCswkf43Cod3FwKXWT77XqBhIub+DTpb6T1TytJrc6VtZQrlu
LBC5VmvsF9N+JPvm3qOBFWpKO7ezzIl6M8Sxd1xyP+bhxQrov3Z9/+outDNkcXJrnG3zmGBdGNsk
SuoMLPkqQV/TYK60ju4JY639PJd4ARrjDS0KXa6ZHGOTCiAZm3e3SMpYs7iUpJN5JBhCqjUNhVyY
InWHJrjURFovXLXwbdXfEMUs5HALDkGKcNg9VC5HyGC7gBfRHO8oOB5roIyVQQuxI1E5GrnY7QYS
dSABxnk7evs08+09snA0c5P3Ui0ogWbyDUI1NN2B4cNeYpM5d6bxo2ShiCp7YLJj4dQsXftC4xTw
MVFvuNvoXGJS9jkihhPClsrfMxxEiOCxbrCwQjJC/AMMx0f5Nw4Yd5hl6Mv0K//sXVU9sheh1cXJ
7DOwc6wXuon9xfOcPBq2HcqktVfJkLKugu6+UyiaUucHm/MhtlWg81aPUOPnH33RWo8sNxfZ4Q0r
zNlCU0HmQ2AIeaWaQqvLJJHZ13HSTHq+LnUlnOEqJYoMg1pHL7141nPzYDrrCa4zhoPAoTi2/N/0
4190nWqy6hcz6rv26Gv+XsOutGR6dVxMProLSv7UWnf2u3DsmyWy/jC5LhayXp4MsapIsouLnDp/
dlLj3W95R6qicOOpIsvIFza+NXGr1cJ2cSqfk2a6ajL59F2KlWzpn6c6kTRIh18AcW5k2/nhUBGV
OHnmu0/+Zli06ILU0hJYmqYMCCbvc20nqliEVKdhEip2bPFAgBW40XJL1BwKlxhTqggdUO3VZCPB
Xyf6XWfm4zVT0O5mzTv1/r4Uwnrq2JtwGTR364x4FcfmH6a9e7OHDdURRL3rSgRX6S/Pm53DUJLR
VvrmcgToPB09XnFEIusUJkxbyJeq9R0w5U0pSp8PIZQXz8FchcGYfCs2xdlUyNOiHI8Kag4ucsm5
K23ZUWrry6T8Q6JbiPAheR4TdNlzG7SXQLRX1wBoPTf2h2+i7cxS885uSLsoGnG/lqV26vvhluiY
E11Iz5GNCyMcyAm5n5V7jy1tIxE139ke/Cw88AY4i1Pa6d7SqKOn2ovu9S+CJiZ6ftzTs42WrSzG
IRQOCgVla69O7Wg4XNldLh3LBWFoXPErZrk2gosw74w4LwwWyb40I030KE9bLEVGUaESNhDF597g
3ZRp3nqVFVikf7jeOFzslCZ/BzA8Zx5Tm256V5sjU2O8XqcgY30YO+WfxnlcIlpLc+glbKn9Tjs2
Jru8Yrghsr6lXI9OnJFAO1KUvZpnQVN1T6NBqhHDg4m48ZbP6Bh8M2yri9hg/a7z9ofSluLEAuyG
DLnWCMy4zvU9M3FhTeWuCvQXp/vpS3sLU4T8h1k6chWyS63lxel1fWh6V+L5GUOXQsZWoOiF0j/M
2oDCEDD8cGaSLrGPN4TTsmu0E5vusd0/iK/UA1l+NNmhxUgYYilj2kQsg/+0jj3sXd2DZyt9tJbk
yqR6ilWlSVDXKvCmg80+Wwl5Xqa47WxYID0WBJZydmGG/rK2gkGgJLAKNF9nU+CVPQahICV+Pa/F
rumNW9GVxuNdD5uQwvWVK9efiQBb9LHBY2ehfcnB0uU9H26887SoZvpUC2jqvgmsGMaeHmq6/VxJ
kq09my250lMDX+EbM0/0QgM0Q4MOmhxqNgzqt23CbMjc7DNhA15rdXBgO/J9Gpoe/y4X9se8ST6Z
iQ47v2aaZpUUE07vs2oo++dEHQ6VRKIjwDSjpz9sozJ2GJG0aNTYovkNmHsLK68a2BpS+sVNJZjj
jfeONz4Psrm45ZIfDbZCJCb3Q1wZzoNaEEblxaa17vLXrKeWGdka7Ma6SM5OUUHD8T6VpxOOdl/D
DEK7K5EtuwgilfYzHWhL9eKTUYIIIavXWCw3AmEr4oDUCK/GRjhZTAwmqlcXCHeckUeJ15gU1Zx2
VrzJEOvFYWLJRC9EgNBGVk805qJpGKDwIKWUzKZOK2bF6lm7pIRWm36d/toWypy8rI4ivS6r3r6q
uLxjNo9ZPeFidlCCfBJniEqb4/xVSuDH5FnZMabdt0HqC4EDXgDPezmn6nE2adtoDerrntHZuk0j
SVZkBt2h1fMaebAHF08NWxucMJxFXXKhPHP2ycDHdxtvbhodXTHMqmjVVB5Im0Zn3CW49Md9Nxs7
BPXTqR/sH7k2Ud7P+tlOqZFrs6l2fnXyymcgPe9yTRvMaZTEdVfSCzMjsbUq14nJwKILcVSV+xwM
BY77ecLtUHY4i+yOgCkkdWNePSRrx2U7JUa56asWaVNyT8KSuk3NWh9EIn7O5UiEWl8+25hwLmae
Pw7ufB2n1LzKHkvfQOEd0yVRu3qh6RJgiH6qrOxt7Cb+SkqNsm8vPaqIS+Miblybbt6PQFKTpMVC
VoG6s9vlOVM+QEvtZ58H9VWQSkF6j/MXjPT/jy7+6+jCcHRYPP99dEG2Sr/9hzz/f80u/vq9f88u
fP9fBkMG6Ft0DBlhuOB4/k1zC4x/ubiMvnLQ/ic5zXL+BavVAkDm8K+TnsDw5H/GFvq/yFnz4NBi
PmN+4fj/L2MLk/EIY4l/qnACJieMHn3LJQKA9eQ/wEPUUZ1TtEwMyomJaTAPnxu+MKj44FP/Jme8
pUwCJ3XAk+cft3hnQfx36AypfpQmuwG7BZfkrQ8Fk40LQJb7IKFD72rt93JpMDcZWO4rtu6NUM2Z
9Q0ghpixqphE0q7tfelRY3lUcaBPc1A+ebiK9UCveIxTbbqz8nedzmBhIjpXyyZdkl55mFObfbX1
BxiigiyEPXuuyovzMLIXjPW2/6T1BH1j7Lz9mo9WRCmSjj9FCqtg8KlCa5LmJXieCF1FAXeBvbme
gJKZhsMytpiRdYnSjzL76BpNcJ8XFNNcYut9zmYi0BLi2DWneFiAA4TQm+k8L1nLmFZfz0YlfmqS
qzDgAetlGCzG0F3ykVo5xVQzpfQ3RIbkWM8ib0nWa+6pOZYT61OVVSe7YmYb131rxoSNUQ0GdAgI
e9GPxbIZLjKPF9f1KZOL9AipnpTQtRxIht9ougMXtWK6rf024SzaA5ky80OZqmd0joCs8qJ49vUf
ICtOU1pPvyWcS6QdHzMS1JAYEzq8RjJCm+2MqJujLsto8jU0tVl4qqhwMdgieIxMY30xWvKPAzbf
U4oErcPksjGXkih3pos/48tSHm8ocSkQ8ZeiOakOyojSymtgdEhReGLL16w4a+R3gAHh16Npht2B
vA4uS/ZUJeXFZzBz1looHDpPmFekYiCTKqI5yfpoDYj+RtkZHFey2RIsJQcfVQnjEeNMukh68XxB
b3TIwMI6+QVwcn6BVfLvL32aFf/48ever8d9PeT/9uPXHYmd6weundevnzSEGaSBIemFsYv78z/+
ja/na7/u+fpWVXaw74T79B8vw879gSbN+NZBCELW/b9e6NdzIkMldXvoaPNuf8F/fXlfv/t1r11Y
Rkz3HATq9ht/3/H1o8jF1Px1zz9e31+PJBLOcUv2kqJA+/f3A//x7d8vAn/n1lhs4R5UDVbmRscT
zZfeMNkEKKyR7rzq11ngXbGnKoimtcBoETgFJJSFkvPqFlPxjy/AjAsI8SW34TcPRWkTOrTdBiwc
x15y8Lr54+t3vm4dfbVS3oG7R/l+dub+jR5RE3cmBVdEx7U/rgQHs0fPlmbrZnEqGXqlkUI8a9ev
76y08mM6PZIRA/FDpbecKZfUSbJXioeOIqNgq6ATH10p68rk1wKFwZfAycwrgdzCtNqoH8s3x9MZ
mGx3mQO+WrpK+L61lS2nw6HGqLmf2tm+CuEC2di+G0q0mD0ULjjiQU9pm6C5vn71gUWtUc7pHMO/
b/PSMbZGnX331ileZfJTBinKz8I6ZvPsXtotiTfdMn2NtGCgth13Ym/xSeetj1Udz3KQ7xkL4X3q
HRWqrS79etTXF31rg399Z/lpfmjn4h11TcPiWX6fgRswAwqgbwVrzeRjPBIQ6lx6SP79qnf0nml9
GMJCNFX/LJIEBVpHkEitG+2t8orXuiXUXnZzhco0wN5CpHGsj5gzLdUspER7y3XNU/9A/MlLVa/L
tdm+LDkz0daQAfAGHmHKh5ks9kvFSn+enfQufchm2420hL6JPjX0M7MGdXedXvPty7Tk1rkv0lBf
2FuVlsYgGCxN7fGEU4bj0wWAcbPqT9fSy6tKDvpMuSJ7B7AFMc80Ng111ROprpDKixNcZras3PR1
u5pFt7V6cvDb3JZvJ/3Xdz86+2wFPi3H8jRrforem60hNaa81qQkMMpvzW1XP53aoXJDHSu6wWwK
2bosrwkclKtQGnMXEzPl8IwrgODGyqaBqYwthutoN4NLNxLfXly3qKosTTiH1nJev04saWnLtq8H
0uEn5a2zm+qmeoY4vb1KBt78iGSs36+I6zDTExExBLKJZg8JoSb70O3Z9me5eGTG8yDHcogbzwcD
RQsc9XQ/hFbelqexWOnpaOR+j40w7j2nOjSWVb5lWo1QNcnvKaSNo1n69XmTE+N3dIqG1DJVE1nB
jeC+Zzpv84SLuNXjbrDQxOfbY+Z+aPDb8d1fN/7989cv5nqT/vuR//Hwrx9N3p49hOT7r38aAwud
2Sxz0YzzhH//wj+e+q9va2LP+8RM983fr+Tr3/v651VVbZL9OWlDAYom/MeL+MfjZQ1ExBS1YPBh
0AbUul6ev774Gh/av38szFye/+O2r3vHyU4Ptp2WpX8wNQM5Z6K7+1oARYWWr63lAug85wPn/uhq
8WOgUx3pVffDVd6nscjpNub5QLZlVlJ5vUODjxeO66lcXD5ASB22SYdJcKV9QEIzHWVSeBHoKH7D
pAUw2GW8qAyqW1mup6o13iCnn1yI9RlICFsZ/s5MwTA4Xvs0uUQU1evTYMzLLplRcmCFuNfa2BgR
jRUO8KC2MQCjwPLShDvHrsBbazNCZZVQ+akqnauTJcMRN3bvJVSv5NTl/cwmze9OJboN3Z7cqB94
eprsO2o9zGrCfJ9rJGpamntkdMaVrPSbZ+Ki6Ib+BTt/USdvKdJLUBnugMN+6/Xa3cJY3b+DcLIv
6I9RK2mfVUvQ7Zg5QSgW/9ilBU1Hx6iiht5Q5E/ZeB0rLrUshNCy6IsYjLF420/a1hKppz7AYDrR
psPGxSQgORUD4zR9drI46ZYT0XtA8og6jczOTdDt5pjtfeuUOhPtS11fYgN3LS4SqkW/h23SBUsX
4Sx/wyG0hEnpMLaxvEeN90FmfX5MsIjuqkLofEbgZMwpUBjwH9/RO5yK1TmMIkVxYP3KnIbZm/7s
Gku+yeqIUEd4a1b9uyv6JHITewJ0BBhhDYJzUlby1GKpjjJNowifwIAgsAgXBdlvUHCh1CQuKfoZ
4o67nr2Y+7AiEb7WhfysX72xdCOF0ptpEoASfXzv3aSIgsX7AfQKYeLSRsUAtKfFnWIFvdr5cz1H
5qyxqViAFujFRpxpP01947HfwFI9tF6boAIIypOxYmSZi+M0F5vOyLHpp74plfxOx4C0yb4DimOF
oIncU6DIfnQW6yZrsez0i6Gm8jZwOg7YPjD8BBQNZENSe1CgO+2Z/AX5Le33aUDu3ND88WzJvD4Z
kfGnPLwmuynZdEPNUTq4dtdquAa5e9XbMWUmUhIEzBG03GWjLaKBz8hAtGRwsbLpZJMzsOsM63NR
6/roWj3W0ULeMhBkuu8mR48O6M4ZOEGBHN1LbXquxrM34eeAHMz2WZHj6iQB75S9rcnBN7y9Y9zZ
C/Ig5rp+YpWHjNkw2jgJER/ndJpXRCqz6ETMf67FjMYmRyKROvw/QARiim9G573aueQjRdr0JHXr
OOJaS0c3O3vwGpzau9Eo6KJAP0tzKOPGwOFN5MrOmY597YidwXB1X4l8PI7WfDSKeLQSdtklrhNL
P055AkbfGb65ZOgtLs7PpSxEVLmmdSjHu86ycR0MLCtOBoCi9lMRuS42/nV1vFjXgm9INl7zgnH6
1JZBDMaqOCCZJoZgF6ga8zHeKrgpVkjASLPvhbAveXHvgrrfdSn6k0yvVdjS4VtsqDsyI0gwEO/J
WOoncK7vc9d0sT8Pd2nm+ddxaT8YWdw7uo9nsBxS2maDeXSXQPu+pLJkNI8RkQDIqFp53XBysBV1
FfiPYA4rEKZ7RxT4QxBJmSluKLOFYmGiStyP60p0cK4dglJCc9LpKwKMMuM6YZrAFgd/Vug6ZQnD
DmNVM/TuOWOK0ggBgFNnejG2iAWdKEtY9gtt2pMqokXDLJ4SN6DnM9JrLT3OR40hz7Q6QNEMD3m7
8B80dvL14hXh8t0Xm4JZ8wPSmyjlcjNjIxUQ56yzlSej6AyjJDj5+h8z8ZJj5lUyWoWogWZ2/O1j
fm9MQ0kRzqE1jUPdlyjmvLaONN4NfFdYYLP2FyTIfPjhW4AQIRCQFpEtn1Ssy86bDMZ4irXKTxtj
29oleL1po9lJwxlsTTeJJt3Mqx6UKsgYrdetmzEyqQ/o0UG1o/1NFEyqvI96kowVgRfvqm3F6yfR
nIcufzdqOcRlUp599k9KdHT5afXFmj1ULOzw/QLs6470MXtr9i8xnn2VJM89B30nHiq3Riu5ChqN
wv6DDBFnx5BhgAZCM6fumZVqZvT8YUl5kmVKmY6l0NQk3kMjpkBOWZq7D1lzUcKF/KfNaNuhL+AK
aEPiIGuEz6M531ItnVhyshfpDVQWVfVgTXNOyHT1M6EPjMIKwqOs4Zo4VU7WN9IXUq693HkUgXay
0FPb5SwRvY1RE8BAGbF0hVXPGMCodYLbvavlV/eo+J7qubgJ/UnM401HMEBkoQb2UEjE/yXLiW5/
CLN8nR3eBtdgGrfA9CvFq6PI7qlxcx2m+qml8uycBBC50zJiwsUvMLPmhoFD1ktyIlw3kSmDmGYK
4MAiIg/Sn2beYEuzZ/iZXXZJPLq1eh9k0dSEXWGF8+g+9Nh3Rg0QBeI2b2evRrt/aP0GWmPnPte+
jhKKj5+WYows6v5XWYvjnJXIexYU+SrVn2ztt19Nx7EXwdPSMT5SVEPMyA8WvdfWmd5lzsbCXx9m
8vFOoDu/1yOnl1bQMK1SwRZZhZsB2WztPYedIYwpEYe32e+5sz/cgb4Jiwh51m1SxGjyHM6UC7Z7
MDzC5E3UUI/4RB5yYawjd2LZbZ3mO+yTJaQDmyG1TD+8zPlu1cx9rIXGlmnVLwSXSdTubaV+paot
YhhE4350/Xfltgajee2YmCgHG97XFNABqjLcIs7yOdR0/SsfVec2YUmXp6wjKkzUP1EdRDI/+F3L
s2rHVa8/h04r6LFrrIlTw+RK3k1+np36dFKMPHE1MJRRd9Arsp1eNJ81PZpaL57Wuf7UnDY/bvnx
67TKw7Ay1gd/8M3PqzX82nKZBYowG+XuwcipTsut9lVO0KHI989eJw6onvf17NwsRt5QObRmHzgT
Enq322+c2aBIWD90GRKYnMWyV29EIba7yaUEWnTylIc2uF99pqjEJV4mj0mqxQDMngO4MDJQh2VC
9tfL5CEol/t1/uNYg9wvlVaH81DYex/7fAyi6G0cN9yktJ/rUX9dU2lhMKKEz0eCgRqLbKizY+nz
6bMoFBwdV3KYJaAn27+Yy1xflo1fstrdO+bEkmwy77c2NL+FybKZuGBtMDoboInQXqaIL/dlctcw
arlfK1odWpCEbmNTfaZ+drL9k936/tEXxO4lPmN5NrzDVT7mvdKjLMuNqPQb4veUfTd0MzSMzl+j
plXupWvTb5h3ms/WRYBaYoeYc0x3AsBAFSwoN7eS3XPQJqz2rkJkHXKdTNhfJ0fTs8X9bFlR0U5h
X0n3ORvtP2YF2mfJBGb8YV3gu2ZTGOR6f2Vf1xTGj5RN05gsBRFuEmd65/m7kqJ0v0WAq9so8ATx
6T9nNooJjT99JaN9Hr23IgnYXZvVFI2qZz9tXY2yiCokROcGFnFco3k++QZgTk18qxsGM47yJTrh
Mo08t/rQnPV5QJXLlbbTYyeQHzTDXYSMIYFadmH+HOnMRI6pstNgma+kVWMeXoPIkJYfOvp9iZ0W
OFHNVXe8BDlZra4mboNoAWORHuXhLNrZSHJiq+2uxKcdgb0y9FQBBiwkHDN43p1T5JyH3cNkpk96
YFeRn5tcrpYBVQ6z7Xo6Y+4bw35RyG3Jua9wwIceedeQyQjbshefYxKAyrTHty2p1hjm7a2gwkFw
f+f1dAKRFN27le7RBe7BuDoPjg2PsRpuRsrLYVN14zhBHUvuiWPDDjP4b+iSnAiB9WsbzE+kML52
1siOdwiQomnFU2mM7S5tVycuY7RRePA+MQpN+JdLJGk5shU3SGhtHNZlfsryBKyplt50H5i/GnM3
AuRU5efeP6yFudctYlpHz5z3lkEd40rn1BlTfjeONdOlDfLBatG2K9WclVhHtPsLSrLJfA9El4fJ
XKVxa5l3S62jOtnYE3YDsiTQzF+tq3kXiiAsezT/W8kuWTlNiE9SLjwdoTAXrWB0UCVgkAWWIkaT
6ZubDu15sXwVjlx+aK3/ssrnsQNTZAnhHwa/eMpM0Ler9Py44uIQteJ31Y7ztdt8boTJjXm7IHwl
Ts5vfYovAE3xbNQ172Jd7Zs6QxTERdHNM3ZFWwtrOPr0yWOqHpdI7wwysI2j2g2GeFyaY9LTXHBZ
OhI4ZCGjORyoyb3w7FuR+9OeM9k5JSiPzXx6kH7vh8mqIWXFhOQFoo9cHRts0Z8apsgBdjN7QQGY
V8Q5bDEJcO8nO6m4tJrXzcy103obgmCPiBj4DQHmNi1S4SvvQFl5sgfxJ9GnEv6QR7AOYbFWPYKf
8NhuoMo5d+B+N2mVfpi4FsbBWCyokCB6js2Avg32Wp9S9FS5aVyqCYUMtRJEQY26EBfVbhj33Zq/
GNjBuYQPT4uXiVhM2Kj60aUXZ1Rg1Bhje1vMYcLlffTOE8HQew/a4t6p8fxDSNMNUMGeiRlSBM4a
exnU7hW5eCzbHPU8MWn415EzcLWELanDKHV+I2fMLkBpPrIcnhkatyG18306Op/IWlg/yokSAxJ7
5nnfV8Fs00eQPcyQn0eJiJZ+M6y8nPFzk3PFKoOQI0ZpY7lEksxH8uteZFJDCRsR2bWDbu4dln6C
aD6EWNiq1P6rSOTIMa7p1gRaR8wYxbNem+dibDuo3Olja6gT+zeGR7rehar7RHt4NvpXWeLowMNP
0HGmrbxF78UGeRBS+yFpUsAHtOh7d+gxVei1Yu9XnfeklQ5QvtQ5DzVGRAuqG20I+3egxOvaDxXe
vKVgnGRmO9OavzdtX+1TPX8FFCPyQdxkChI1K4tur9ibx7V8rRGZcj2hkeNp5X4AMOyUUObEUhu7
osr9qFN6cpjm6sUSyRgvA9tSU6/feosesFrMWBXqF6WgckwE5wyN2rV8THnH6HHnXOfJamYLPQA7
LJYl3Y2B+2h3+Z9ise+nanqR2uzFnsvIA+OvivhUIh8SU2x97xMYeRqGBvqqFKTKAh1lr9lLSWV2
MuyAREDzXJMdmvnmTRINeGD+17KTp1bNXmkaVXuGk690ReHA2cPTsH1I6UdGCLS1/8PeeTTHimxb
+K+8uHM6SEwCL+JOyhuV/HGaEDoO7yExv/59oO7WOWoX947fBJWTClVBkrn3Wt9a56l1AsITnXtk
N58nVc+HGgxR0Y+06UyfqA2YdzGROusutODzTgfXNLpVi2F557UzT56W6l53YBjH1nuya1DS2Q2r
snD6PvVms22xIJEpoK+rL36g9rhBHlzMh10wQOTrhj12rlPtVh8BBXfbvMACAyaS+pXvfc+gV+zK
yn6azFSQyhxDUkmbERYzQYk62muS2Cy8mHkJ0RAbdzNfHd1Ru8WZhsqz+pzCt6nd8tFUULEjvxlW
HQYvCEt3um499unA4dWQHjGlzofKSGhCWjlOI7F19IA18PRZWIXYIowi9QP2KOIuRX3VMla+nm9T
S8ZXY9gRjTew0umLm5JDhPPac6CRByHV4/RjbZolMHNhrrnYNithULWlxkJaQ+55h6wjWU/P/FPg
jEcoykytsagF1ldbcx7hrNykABNWRTI8526Zr8ToIvcjWj2G9k95chZkpQcte4CPHFdhf65M8wmh
2rYc6L2KCH24qTf6UQ5fmWPGD46k22h36jy5xbFTSDT5uFmU91sovdvEtlm0RR3TZ6pgSC5nm1Tk
fJtwlTrSgs3iMCNHPErlJb81PBrPoYUAOqwJ2RSM2KWrXPT4hTjYpEfuU938iqEg34k6/domtMBD
XGgbx5Y0GaH6v7ilHQbP1aB1QKsZ0DZaq1GXDHJkh/jKkMhfdPLtj0XN/FD07r50gz0n0ErEfXfC
gR0dNQiGbmRF4NsiDo1qfIdvhCRJg3ixsXaPbUTCqqXijZdZ9KAKt9qHHXtcQD1bqVxEV5Z2aWJF
V6XObqy4IU6R4mHtJMXeoXR8MhXVl8b8UPi9vYXQQv9B1tcR01c7pT3eadYayPutFgnnwBlD1aBN
7rwu5prZ13NiINrFJtN2UIyQ7ZpeizrLuyXd+pO0dUVwcbFTCmCqKd8RVD+uUkgEuOmRqOZ6t2F8
2mcY/llZXSb9aEyae9NX3vUwItf1BgBwJbUwRaVgP7qZSfBvc9FkGKwHjyjO0ZZqV4Q6jpr8WuVf
oxHPs90fjYbrZmMSpK0g+yrP+hJJJGFh8WCmt3036hTJNeazftBuSw2po5Zb/rqyRwSzc2CLdu8C
EWoIuKxFgxMtyTYUgaib67cu1VKkU17OAdUzqU/NS2TJR8fBzeC2JMGPKWFlapp9e6l+6EJqA8OV
9Cl3qs4uNkiZ73J3PNsxiqFycNQxSoeLgc5qU1qUHu0ISZFeUo1WTNEHHGkk/UyJ8Uxvylg5R6MY
h11WI+oXSUQVuidRJtI/16EX3DM2f3dCnyKKR6M/hq2zS1kobWtBCKaT3sJFvSqEgQAxyK+wNp8a
X8uOYkrqg2GqWzr/DV2cPFvFMQRd3ZcUclIK1Qi1ORdz74I6+ENY8aFh4uADTjp3q9pBUkkP3zMT
MTcGB7Wh66i20ug4NZRUR+0JjvXOB5zy0RnlHo9Ofxs1FqB1pNG7US/G9aBIffJrp9sXbjideg1y
Hu2Bbs9VnPJnMzw7HAk0JA6tHiqOjwa9AxI+dGoIk5FrBWPxrpv7RK1WAWJsovxkZz2Nx9f7y616
fvr1seVX3EBzUdLNv7PcX269eQ1SuGA9zejO5YncUNG0zqY43WkuKuP5nV/+zMu7/umfdFMTrODY
GJuXFy3vw9WQJvTrm7/8phPnZ7D5MbM0bOyh7x9U4gZMeOc3et2/l7+Tt+JKJ7IPef78Hy9P13V3
Zs0U7d/+5eX+ywuX/6Rx7eew99V2+dMhpSf+wu/v8vpWywe33A2zPFw7uT+ul7uvn6hui3wfmQJm
tvbOVyDPbY9aZRSXT4jp8YDoKDMR19QU74g+UqnGykVxxRywaaKo4aJrCLHJFIti5sx31yTk6Rt3
MLxjbMZ7qVtiE7RUwgiRe5cywsVYgywRfGHJH+BKguXKJbbfxpIk2Bli0Hu07w1S0/0u3gxjw2w+
z995XXUYTfQsdnyfqs8qJe7dnhAE211yretzywSXAdpbB9ZTcIWz4qyq+MvcwqhHWKFxV15Kc3pO
MHqtugpyrWHtPbQk8IeIEdtpuXZtZujF0wl1nRkH/aZRbbymQAECxr/VTQbU2EEhYGLKYn2ES2oq
nTUnbD55xDUxROaqI9EM6mLsnepqzpkwLehTct/Ri1/laXgZkIKjmM5odENO6dvs80T+Cox2Zwd8
ZBvo6N49s3lHOlK9ChLaNQ4HLSrV4ciF7aCV7p5CmsDEOT6b1PLGXvuITgeAvDFcIc1Zm9RsofXr
MEOjel8mTb8NQ3NnN+MnZDmsHMhed5sAgVe8swbEmlGP6FG3SqjI8mvRm8NGVePX3slaFogWA7dZ
kGGIophJdptt1fQxDIzHImV6WzKSbZQqk03xAWMcaq0pXEmxNQw9WmPHtg+kWfjbXGDfcWsa6HE0
leiO3H2lg7yANOf7kdjUI5UBy8zTddcuCXQsNzpHiCOOZ8TgWvex6skEdqzksfeZV8gSPbinf5rw
mlNIc2hH1Z/HTdCln0cualsNiceuJYAB7nh/5dTGJrLsh4oSZzXUwY7AcVhnU37NMLb1BsQLdqsR
pJGBeoM+fNInYuUb36ZHNhXboZHvgc+vESTLda6l1a4ddzxLm8kDtuV1xU07eeBXy5OdtM/ZEN1O
M1gDpfknfejk1hYpZoTWcXaL5knOvusf1Ie3L8q9/8m77LaI8rb597+MWbD3s6APEphpWuASmSqh
6+P5H4gioW+NadRRnBpHmi6ZIpbPSegsRCK9TXXUHZGF/7zEraVlOf58ojR2bkBVGIS9WGvmEULy
nh6KWHdB0J1Fpnl31jBCt0PPn3AgFE7zwFAQ/MOOi7dMLvpcBt4qg9aqDbXBe7PjE1wAOVKjPdII
To6atJFrUM5bDYRoosNuKQ3GLj39NLyx4zA6jXAB/mkf/uTDo/4hTYJL6aExy/v5w4uqKJZDmEVH
xBrjTZkax0TE4ZGZn4Bv5yD9J4EKK/CDq1VMGTr9JG8mwjQ//f2X+AcYFZ8FUlHLs4Shu0LKNyyd
pBhHq06c4IjfCZwyRoBjR9xDozMI9k38UU0BTIRUPkLlry5uIoZDRLGFOOlj6TfaRXltdcWEHiez
218CBDNcryDrhwJttBUwTKMIxa6Agtm37JPb9s2l1BripBz64bVGTzpPfbKtIvEsXaWwm1f7xCuA
sc6baN606fTx7//tPzl2HcMzLYgdwtXJMZ6/nh+O3Q7zetiqMDhKYWTrHijpNvbm5K3A2ZU2oFpr
qq9U1bO2VNPBNsojxir6+4QshNVwlWd4+DK9tw4wE9XRt8JopYLQW9XYDlH+h8ahM/qHDnf7btnz
/9dF/5UuWvANkJL617ro83PePDc/SqJ//ZVfJdGe9YuNj8ih3WpbSJnnhNJfJdFCN37RbcvQJRGl
YhZHvwZc67MyWtcd6vDIlakUvyqj5S8zyI8DxzDJzZZAFv8ToAtr6Z8HUpB7dOMcTgM54wmlfAN0
qfzWTeNgkGfh+0czTlEy0gi8chCmnCYKl4HOtTwfy70gT0Wdoy6tKCMPtEZRbZenznFDsZ1gqjYy
So/LY8n8muUWOpOKqtNvdwsOd9XW9mF5MvefYJqVx36ew4lZNLXcMudbddeZTOUPrw+/Prc8hsGF
q9jr03hd6KqbyZlkwHRCpol5gD7DFtbkNtOiTyorxC6dSbCVdpxsOzsBKEDrJeuZNhjyt5Yp4sts
OS5CUFh49KBwMpxk+iPCi+EgiPTq6X2eU4zMWyKRv6sWX6VDopV1VWfNwe1qazNltn5aNg2qltXo
ph9ERoTTaNJKZqHSuscy2Cyfo+PnO611tT3apvJkpHp54v3K05u7BGk9TU2gb5tpuHFSYsbww4ZM
2rrLgvIVkFhKUjH3wKWG07JJbYz0uZu5c53pKvUJRiDBGrTOrMxaNto0S7iWm7belYeU/xljD20R
0krRPvy2G8u+TPP+LbeWDfvRMkr3dx7uaNydw4+b5THsn5uhT9tDHlf+oaJqa0flLFDDeVKk1dGd
pQLh1tJMC22riyGG+npzWjY6xCxRxIzGLRXgNsP1M7WptpugOC84ZzhA0WnSd5EA3Qy2roLJzKwQ
/C9zq3oF4VXQxYHRi9gromuiEvK6mivCXLpTlJk7NCTFYbgJNOWdvIosPVPEBJ11JoYomCCwORQx
Afp0iiryAjFhr5jt4qopDWL3EHcieQB12AvyxcpKfPYKF3GkmROoq37dGJDSD7B8sDXxUFQU7s5F
XBMXKWuWIPaz07Lxo99uFeCEjiK99yfrgzOO2gZ14RZgg5uitpHuEfx8CqjchXRxyJGKHWgRbT0W
6ohhwP6PWtecsDEWq6TA7qrRBzmBb663reF99ypqETFMXlaBkzjRGZ1fXWbBiIRvfqXVfBuaTyQS
RcgVkLtYPp9ud2d1Pn1lMJJboYjoRb7LIVoPm0I4eNfitj9VUvRA4SeCDsocjE4Zl/DkamwI88ch
R5eVZzULG5aPwU7okOtlef/mf8976PGB74R70jxw8vXo8JYF3+t6bTk3f1gzwnkgOy6nC8ZM2FQe
lGvta62qEEftlWzohxqt63FpJVSoCj3mVBUWZZ/WMjpo0a9TDcduqAhuxGlEJGVXPkIVHTnEwDw7
tXpHjAHYic4Ld2HOlCCJDtCnsHWTFItkTz8hHJhOMt03eiWPQPVKFMOq5PglbGBlBNDmXQwK80E+
B7KyIHJzJLL+6Neov0z823FYbypl9wdHzza16OsTdlISOnJGCjSHNd/PgFuKnv+C7F7I3gbdxp02
BJ+DkQMUtcK0TVsZHRS1FTSRqAntmcqpmtlAi0WQz+9kzpvINH69tTzm9kIBsY6/LGe/O6s4KwIB
UyAKAasdiVgsLBUZObZOlEajEMuYot7qAnGdW0P9edmlJB0OlUID34ATXx5yPJPoY03gGSb9qRtI
TZ03iZuq0xxWFGcTntWmODiVjRohpwSwHAsvN60KRUcn1cETGRcEOnVejqczMX2yEbzbcQyMY2dM
Bvorr7fgNdF1N2ZcOzXoayBM2s7Qu/GUwMyMTPfWE9hLlo+SNBI1Wiw9IzAfI2BwadxNGaZB8kIY
X0Jvo6e0V5fxdxnfcoi3AyXll3HZDedsEZKtV04d5QcE39qeBMs7sGYIFUkIsMrygiGfCB461Gv8
KLQ7HAcSQF0k0AajYFMPTrUh9OxKM2S/l37UnVDMdqfllhmLucHbUoL2ypVV8HUIrDknmiQcFfNd
3+i+VnqBVygsieGZ36qNQoY9x/zG8gdHJjWEcx/qyZmwtI4TjsSO6jTExECslpvLBnYmvzNvHKOJ
t75k2KwDhEsDBkjQ5hHCesv0Z0dCcTQNMztPepqdRwRM5w7q5bbQCG7IWhu1aw5ZOh8ZPIaqi49+
Nqw8Yu0oVfshEW76mqwAlpU6I2zAUUQHPLvPsfYgRsa64Lp3eV8falaz+6xo25MZN8XRQcLkGfO1
YHlslCWerFQnY65nnMeuOhJQZR8dmrMnu1J0rFvO+L3vlTd52jvHSKYXGC7DAWvOdAI9tepx+XDF
t7DswLpc+aYdbFlFHEHbrSffCqDSaOocl4Y6exVhPPT9qcGLAY6PDAoCG5bvJ6th1y+3lk3IRGhv
4qGwMI22U49RtbunZMNIjPwhUsGhq7ClrzBFpSev2aQVp8CyoXEQU/LI33dEOJ+iedqDEPrXTT7f
cgGKggHO6UvodCeWZ3NPMizg1U+/1UN/kzllf2UIVEwhgQ04xmjE1ARyF73BGlI9GziZa4y7ZNaq
D1FQPI/4z/ZmXyfA7ToQciPuHgvjzOg8ZKUn9qI3gWmMxEYSl0Hv930KXYCcuy5eJ/2HMUmbrd35
V9CzFPW9egv+l1MadIQITQ0FafUhU/IxQXOxCrVmQqQyfrbTctuUnB6cjKtpjC4tVIm9QaG7cy1j
n85hgnCl3meU/Nt+Gg/Y9nblaH5vDHldjJN97HxjOygX+IGIJmjoQYvjVe3MKfYZoKv3UkXI59L3
Tjtk1xlzPBPCSk4bccWqmYLA5Fw3iX6lR4XCnhA+OTONYYo9YCFEDaiJtiy5Nwd8aQrJFdx6ZoxA
PenQpU7bbvA8b4qmmK8Dz2XRBGvs7faxLYxkDYtCHIakNW6rUL7DynHinZ0wK28wooHTb+erDx1n
3MmSZPZBB9pC8iXT1W7rJDRynB4N3mBlj5GB0auMesx90yDeN1yTXKV/l1ZGkSXVvrS6KXeK2PS6
jiWiTTkSVc7sb5BfheInGaOPQpCi1HYq2AfU4YHTiU08McnwBrKgsinaFkW7D1TDSSeC81AecccQ
uhFIWBN69oQ09SPhd+JOhVm4LjFoD26JOZhuyjg8VfQPzoZdH70RbAHpAWh7HefGaMz8+OKo8fxn
t7BPVhuHK8dBQ1mgYtiYtzLr4vskouZnmGm56zIoMO6IEBTq83aAmyFtihxDfBlkhvmficNOs0G1
j23wzqiqZsVBkMKnImmqdeMjV9VdjgSROGNp7mi3bpBQRvsozD+pAkpQFHPJi6lKzsCymuB6ms56
urE09eR2rbXzQh2RoDdxjt73dplhMXE/JWNGw5CEpjz0zBVdPINSpmUm8RZkQ3/pJNWBTm2cchQ4
7tx2JybvU0qhQfPYU/XYBXeJjM6hbOcuiIKnBsN6ZY7hO8ulx1g2+mGCjr2KouK2NSGYFwn1UiSF
VNawKNA9aQh4ap76uGzXY721ZxLBFDvv5OSXm3KKr1p0uCuzKUnmoKdH13oCyqDuxiCMNw7W57im
JTnY3tcmqBkILahjVuEkezmTUIgJl5uiPwy+vFFxgUGiQ1KSZkBWNGJTW4eE7rIbGvrfCdFk9j4d
C8wAvkMbMfBvA8hyMQXfPlMPRWZ/1bRyXwr+cR2gBzlL28ArPtCS/xyEHbvdu+B4Jw27DF/MynDC
z4UzUMBU3Sc8w+ln0cpnVcG3Ybm8c0X3kSYuaygILajMY9JkbWcjEFONJU0ewjAAAw3Zqawka6Zx
Xq6pIaZ6y2WDJZZNMNNuecHrZnnR611SofnNJZhoefDN0//lY1lUXzytjAawGa3J7CiYVzXmfMUV
g1+xWp7vL5vo91vL3d5MfntaMmfc4Ya+IOOoT8nEZG+51Uq9PAakStaJvGgZa4bl4WUDpPTHl74+
ttySsmH29vqX3jy93F02cUGa0nJrfEgU0+7XV+qaHYDq0FdvXrjcfXmD5eayUYk/Txeh9rM6/v0f
KJg57/20PU4xOfFTWX2I52tctPS5fID7yRwnkC6r7eXBZfP6mtfHKAyyIn+9/+Y1jprVvFr7KZVI
P15f9ubvJUuT6c3vAmfOT6+P5R3YhfXLK/90z8hDjtaJmyMWef1z+ArbXdLHdySFmtO26J1bSpT9
LhdMtFVDveN1I+cJ13K3GkkM7/0WTcky11LlXEZ5ff7l/p8/Z/3+V5bXJzUW7XYoWMuSQ8acnL2T
RDUoner2shRO8zhBzTmviidqsKt2ILF9aPCeIQPGqTbfet1EgfHjXb1Sm5TB9PD6iuVWTv72WpJa
gvbvp19Yfv/PHuOMiWj6/v7q19fonndXgord6XNaVpiRbhbW+TdNZuMWq4C7///aZfnt3/96/qva
pUk9nWLfX9cuP0TNlyKnV/xj+fLX3/qN6CB/cfHt2kD46RO4nk6n4Deig/GLS/3RIJvQdCG6z02E
vKjb8N//spxfdJRHVDV5xnCgBv1evrSMXyyg1iTESCqfrsce/ifly5+58pYL/95B5GxYJn8OKd+b
RoZBvEzS2aGE3kTQuUOU6w2yKpq79cGuACy6M4oAYBZtu8k85kyR1rk+biMH0xji/ssPH9+fNKXe
9HZedsehu0NDg4KvFHOt9YfCPkltRmmUmX02bcPdjGVY7mLji8JgQojTs1dir7TJ5mGJXt7gwE7/
IYCHWvIPPbFf396C9k0uAEUz400pFw/X1AAItwBe+Z8Kl0xFe/APEj73GfBDuu0lajxgaleNraKX
0+vL8L/Bt+LP/vf5o35tyC1vzqHCsWLbUgfM/+Z/r8M+hFgqrDPDpE1Q+cg0BCZ/NoLOwZtlPGpx
cAYmnRQOGc5x/FVm6Skh9/McN1a7NxsqdwEcpnXWN9PhH74YoOl/2DkK3Bxvrk4UztushL5K1Khr
tXVO/abexk31yU7Jw6gqX+yyJtIo/obYSkA9ayg/Z2A5zq4gnX2jDynQsCPVraof3N3f75f1M5Zk
+dA4G4Rn2JJ+nDufrz8eMAz/TeYMkXUmZdgCjOsPOEJLfQNn9rueJME7S4/3poGZLJ4smvOpsllK
ZmjS6zbaJ4cmtoyD2aidTKvxPI6ts9N0HwWcE8Q3Oo5TRNbW0NUPZlEBXnO4/MogEmci6b/KsJZ3
XfFJVg0+kMQ6RNNYbcgrKZ4oB7zDWmXda0l5y0mWXDyRb/Q2FndSj8G5GRT+vfGuC/zvTW7Vdz6V
ASpFswM0Jo9PGh+gaHtXf/9pCboeb75FScAULQpX4Je33kZvxGjMuzTwrTMFVZiTyHQ24CnxA/Mx
okZkTjANXAmjAkE8MYhfCj+ETfdf7gisf/oyc+uST+3nry2IcdOTBGedUVFRANXDS4Y+936WUJZG
+zBOyd4uYYaBIzu2bXakxD88/v2H8ccjR1Jvcy3bdmjh/hFo05a1JovOOiuirzTjYDlIckk1O1qe
d2tF8Y7v6J+Gtz+OtrynpIfl8ZNLwpujVacy7LRGap1N3T4MdWHjbzMeUMjfFj6iutjTJ8IXYxJv
IVUlk3Nh4r+qcYu+r/Fi/P3/b/xxvJG6aTgCQsPcIHPnD+iHsRanqFCTJsxzAV+9SHrzCjnfxaX3
o8epd6+74xfbwWadAWReI3XGiK/yiwDGd2xwjZCqW4pLN7uaG9YGp57V6daT6b2pz7BxeDqYdRL/
CLYEqHdDMbhg8BYqW3O6df/QkDf+OHIjCeI6ps+Dp2W8PbJ9Qxi+LxPr3FtjccZO5N/UNV4Vmy79
foj1VYXt74rWNWJV4iaPaWN3W3+UT2ZRVvcEr62ADCC/6tDNohZHwUK9BwdOSOpcjwmJZAL8D8HW
1yl2ykwQjgLgAMM9HefUmdnjklKoXTbRPgZ48w/DLxynP5y3xFl4NPo5XB39zemSpJ4cMpwfZzOx
q8MA3I/1Mrvb511xrtRH9MfF9u8PD/GzxGEeWSVXIzQWgtAZ03gLfBrggRQ1/LQzFvjhPqM2eUvR
6VaUcFw9u/ZYPrrhPkxN97xsXAON39ekIgv5H/bk52sPF3rLQtI2B3oY7MsfztQybGl4VaV2av2E
UoXQH9D0p3tHMpUOh2ggfyHWd/ir5CoLNPNiNA1XwqY2MXI0yPjTYBMEdfCQC1X/w0Xb/nlEnfeN
zi/QFin5uCzzrRCkTCYM3cLBbOFla5zNzlbY6L8Slc3KX2/cKMhviIndi07J+CyQz5YEBt3M15Wg
T42tUTn6KlCmdgYN4K9A2R5sBSRFEKOR+La3rwsO4zy3ncPQ46RhVsZigADuweAX45EETmP0z4OA
hjwQC3hBKSuu3UgifGtdbzNY/h367xXJwRD9GjwGNbYDFDIUMUEhonpj3pcgZdlnybCr6iJDL05V
bZwiYxPHxVbQ5DsQO63f9oeIuKwXUtxfTnv4Cn8+0mymvrQ1HE5cTzfNWdvz80AEvxb+bWZapyAQ
lKxs+U6fCJAmi07byTy7MQeSjNIKl1WstQ0FHvT3hZQxnliKboTCkgPx0k1DCLcFWk0RpqjGExXN
5BhrZLzPYblR28c7pl1PmZWxvk6gPAzoasNyME9jLM2T58i7oUdGmdKtoglTKArZRH8lhnPK3Sbe
97K/RnlO8mJAIW3ptIZWMBL55UPImiwaV0vzI6akOad9R792fOkimJsGN8lKr83Zie64aIOmem1O
JZqhVFHUKc3iHIUQGd2o9k79cPC7frzOqWz6Kc0Dow/meEtJsG3scAj1ybmtBhNSuHtg3IjuZGtq
+8pEMxflH9Iywfkc5veFa98zroWHeVpUp+pppO0+koTwENLjxXKiG1uvgvNcSunfJLaDDjizblvG
0JsesyOqvikEdF32R+b/+yoOm6uswf1Z2oFDXwlRszM23lUb1OWq8HqA+LZBXT/v0FdPqbV2Bpzh
sJTykwn5JK6Mj46ezgdwl65NNTw3XIQJQ3iK8/ijaR9QUUbwQVoEjCoaSDvvgX71+odCBUichP3c
tV26LRtgGZMGs7wQZPA2TppjdAFu3JJYcsLShbfQKiPraKvrqDPlpfHiPZm66pxDr8E35zz0+P5W
hfR3ldu2e2/y5WmcxndxHvUQhcyDYevhUc/kt3zA1NWEXrVN5+KtWUTRzhKoqxyaB7dKEeOhd9EB
oXr4RNTfjQWClP6VuncMvvPeZCLfdvcLi8pP89nY5ufbKqYqmRThI5565y4Ufr12AyYeWVbve1pJ
6LcrkBt5+r2RTXCvKR+fl+FT+sOXpkISGIa2ZTJrp9MlD94npVef8H8iicjD6xYIAjnLrvuxL0no
ivNLFffO2Q+tcs9EtYP27vRbkSpzE4xj/dgp+uB1ue+IDDTdZrx3s3BP2Xq41my5NrPIphCllxvJ
YQ31OqnXraPR/SivDTjQWz21J9xrubkhO4T5jOC7AW1EK8Mg+jolOR4ZcFe+HOF1DlIh8zlSPW6J
yv/uRXVzLqbiqxdwDQYLWNz2bnHNSGbAMgbnGZgxFMEGYh4Z2YJQoc8ofPt3vvkpzvt7LwGwNfXM
LIjFtPYlPrEzbvmL1oHqq8bqoTGp61u9f9tKmNcjSJUpzsTGkyRKkmBsZ3W9azTQsF4C7y4LpnOT
Ojgb4jgEYAvjiAbYs2UOzaGGsXdoAtLoCEZhwPCulWVVt/yDs+qwdo6+4T9bnj+eMSd91yyFnq4T
+gYRmQtdiqBVwpujx8DmCMujUyOi8b3lP9QGkZtB1zlf2ytM9+F9YTT6qnSZeFuOWd80ebKZJPFP
qZ6Daq2+e73QLqmNqCptqxvLwcneTZ8DPe9PeTfSakrMYp9E9cdIP6Zp5XxoivopEnh5Cju8kQVa
aVij1oZcnOTig5zoUXOc7IY3hLpKTWxWkk8VBQBkR9edVY97XePbwm5crTw91Ne5o8VXRaW9r1kO
7+3eqdY1ZlYGguJLxpRilYBjyIQob0twUEflJnOasH8xQgrKxpQ/6ANaUumhT9Kmp9AeCZusRgfb
jZMeK0U5rlJPgBXjLmv2Xt440F9ps7ZU09d8pPIqcsVhbPxL7A3Nnent4A3OTtm5+WDXMaddQWxH
07IMLQzxmDuHoHWCx06YZGam2TtoycOVhoMQF4P1DfX0iCh7TFhGsycKFctdWhIEnMnee09pv7im
f55u4tlOS18bn42p5YAxrNVQpxO49+rDwAyNLImAjiyREFeZ8h7Dke5A1cyKd2HdaKHc0rDCeEdi
MTZNe3wMrgZdMbu2dOzegX4dFV7ypIJq3QuS7QV6jFU22BCzkVupVtxW+M42ldVd+U3jXrTpUhOg
vVsWZzkr453RomiK6zos0WxGxb4mSGXdG1PKfPFhasgIHAYLYDWj093cvShyGEPYs89jMt3mbc1H
ZuRql1Fv3BKC+EhxzDkHmUu3OfGe/EwW99nk5bixY7rXPTbQ3BjMD8oSalfGw3bQGJzMKeEKYTTf
phG5eN6bisQXP1xprIZWvV3Nprh9z5phE4bWuC1kMnCQGHeBhhOObrpL/9rHUFwlNgbC1tqWefro
aEN6ZWJlUrV28Iqq25BfGYznbqKhYpTDbUOcR22VoJLRWF+VhvbOq0E9+ZqioReAPgPWyTI+IVwt
rOGypB1jiqxd8GRadhp0x7wxEJ2vEqwrRtV7H6tm/KjSiOptZnV7epGftIppdjASIOqLTG71AJNQ
XulzfpRPcWxeXLhW33wdYyNggIz0cwK7iWYgVaPKyr9njRluXM02r6rQuWtlld2QEUKUUlti8Onc
K4Ws7455+MTbeVCafXuXljVKucaqNoGoi5Nm70pnyE9ayPrFHLe2Ppk7CS4iXeUmsCLX1LeoKSRy
wIHVpdluLICs+2gS+m4AkaQN4EGMdkDyD9Jz28aom2RPrFiItxz2G/UbMRPoCLcmqH0oz5EiGrye
VH9iHMYrEe88Z3RYj6ue5F9kK2izb+qiqtaqwD0dW2F7HKXQz4ZKr72u/loZ5vhEnjsTMGNfz1F3
Q2NtrSTurhtfRhtfkMVaK+86rkwKfVNZ7IccAQzOKndjUEvl4m/Eu3YgCQ6a3DxPxiDuF9mwRY0I
2KOBIa55WBhjM/N3oJDjy5hScFhVlWZvl3fEStjtSaiIVon9KQ1EfxUD0FtTyUNoaABJDCeFCySr
ATWmJzNrMcDlIwHwYe6iNJLJZeAKvjclILuhdunuIJPhyihgKHvfsNB8DwvVw+i3nlQuv5ZlzHIX
rFruw1lDhfI50fyIJUkGOEpTtwrxB6k1JLuHhrcraxM5E/BA3VTXuexYqFjtJ6KEj+1w1hC57zNR
frNs8WR6BmeXgYXYH2ZVTcS1w/pSlD0SQJV97IokxDYUMUwXwaoR8n7IBjJCXVsSSBM+SXmei2ED
ZNu9Uwwope3vQz4VK2Vkn12n+wBB50jcMeFIgweXLQuYxNmQ9yKaaVPzMHDKbhsQY/ALnhoX9C3i
qgl1lVoFFRb21Av8HZl52DK6bO1DuLeqGmt3jH8PEPpBz0EHiXbnPqoeo0w9mO9dfuIh93d9Oz7Z
QyJ3UTgcXZswqNRusUyr4lnPxudOxIduFF/srRLQa+hKP6ixDzali8PbKq1DVr/XOoj4WeL9H3Vn
1ts20qbRvxLMPQ2SxfViPmC0y/LuOOnkhlBshfu+89fPoWx3LCed6a9lzHiAhuFYbooqF6vqXZ7z
2HBSwDEV+oMa6Sj8cUScB0qO4p22ho4/RqohDLJsNUcsSt9H1ukX/SiAaXMcivsIQ2eRldkkCTAe
Lig3tn2qTT03uW7kHKBCX88VfBmRvGKABWlD7n2GJ5h4hR/OPRN30M7qYC5Qni9b4KIJrQecImmE
qNNZJIPMwCX0Ig20al7BClDp0yu66rbOBlpVcrVZz2zbdwDb0ZpTKqVLrTu6ciscp5qhWylGz7m3
yYg9XB2zGET0flWuehWeQOOMfWs6KkeJZnY8y53JkJUa0tKqQMHiIKBV8AmTlylu05xlI1yFbEBW
xnCZhxeSCL/Uofw1HkUwmoHGrwK3LvTkUkLpWDtyhaySBZ1IbcYZ0VrYpV/PQPmjifJ3RLwrLfGq
eaE5yawptE9sDFecRR+0wUhZk9i5XTObce5s6Sgwry3J95dqqS0EzS+LZMhvogRwh0iSfB5Cw+SE
PumqcB2nImYJZZUzZaAV+a7XCTFECtu4yj4XTqtNbFJJqMI5Vrr4PKaueit7rBYxnWCTwUw3dMxB
nkMBRlRxOrRlOodVhR+EAxHfhf1npMbKrtEVBbRk4FLg2kh3zXjphA+Wp+/aDtmnR/v3ouwDABrm
R9/J+3mYe2wEgTNSZsTMcN0zWRH5QlQojhqryafE+NdxFl74VnuTcQhm/ag0Ykr7vpFYKpuCND1l
H3cBLMSwpPsuN2ai0W9Fqw1AAp27thAPIovTjahJnMdmNCtyMHK5uujscO7QQ49mLOXkCO1xUlYG
gKz6m0iuhogWiBZL3lmIMEzCmY8OChAkEF5jmiVxdv4WQYmkz8UtV6H6EDZtOYc3rdMMHdFDR2tO
n5RnKWqqtlK+NPSuTI0K3igHQVywG3pn6ZHV9Mxkpe28z8OyyssLywGD57S2O4208lpVuabkYNHE
jax1h09RyrTLNA1SYC43NItQy4qL2IiI1s3rpPEAYwhgO7ISnerGF71Q5ImupcB98FoCT4GyTsed
o/EkdHeMMVMXsEYQXqgN/ZYF3bW0bRTmHFTHKdyDlKXim/817ewSwEaHdz2EfgmCbmyhELRqYU/0
KaopzvngtaZyodUY25lEXO6NZtTFJAtFTa+pp85L1zgLCnZXPBmWIcp6+jinXb5s3AJ4KeJZ02i2
hf5HpFYPkh1yPKlOxy1M7fA4cEttUwo/wncQ9lA6KGd+UdNaL9MfJdXhqYafsxm7n7BR+q6AWOqQ
HXPItQmHdbxlrOgCr/G5o9JYFNrGlVT1GY0j4XQgPb0y8dfAgcG+af2MDtKkOSMF2t7SVKKAgYFv
rtpkicSQ0xdjJaACJfpyFBn2qqKEIC16GxKa9pWMJ1A/RzQLygUOBiN1tFJGB5iQTsBFjcBxFtFK
MM1zGAlm66tLJD473baUcwNjr4Zl+FTxOWjPbHMhN4UBSCI1MEXrgguuE1zsv4u6JLjwwMXS3DNg
xfP887LSMFHC74xVJ/WJqGTYyyrPxf6f+y8EJXAFTIMdNxPYXddaQP9qCYKdxi7vIhMixLMhbTBJ
clocX/kZnAJ+Bij8wUtib5Ui4LtoVYz64AcAqPLci/0X/c/vDBz/MDrsC0Sl1p1ojT+0SMAVw9ZI
Zmxbe+250hk1H/5ptvlZmOlMoXBK9x91gtxX58jNUL4u0qzOJqUU4Q2LtwlhYo+7i9lYYM5CZPyx
/JWoGJsYTK8WNkbWo6+LrLhzP84e4NpjNxEGFfZqzbXVruyE+MdMtXCRSaBAR85b6MnKhn5E/pCG
ecpHapJyUethPyW1fV7o7cJDfjqLKB6ycMbazDSkB10vzgZtxH+65Md0tplQr2+DwL2scUNZagBB
uewlSRkXTATRnE0f0WRClTbEPg7QVdH0H8tcbHu/NGaEJ9+hdNB2oeU8QGOO0ROc/nNvFutkqaek
REmkF2axLrXBu7GU5qxUhXeFiSDebd45jrTLzicjKkqjORtXyrbvBTu3y7E2CcRGclsY7i6sBzD1
2iwdgFqQ9LBovqtxLy1R0+J1cwmHdbjI3ChdsklBDBE8PE7gSzd6raw0FcMygmh1XUJ23kSw1nqR
In9IB3CwlXdmWRj0FBk9ol3voMSF2aqXxbUcmvaq4GgxGXDtulV0NhPHxfRP8sJ4U+rxZakDa8FX
tF0BRItXIaBUVmwMZcyRothnPKKI5k9lXwnWHQAaSbI0VmhErg08+WWhNumVTKqMXlMMDWJkFU4w
zCEufY49yZ1R3tDPSuzJjTy/1H0MnrFWnpS5aZy3Ga591gjdACiOpHfI6YTOrxK5NOeeYynXuncT
RlA1QN+7n5syvrAyhTYyUK1WR9INoceMJkzUDWrVzHlavqRSFK3iCHFJNDa3mNAMVql5t7dB6ukB
Ph9baEOcd4uOfQA5b3EbBetI1dKN7qX3RV6UlxoWfquhsTJSgeyuqt59tRvzEy5KQGsLJd7w0cGH
xGoz7zr3FLHwKQfVcFlYYLkpeBgbPAQXAM9moWa7521/pQ7C5Gls3TklSdAnmVFP/VJxplQEgQ/p
RX+TcbyvaOjZQGz9rKYx5LYuQhVlhphs5ni79+HCltJ8YaGanlZVFJ+lMfkTtyHw6Wz3M0q/LWp+
/xRvr5u+1QpY7cadEunKRulUnELJ0Z1mg3Qn4/pyowixJty2ZukoCN4Hn2qau3h6GedkitwrCITe
JE7wagyFmy9j8ofnmdzI56BvlPMS3Dx8YsD+ZSnDot//cP87Lf7N59YtQMwJuMvy2tNk77Ztw3Lh
UwMmYcURAO4kJ5MEd17QFhUKM/ro6a5FH1SnGhaITifmsQEaHiZI0kyajkqAqFuyIwkIXesj3fZ0
wQekMQboC2mS9vOc8Icmb+Oj7Qh7lRd4p5ppMTFIiwJ1p5HbUqmBc+t7T115nQWEzxHiYBjduMSV
HgBO5Q+5wzfcqWciopeats+zkiZO/gYeCvOsk6aS63gzkXD0ZMGSiUPnRTERPk8jd8sip8YzxAuc
7Cx/1QZGOI1T78EX0ATpoMTH9JxyvjbJfT1ZYIowqwssQ+BbtV0PujwPvXsxanwGDAxPAwDetQcy
wiol9VRTa2Mtu5+yBjXD/gvP0c2gBfeaZLGSWl3OskuqZbDI0dct0qz9d2k35vCzQC3ndOeTO63c
dCMT9M8wsO14YI2ec7nOqEQWKU1vSNtTyAZTTmOng1L6G+w5KMoR97fVRK+BszYWsJK2wWLIpZcT
KRNNqBn5E0ucGQnPhszSLLtSR3+tso6FZ04qO4qQVhOEqL2BJbJxX7omZFRjv74qH9u805eNkl23
Rd8AYjbzead3l+DYyUk1E88pGWaBg2daY0XuaqxfpcAhXqqDU0+gqDFFVc69ehfnWrc2tXIjDS21
Ko7q1DX1dRiSjc7d9LtehNKG1X9FFg4oVa31q9Ba+hkhX2+IdpnURUS7vX2HcaB/7YPTsXR3V2u5
cZr23HGnQwfE1JaNEsNl9CHuuWJANM1ibOEDKeCUBagbpQIYOaJYN6LrNWflRLnt9Kde3mmEVdE5
iaZwLlcxh0NSERM5tD/BsEGKEkm4z8pjBmRiwg+f2ybJfcutXOpk9qUckqCCs/u1IZZcBz6JdSVi
iWqY3EEPr6fWwLkhHR9KOVzUESwzNZBp/IOiRapnEfdqDyFEgUoaDFdCWUttVy7J8i+xZrjJKGnB
kRiJ6zWNJbh66JCk53WA9ijQDG+JYJIQO9NmAWcSeSRJKOZAYlMSX3yk3EspKs4rrYjXUQfnokud
JfKbJSUFC0QtpEe1uyc1JxGtkdIzOIaSXzRd4h3Ylg8ySaI4om2xz8eUT4fW3su2CLJxO+iuIclh
qx7KV4qbVUs6Z3BsR/vsx5pYp6rnzGoJjH/a1ljUA8iSlWCeqQUKQYh19P/DzRnkdNMYIBFqC+q2
mbDfZMYuh/C6MO3wWhBnE/gAtZPSz8BWi4XbEvUo2srRnS9Y0rXzXIGFTHIAuBzOw5OUdWk6ZOBt
Okxre+JqLkYxJVTR9GTpNc2wzkLJvkEUAP9otzBQQX3Gxg2ChWhWqc5DYUg73UWQ2DgI+jj4ffXp
55lINodrLaKUlsOhxVnPPJVzWK4sEHeeEt/KKh7CroF3TWwMs6DB6rgryBK0JX0NIcv+skio01Sx
uQLwNLcT8clx3S92IdppJvpsmhiWC4Ya3kRq+6wKRKseSt0I2OU8Ec4MlV1Dpwz+bgNxe1mCPjT7
4FPlAcpqw+ImKOr7oauYit9bn9NCTtlJ9dsMyBzWgFT3LOCWll/PB/mPofBJ4fvw44BjswxZqOns
xscs1ZiZbhxuCOChD9/b2ZjioCI9a7VwGhQwC6XU5ZiOz3sgL6kIs+NB2ljkSo99Se8vaCO703EW
BQkQ4duCl5vPyQpsModmO0Mh4Me06oNSux6gGfcysgtDs9RT0BLz3tAAgKiimJJ3bme9AwzREOP0
lr7rQT+6wo9euL2mL0lOk/JQNrnmiCXFV9b4Pn+gRYzHwyofZAcaTld1LQRW0Nf4Cy5ChSRQSzxu
I9eZDg2JDNla5O1wR/f2tY3PpC3J1WovGMyzJp9nWt9dNfImGA+SJL8QJ472Qw5ZbQpxXUELmBLc
doTwmxb6Er1z0LmkELONgDOpQZ8+nTXBjGUVUoeBCwe8E2YQzrqmW1V3ge/plwbQobqx3Wu1dFa2
3oYfRyteTsFOYZy1EWuCI2XBUgXEumhlDvExlAG0Y6Q0TPw463hNoyV2zvkysfW7xLK2RpTiVtqb
KzSC5mWGjYZNnn4x+EWwkCMCi1glfII9dQnoZRPXoruNKRnCXa0+DniDbzwtsc602uN8pc1aYTvY
ZWv2MjM5KGVxGZByEsTBsErrGM3e4OfztDQo5/cQbqgbMP9q5S5y2m5e4maVhNmp1GjurT74OwDM
pHLSITmP0+5Cr6122asin8tZfJ8MDSFGUJYrIVlbWrawtcuE/EnF9hgBnZioSViusM+Y1qGFtbno
rhIOXKcACTeaZn9Ox2KHo7pfRZd+RoSmTCiuuStOpfdqyqdJG6xArTimZDQMJQIUM5mjZhOUZpUr
2c1kUOhxN+MEWK38TFqguoy80F8kNuJs/Fqn2K/aOJMCKXL8VKYUTJWo4Y0+6m7ykJr1vZbLIapY
5VxPDesMAP8qpJtkDUcvm6YimkZeKpbQ1bDz1NmhqSFZs9KD0IPbqbtK+N/x9rGiKfwsmNWyVZKz
qpUlfTHfqEejOgnya4u1eCmAAEx7I8+mclnQf5hUAVqZHmUVxgkhMuV5QfbS1zMqXJ127Srx0hBE
onEe0rxQoGVhdavxXpn0DgxdSosqAhEAz4hnlrUPGbFAFe+40LLxo4AQ0znTMo/PE5DrSxAup/Tq
uPNGMuNJmtSUJamHY2mqoipk03W8HlaQr35xGv5yHs0REeYL9BmEa5mVc2r5FEVJ6IZ6Fa2HhtkO
RlbrCrKQnKHJCMJUKVco/yHIzWm5lyPqmUGXe5+yGvWUzFEkpXIzhX+314aRLzCbnq3GEKjxXGWh
ItacYg3qU2w3sg3e1JvQrNYw3P8ozDhZNmNtUJNbUL5O8L336fPPWvGt00OoataAJUxPhJ677qwq
+2Xu5tFZgTnmxOpgWZs+KBBJCqVbJ19aoT6S/qgYavSOGKDapsnOhA3tdpl2lgIwm9GioqF+oP/T
0NVVli7wdpEugcvOFIEMKKZ7Zqp5xUqqTeiwEqQ8r7XnPZW1qizzqWdkzFAPFQJpUJCYCE+dDoYK
rTnJHIeLlUiteh2EBFQSYZGrUhKX6FOakhsnQDA98I0xwSfQ2LlahPapRcL4iiaqjzJdaZPUVy+i
VpMWVsUJLlBzZ6ngXGv8oXbAHMnPxGca9XWpC74QZVvsrra8cAr9e24lGNxatAwq/ir2Y5cKiD9u
GyAKM7tFuCoumqhaaoSll3qJBaiklDgmFcU0MvBM8OrsrDHg74G0WIi032hNGl3kg0L8OSgmmQNY
fhW95JOi7xD9NV3OoQSU1SD3CtSD/M6E1TC1pOguA4iw8JyWfLlcbobSwwidvoyZ3ujDRc3I0U9T
nWomb52VTTEZbGvAs96lqObXa/piVq5arYSNQbmRS8qUhERB6YHYNShg0ZkaymHbpe1qtEPE4YIK
Sl+400CJ03kfmADfdZCh7DjW3KrzM7oW4KJqw5VkJOVcEIWBVMxobDAr2LalFl8UmdIvGxSzkwKD
k1kVVISgwnJOw+ZTgGBDVi9xwoAs5sjlwuzoIPEac1LXuVioGmn3vqOSkzXUTKy4uXFpFbyNbXUT
FoxbriC5dGT8Sbt6XkqIShm+qezqwyQbChCZ9qbt7Dt9CL4ptbfiXFiz9QYvv+x/1hy+sP+ZhLyX
HUFgFyKH0lzLKEaPwpS9XiQwdWDFP6Qj+1cAegfTsjTaaV0kxTKlRdMZBex7Kfsj02L/7x8/NFFa
P+nb99/uf7N0mGdeRZE9Nk3i75bVYuKERU/1nqvFybBxUrbJcO/GtH9nb387+2/lOEGlJmMCPCr/
f3zJmx67nx//hiFYz32E9lKAWjvn450OunxTQP9eAPPWl5JaLvev/fgFOXcM6HKZBWUNssX+bhUX
POFk/+3+i6eiDDfrBkiQH3CsN5709/E47C2PfxSHPZ7T6Hwoq95iWBAv9qofO6R3D/Pqxf61/Y9a
bC4WpavdgtGOWUFdNPkhZoY+GdaKJPwwGl/1QAZG2EQOj8AY9If9/76X8mSaVSyV5GOpCbInHYdj
yablYd9D+f+fO/T0CWbbaktM7Ve0vO/I3+www6vKZ2HL+OqeY/Yx/We/9PsLfdjt3/lj/1s1kAo/
ns7FAzXQ/qb2d/y7a0RbPlj9gNRIM04E6h366CjhWbJm0MYcpYn79DKl6hMF9xGTZmzKGKY8Yot4
wxeD9FfD8PtP+Diev/+dg09wn9a0fPB3cP30QN2kjrKUvzMGr67wYwyEjYBJtxV4TTZ92vooJTkY
A+vEpvnYUl+M0f/JGPylLkwHuPz3BuHVJV4MgnmCzkeRZRKBDClT63AQFMU+MdBHqAgkcGpCjPR/
NBFefYLHJ2X98J//oSiIB44cBdViKqiILzR0boDk9FePg4XWzVSBGwuTHgcFmc+7GwXiYNqV/84D
8WokD+aCrtIOKihsmeaji/PLB8LST1QYqEgbNDQADNLjE/i/vyi8+gQv5gKyhGMHQTuB1EaTPzBK
0I4sfa8fCOXEMFgwIbLYpkbt6b1NBVXII57xuKlgnyAh0FCyybahsEb+tCwYJ3h9awpgO1Rcyig3
eF9royL2OtajRoG1j/qxzoJgKjoizHEXfPlAKLp+wquMAy2Ij0P+rh6GUSRy1AAI7YQdENahRiSK
4fqoZno5ADbrIvJURtoY1WSoZd/bNBDc+tHrojhBEAL1EX3NuPiPArWXo2DJjNLIrhVAi97pVLBG
ZeNRc0HTTwRKQSzLFfRtLIGvHgbDPuEJsdFr7VdFdDTvbS6oin70wVlYJwKVEDOegyEysNdzYXwi
TGQzKvMFqvFeZv++FsbxiXg8xD1Ko/6Maf6d8EHjuTeU8fiMApvheHVe4jx5wjYEDsziNXT07297
kI9+IAxxopiEYmwAtKBz8nh9UtDFiYkElKzkOETvcIfgUH/00ZktgsdAMAqI3m1OoWwBLxdH+n9O
FJnlZxRxPo3S+3ogwPuP6O7jFkc2SgSDzAdbhXSEUPVwFDg6m0InfHiCAKvvbnEUOl2yx46CeaIp
ispcJ0AYl0fisoO5oMonqCtZDszHhwJ58TubCxrL1rGjIDMKLH4KDVKq+hghvBwFgknw/2jvTZYE
tJzv7+xMBHh8HKWcaIaKmJZDgaqZMn/ql4NgE2AIAhUCLDaJ9xhLcndPT+k/3yeFfmJxWALw/SN7
8nIUrDENJ2RCd8JJwov3uCzA4znygRAmUZJqskFQxeLzjifDl6NgWiecpmTOCUhpOEKOaKL3tSwI
pvKxWwTpRkCrpuCD0oIygi4OR0FRSCyYHBwxVqcm9B5HwQA5dORcgBpFQEneWWc2kKd4nXQlocAW
QZzBCgoQxB4PVe9rLph7NtVRpwWCCPLKGAaYHB1/NRVk8grwHBScJVhA99St9zUII//iMfH1zxfH
kS022r4obIL75/71AyGTetZ03O05X3N+fH+LIymRkZxz1FxgFDRWF0p1trI/Hv80ChwnDKSDNsAe
hYP2u0vAU1Y2jj45kmIhkaSoFCMsqgyvtwhaEVkWLB0SGy4bZFn+jZPj30jJ/Vngm3p+9DAfq3D+
rvxVBfCvfuG5pPXz60/lrLFUMdasDn5xrPQ9vvdjDnv8978Ostv7ktuLF59LcPv3efrfnz7gz299
8F7Pn+r5hyt/V2yLe6/fv9A/3ebFNqY8+F/R9ts23r6kCRLSsxT/uJOfcIV/PgX/w4XL8NV1x0D8
6OsW/pAmhxfe1wKOv3D4sy+MPSZWj73yFLXX97RI/IO7fizpHX3tNEqL7UP6fJfj5Hvct46/cpLs
7iv/vq4OLm7arEvHXny2i7btttg9X2m8bQzB3mCwZ35ZFf599SH9/mGaAqr5djjsNseN53f9Zfn9
b83uBaPuPxz8PZ+qk8eOzHKXFu7hLbMQjg5Ax155xYj7/vN19gXVx8rJsRdeP2y9gwmoaKbyBksI
rBA/Sf3y4JaJoN5g/q2xat2+WkU0crnPb/XPZ8Y6bQ+nBV0XbGHHjvFfe1b9dSPJ35rJG+6svg/7
51vcz4vHEvOx93yG3qP8aZhxg3iDuXG+9ZOD1YMmlrfYXs63+Oduk4eXw6EStr/Bn/B8W5bbe68u
d1V1MKfHMvtbDIl/D+hze9g785jxPPYvee6zF5RpdTCzn7qTjr92Wfr8l2UHaxMlHPkNHsdzLp3W
xetLj9Who288TapXa8hTsHTslS9234rtq9MTfUtj7eX4Szfbw33rqYng+Au3H1bbOCs9/3Bb5/r2
Gzw9F7v2w+muKHcHKxXpNuWNLn6+6/z7g23sqWjyFiPzBcXs8x9vXGG59BhJHX3pkd39YbotUnbK
w4eTot2bvcFsG75+9h/j4WPv/xLl0vMo7IflMSl/9GXDiBPJYVRDjcJ+g0X2sti5r9sT90Hxsfd8
tUuSso+a7aswAcq0+gb3feOlD7sP6/KnvY2unjc4W97S8/7rifjUlnHs8Dy+wc8T8anGfezlPzL6
u7LcHRwpnuoCx18bqOTLWf5UdDn2unfV1ju47GPq+tjLftoVMTvbwZXZit9gw/zkE9m8mt4CP+U3
mH+ft+w7Ce7sB6efp0rnsSPyeVdWH35583RIvkEw8ltPhyOP9597zJsS9+Cv+Zjc//2o/CrT9GdX
+M/5p+du71/9b4fJtfE37qPdtvjXfwMAAP//</cx:binary>
              </cx:geoCache>
            </cx:geography>
          </cx:layoutPr>
        </cx:series>
      </cx:plotAreaRegion>
    </cx:plotArea>
    <cx:legend pos="r" align="min" overlay="0"/>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0</xdr:row>
          <xdr:rowOff>228600</xdr:rowOff>
        </xdr:from>
        <xdr:to>
          <xdr:col>10</xdr:col>
          <xdr:colOff>180975</xdr:colOff>
          <xdr:row>0</xdr:row>
          <xdr:rowOff>866775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485775</xdr:colOff>
          <xdr:row>0</xdr:row>
          <xdr:rowOff>209550</xdr:rowOff>
        </xdr:from>
        <xdr:to>
          <xdr:col>13</xdr:col>
          <xdr:colOff>790575</xdr:colOff>
          <xdr:row>0</xdr:row>
          <xdr:rowOff>847725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Allocate Funds</a:t>
              </a:r>
            </a:p>
          </xdr:txBody>
        </xdr:sp>
        <xdr:clientData fPrintsWithSheet="0"/>
      </xdr:twoCellAnchor>
    </mc:Choice>
    <mc:Fallback/>
  </mc:AlternateContent>
  <xdr:twoCellAnchor>
    <xdr:from>
      <xdr:col>3</xdr:col>
      <xdr:colOff>361949</xdr:colOff>
      <xdr:row>0</xdr:row>
      <xdr:rowOff>152401</xdr:rowOff>
    </xdr:from>
    <xdr:to>
      <xdr:col>7</xdr:col>
      <xdr:colOff>466726</xdr:colOff>
      <xdr:row>0</xdr:row>
      <xdr:rowOff>923925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276599" y="152401"/>
          <a:ext cx="3181352" cy="771524"/>
        </a:xfrm>
        <a:prstGeom prst="rect">
          <a:avLst/>
        </a:prstGeom>
        <a:solidFill>
          <a:schemeClr val="bg1">
            <a:lumMod val="95000"/>
          </a:schemeClr>
        </a:solidFill>
        <a:ln w="571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 Click button to the right</a:t>
          </a:r>
          <a:r>
            <a:rPr lang="en-US" sz="1050" baseline="0"/>
            <a:t> to complete survey to generate weights for Park Attributes. Resulting weights are displayed below with their respective Attributes. </a:t>
          </a:r>
        </a:p>
        <a:p>
          <a:r>
            <a:rPr lang="en-US" sz="1050" baseline="0"/>
            <a:t>• No limit to amount of times survey can be taken.   </a:t>
          </a:r>
          <a:endParaRPr lang="en-US" sz="1050"/>
        </a:p>
      </xdr:txBody>
    </xdr:sp>
    <xdr:clientData/>
  </xdr:twoCellAnchor>
  <xdr:twoCellAnchor>
    <xdr:from>
      <xdr:col>11</xdr:col>
      <xdr:colOff>257175</xdr:colOff>
      <xdr:row>0</xdr:row>
      <xdr:rowOff>152401</xdr:rowOff>
    </xdr:from>
    <xdr:to>
      <xdr:col>12</xdr:col>
      <xdr:colOff>209550</xdr:colOff>
      <xdr:row>2</xdr:row>
      <xdr:rowOff>76200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8858250" y="152401"/>
          <a:ext cx="1362075" cy="1133474"/>
        </a:xfrm>
        <a:prstGeom prst="rect">
          <a:avLst/>
        </a:prstGeom>
        <a:solidFill>
          <a:schemeClr val="bg1">
            <a:lumMod val="95000"/>
          </a:schemeClr>
        </a:solidFill>
        <a:ln w="571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 Click button to the right </a:t>
          </a:r>
          <a:r>
            <a:rPr lang="en-US" sz="1050" baseline="0"/>
            <a:t>to input total funding available for allocation to Parks and then complete allocation.</a:t>
          </a:r>
          <a:endParaRPr lang="en-US" sz="1050"/>
        </a:p>
      </xdr:txBody>
    </xdr:sp>
    <xdr:clientData/>
  </xdr:twoCellAnchor>
  <mc:AlternateContent xmlns:mc="http://schemas.openxmlformats.org/markup-compatibility/2006">
    <mc:Choice xmlns:a14="http://schemas.microsoft.com/office/drawing/2010/main" Requires="a14">
      <xdr:twoCellAnchor>
        <xdr:from>
          <xdr:col>13</xdr:col>
          <xdr:colOff>76200</xdr:colOff>
          <xdr:row>1</xdr:row>
          <xdr:rowOff>38100</xdr:rowOff>
        </xdr:from>
        <xdr:to>
          <xdr:col>13</xdr:col>
          <xdr:colOff>781050</xdr:colOff>
          <xdr:row>3</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Help</a:t>
              </a:r>
            </a:p>
          </xdr:txBody>
        </xdr:sp>
        <xdr:clientData fPrintsWithSheet="0"/>
      </xdr:twoCellAnchor>
    </mc:Choice>
    <mc:Fallback/>
  </mc:AlternateContent>
  <xdr:twoCellAnchor editAs="oneCell">
    <xdr:from>
      <xdr:col>1</xdr:col>
      <xdr:colOff>1084791</xdr:colOff>
      <xdr:row>0</xdr:row>
      <xdr:rowOff>378345</xdr:rowOff>
    </xdr:from>
    <xdr:to>
      <xdr:col>2</xdr:col>
      <xdr:colOff>643466</xdr:colOff>
      <xdr:row>3</xdr:row>
      <xdr:rowOff>91636</xdr:rowOff>
    </xdr:to>
    <xdr:pic>
      <xdr:nvPicPr>
        <xdr:cNvPr id="7" name="Picture 6" descr="Related image">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10291" y="378345"/>
          <a:ext cx="871008" cy="1120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238124</xdr:colOff>
      <xdr:row>1</xdr:row>
      <xdr:rowOff>33544</xdr:rowOff>
    </xdr:from>
    <xdr:to>
      <xdr:col>28</xdr:col>
      <xdr:colOff>595427</xdr:colOff>
      <xdr:row>18</xdr:row>
      <xdr:rowOff>105172</xdr:rowOff>
    </xdr:to>
    <xdr:graphicFrame macro="">
      <xdr:nvGraphicFramePr>
        <xdr:cNvPr id="2" name="CDM Chart">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238124</xdr:colOff>
      <xdr:row>18</xdr:row>
      <xdr:rowOff>123824</xdr:rowOff>
    </xdr:from>
    <xdr:to>
      <xdr:col>28</xdr:col>
      <xdr:colOff>589405</xdr:colOff>
      <xdr:row>36</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xdr:colOff>
      <xdr:row>1</xdr:row>
      <xdr:rowOff>28576</xdr:rowOff>
    </xdr:from>
    <xdr:to>
      <xdr:col>10</xdr:col>
      <xdr:colOff>171450</xdr:colOff>
      <xdr:row>13</xdr:row>
      <xdr:rowOff>95250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047876" y="276226"/>
              <a:ext cx="3990974" cy="23526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1673</xdr:colOff>
      <xdr:row>14</xdr:row>
      <xdr:rowOff>120013</xdr:rowOff>
    </xdr:from>
    <xdr:to>
      <xdr:col>10</xdr:col>
      <xdr:colOff>173123</xdr:colOff>
      <xdr:row>24</xdr:row>
      <xdr:rowOff>72388</xdr:rowOff>
    </xdr:to>
    <mc:AlternateContent xmlns:mc="http://schemas.openxmlformats.org/markup-compatibility/2006" xmlns:a14="http://schemas.microsoft.com/office/drawing/2010/main">
      <mc:Choice Requires="a14">
        <xdr:graphicFrame macro="">
          <xdr:nvGraphicFramePr>
            <xdr:cNvPr id="5" name="State">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211723" y="2853688"/>
              <a:ext cx="1828800" cy="2057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9523</xdr:colOff>
      <xdr:row>25</xdr:row>
      <xdr:rowOff>21431</xdr:rowOff>
    </xdr:from>
    <xdr:to>
      <xdr:col>10</xdr:col>
      <xdr:colOff>180973</xdr:colOff>
      <xdr:row>36</xdr:row>
      <xdr:rowOff>9525</xdr:rowOff>
    </xdr:to>
    <mc:AlternateContent xmlns:mc="http://schemas.openxmlformats.org/markup-compatibility/2006" xmlns:a14="http://schemas.microsoft.com/office/drawing/2010/main">
      <mc:Choice Requires="a14">
        <xdr:graphicFrame macro="">
          <xdr:nvGraphicFramePr>
            <xdr:cNvPr id="7" name="Park Names">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Park Names"/>
            </a:graphicData>
          </a:graphic>
        </xdr:graphicFrame>
      </mc:Choice>
      <mc:Fallback xmlns="">
        <xdr:sp macro="" textlink="">
          <xdr:nvSpPr>
            <xdr:cNvPr id="0" name=""/>
            <xdr:cNvSpPr>
              <a:spLocks noTextEdit="1"/>
            </xdr:cNvSpPr>
          </xdr:nvSpPr>
          <xdr:spPr>
            <a:xfrm>
              <a:off x="4219573" y="5050631"/>
              <a:ext cx="1828800" cy="20835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371475</xdr:colOff>
          <xdr:row>10</xdr:row>
          <xdr:rowOff>38100</xdr:rowOff>
        </xdr:from>
        <xdr:to>
          <xdr:col>2</xdr:col>
          <xdr:colOff>85725</xdr:colOff>
          <xdr:row>13</xdr:row>
          <xdr:rowOff>104775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8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Funding Report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xdr:row>
          <xdr:rowOff>142875</xdr:rowOff>
        </xdr:from>
        <xdr:to>
          <xdr:col>2</xdr:col>
          <xdr:colOff>95250</xdr:colOff>
          <xdr:row>9</xdr:row>
          <xdr:rowOff>28575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8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Input Screen</a:t>
              </a:r>
            </a:p>
          </xdr:txBody>
        </xdr:sp>
        <xdr:clientData fPrintsWithSheet="0"/>
      </xdr:twoCellAnchor>
    </mc:Choice>
    <mc:Fallback/>
  </mc:AlternateContent>
  <xdr:twoCellAnchor editAs="oneCell">
    <xdr:from>
      <xdr:col>0</xdr:col>
      <xdr:colOff>666750</xdr:colOff>
      <xdr:row>1</xdr:row>
      <xdr:rowOff>50794</xdr:rowOff>
    </xdr:from>
    <xdr:to>
      <xdr:col>1</xdr:col>
      <xdr:colOff>647700</xdr:colOff>
      <xdr:row>6</xdr:row>
      <xdr:rowOff>16585</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4"/>
        <a:stretch>
          <a:fillRect/>
        </a:stretch>
      </xdr:blipFill>
      <xdr:spPr>
        <a:xfrm>
          <a:off x="666750" y="298444"/>
          <a:ext cx="704850" cy="9182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47625</xdr:colOff>
          <xdr:row>15</xdr:row>
          <xdr:rowOff>9525</xdr:rowOff>
        </xdr:from>
        <xdr:to>
          <xdr:col>5</xdr:col>
          <xdr:colOff>285750</xdr:colOff>
          <xdr:row>36</xdr:row>
          <xdr:rowOff>171450</xdr:rowOff>
        </xdr:to>
        <xdr:sp macro="" textlink="">
          <xdr:nvSpPr>
            <xdr:cNvPr id="3082" name="ScrollBar1" hidden="1">
              <a:extLst>
                <a:ext uri="{63B3BB69-23CF-44E3-9099-C40C66FF867C}">
                  <a14:compatExt spid="_x0000_s3082"/>
                </a:ext>
                <a:ext uri="{FF2B5EF4-FFF2-40B4-BE49-F238E27FC236}">
                  <a16:creationId xmlns:a16="http://schemas.microsoft.com/office/drawing/2014/main" id="{00000000-0008-0000-08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otiwala\Downloads\CR-%20Jimenez%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imenez Response"/>
      <sheetName val="Pivots"/>
      <sheetName val="AHP Weighting"/>
      <sheetName val="AHP Normalization"/>
    </sheetNames>
    <sheetDataSet>
      <sheetData sheetId="0" refreshError="1"/>
      <sheetData sheetId="1" refreshError="1"/>
      <sheetData sheetId="2">
        <row r="1">
          <cell r="A1" t="str">
            <v>Question #</v>
          </cell>
          <cell r="B1" t="str">
            <v>Level</v>
          </cell>
          <cell r="C1" t="str">
            <v>Subsection</v>
          </cell>
        </row>
      </sheetData>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nduser" refreshedDate="43552.079880555553" createdVersion="6" refreshedVersion="6" minRefreshableVersion="3" recordCount="101" xr:uid="{00000000-000A-0000-FFFF-FFFF98000000}">
  <cacheSource type="worksheet">
    <worksheetSource ref="A1:L1048576" sheet="Results"/>
  </cacheSource>
  <cacheFields count="12">
    <cacheField name="State" numFmtId="0">
      <sharedItems containsBlank="1" containsMixedTypes="1" containsNumber="1" containsInteger="1" minValue="0" maxValue="0" count="30">
        <s v="Maine"/>
        <s v="Utah"/>
        <s v="South Dakota"/>
        <s v="Texas"/>
        <s v="Florida"/>
        <s v="Colorado"/>
        <s v="New Mexico"/>
        <s v="California"/>
        <s v="South Carolina"/>
        <s v="Oregon"/>
        <s v="Ohio"/>
        <s v="Alaska"/>
        <s v="Montana"/>
        <s v="Nevada"/>
        <s v="Arizona"/>
        <s v="Tennessee"/>
        <s v="Wyoming"/>
        <s v="Hawaii"/>
        <s v="Arkansas"/>
        <s v="Michigan"/>
        <s v="Missouri"/>
        <s v="Kentucky"/>
        <s v="Washington"/>
        <s v="Samoa"/>
        <s v="Virginia"/>
        <s v="North Dakota"/>
        <s v="US. Virgin Islands"/>
        <s v="Minnesota"/>
        <n v="0"/>
        <m/>
      </sharedItems>
    </cacheField>
    <cacheField name="Park Names" numFmtId="0">
      <sharedItems containsBlank="1" containsMixedTypes="1" containsNumber="1" containsInteger="1" minValue="0" maxValue="0" count="62">
        <s v="Acadia"/>
        <s v="Arches"/>
        <s v="Badlands"/>
        <s v="Big Bend"/>
        <s v="Biscayne"/>
        <s v="Black Canyon"/>
        <s v="Bryce Canyon"/>
        <s v="Canyonlands"/>
        <s v="Capitol Reef"/>
        <s v="Carlsbad Caverns"/>
        <s v="Channel Islands"/>
        <s v="Congaree"/>
        <s v="Crater Lake"/>
        <s v="Cuyahoga"/>
        <s v="Denali"/>
        <s v="Death Valley"/>
        <s v="Dry Tortugas"/>
        <s v="Everglades"/>
        <s v="Gates of the Artic"/>
        <s v="Glacier"/>
        <s v="Glacier Bay"/>
        <s v="Great Basin"/>
        <s v="Grand Canyon"/>
        <s v="Great Sand Dunes"/>
        <s v="Great Smoky"/>
        <s v="Grand Teton"/>
        <s v="Guadalupe"/>
        <s v="Haleakala"/>
        <s v="Hawai'i"/>
        <s v="Hot Springs"/>
        <s v="Isle Royale"/>
        <s v="Gateway Arch"/>
        <s v="Joshua Tree"/>
        <s v="Katmai"/>
        <s v="Kenai Fjords"/>
        <s v="Kings Canyon"/>
        <s v="Kobuk Valley"/>
        <s v="Lake Clark"/>
        <s v="Lassen Volcanic"/>
        <s v="Mammoth Cave"/>
        <s v="Mesa Verde"/>
        <s v="Mount Rainier"/>
        <s v="North Cascades"/>
        <s v="American Samoa"/>
        <s v="Olympic"/>
        <s v="Petrified Forest"/>
        <s v="Pinnacles"/>
        <s v="Redwood"/>
        <s v="Rocky Mountain"/>
        <s v="Saguaro"/>
        <s v="Sequoia"/>
        <s v="Shenandoah"/>
        <s v="Theodore Roosevelt"/>
        <s v="Virgin Islands"/>
        <s v="Voyageurs"/>
        <s v="Wind Cave"/>
        <s v="Wrangell"/>
        <s v="Yellowstone"/>
        <s v="Yosemite"/>
        <s v="Zion"/>
        <n v="0"/>
        <m/>
      </sharedItems>
    </cacheField>
    <cacheField name="Park Alpha Code" numFmtId="0">
      <sharedItems containsBlank="1" containsMixedTypes="1" containsNumber="1" containsInteger="1" minValue="0" maxValue="0" count="62">
        <s v="ACAD"/>
        <s v="ARCH"/>
        <s v="BADL"/>
        <s v="BIBE"/>
        <s v="BISC"/>
        <s v="BLCA"/>
        <s v="BRCA"/>
        <s v="CANY"/>
        <s v="CARE"/>
        <s v="CAVE"/>
        <s v="CHIS"/>
        <s v="CONG"/>
        <s v="CRLA"/>
        <s v="CUVA"/>
        <s v="DENA"/>
        <s v="DEVA"/>
        <s v="DRTO"/>
        <s v="EVER"/>
        <s v="GAAR"/>
        <s v="GLAC"/>
        <s v="GLBA"/>
        <s v="GRBA"/>
        <s v="GRCA"/>
        <s v="GRSA"/>
        <s v="GRSM"/>
        <s v="GRTE"/>
        <s v="GUMO"/>
        <s v="HALE"/>
        <s v="HAVO"/>
        <s v="HOSP"/>
        <s v="ISRO"/>
        <s v="JEFF"/>
        <s v="JOTR"/>
        <s v="KATM"/>
        <s v="KEFJ"/>
        <s v="KICA"/>
        <s v="KOVA"/>
        <s v="LACL"/>
        <s v="LAVO"/>
        <s v="MACA"/>
        <s v="MEVE"/>
        <s v="MORA"/>
        <s v="NOCA"/>
        <s v="NPSA"/>
        <s v="OLYM"/>
        <s v="PEFO"/>
        <s v="PINN"/>
        <s v="REDW"/>
        <s v="ROMO"/>
        <s v="SAGU"/>
        <s v="SEQU"/>
        <s v="SHEN"/>
        <s v="THRO"/>
        <s v="VIIS"/>
        <s v="VOYA"/>
        <s v="WICA"/>
        <s v="WRST"/>
        <s v="YELL"/>
        <s v="YOSE"/>
        <s v="ZION"/>
        <n v="0"/>
        <m/>
      </sharedItems>
    </cacheField>
    <cacheField name="CDM Funded" numFmtId="0">
      <sharedItems containsString="0" containsBlank="1" containsNumber="1" containsInteger="1" minValue="0" maxValue="116126561"/>
    </cacheField>
    <cacheField name="Non-CDM  Funded" numFmtId="0">
      <sharedItems containsString="0" containsBlank="1" containsNumber="1" containsInteger="1" minValue="0" maxValue="2534141"/>
    </cacheField>
    <cacheField name="Total DM Funded" numFmtId="0">
      <sharedItems containsString="0" containsBlank="1" containsNumber="1" containsInteger="1" minValue="0" maxValue="116126561"/>
    </cacheField>
    <cacheField name="% CDM Met" numFmtId="0">
      <sharedItems containsString="0" containsBlank="1" containsNumber="1" minValue="0" maxValue="1"/>
    </cacheField>
    <cacheField name="% DM Met" numFmtId="0">
      <sharedItems containsString="0" containsBlank="1" containsNumber="1" minValue="0" maxValue="1"/>
    </cacheField>
    <cacheField name="Topsis Score*CMD" numFmtId="0">
      <sharedItems containsString="0" containsBlank="1" containsNumber="1" minValue="0" maxValue="44284870.555372447"/>
    </cacheField>
    <cacheField name="Topsis Score*DM" numFmtId="0">
      <sharedItems containsString="0" containsBlank="1" containsNumber="1" minValue="0" maxValue="44284870.555372447"/>
    </cacheField>
    <cacheField name="Total DM" numFmtId="0">
      <sharedItems containsString="0" containsBlank="1" containsNumber="1" minValue="0" maxValue="582670827"/>
    </cacheField>
    <cacheField name="Total CDM" numFmtId="0">
      <sharedItems containsString="0" containsBlank="1" containsNumber="1" containsInteger="1" minValue="0" maxValue="156388849"/>
    </cacheField>
  </cacheFields>
  <extLst>
    <ext xmlns:x14="http://schemas.microsoft.com/office/spreadsheetml/2009/9/main" uri="{725AE2AE-9491-48be-B2B4-4EB974FC3084}">
      <x14:pivotCacheDefinition pivotCacheId="1679252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x v="0"/>
    <x v="0"/>
    <n v="17448635"/>
    <n v="0"/>
    <n v="17448635"/>
    <n v="1"/>
    <n v="0.29149998565774699"/>
    <n v="3228469.4752356396"/>
    <n v="3228469.4752356396"/>
    <n v="59858099"/>
    <n v="17448635"/>
  </r>
  <r>
    <x v="1"/>
    <x v="1"/>
    <x v="1"/>
    <n v="2331452"/>
    <n v="0"/>
    <n v="2331452"/>
    <n v="1"/>
    <n v="9.0899978217086244E-2"/>
    <n v="394117.58467112563"/>
    <n v="394117.58467112563"/>
    <n v="25648543"/>
    <n v="2331452"/>
  </r>
  <r>
    <x v="2"/>
    <x v="2"/>
    <x v="2"/>
    <n v="2495014"/>
    <n v="0"/>
    <n v="2495014"/>
    <n v="1"/>
    <n v="9.4099979479153689E-2"/>
    <n v="254136.87690676551"/>
    <n v="254136.87690676551"/>
    <n v="26514501"/>
    <n v="2495014"/>
  </r>
  <r>
    <x v="3"/>
    <x v="3"/>
    <x v="3"/>
    <n v="0"/>
    <n v="0"/>
    <n v="0"/>
    <n v="0"/>
    <n v="0"/>
    <n v="0"/>
    <n v="0"/>
    <n v="100421335.00000001"/>
    <n v="11377737"/>
  </r>
  <r>
    <x v="4"/>
    <x v="4"/>
    <x v="4"/>
    <n v="2658387"/>
    <n v="0"/>
    <n v="2658387"/>
    <n v="1"/>
    <n v="0.21219994402823938"/>
    <n v="250168.49880841316"/>
    <n v="250168.49880841316"/>
    <n v="12527746"/>
    <n v="2658387"/>
  </r>
  <r>
    <x v="5"/>
    <x v="5"/>
    <x v="5"/>
    <n v="714037"/>
    <n v="0"/>
    <n v="714037"/>
    <n v="1"/>
    <n v="0.10969997076355366"/>
    <n v="82743.3019178791"/>
    <n v="82743.3019178791"/>
    <n v="6508999"/>
    <n v="714037"/>
  </r>
  <r>
    <x v="1"/>
    <x v="6"/>
    <x v="6"/>
    <n v="2468544"/>
    <n v="0"/>
    <n v="2468544"/>
    <n v="1"/>
    <n v="9.0999966933151544E-2"/>
    <n v="411863.46831435821"/>
    <n v="411863.46831435821"/>
    <n v="27126867"/>
    <n v="2468544"/>
  </r>
  <r>
    <x v="1"/>
    <x v="7"/>
    <x v="7"/>
    <n v="4229819"/>
    <n v="0"/>
    <n v="4229819"/>
    <n v="1"/>
    <n v="0.10399998092022728"/>
    <n v="539862.53231572709"/>
    <n v="539862.53231572709"/>
    <n v="40671344"/>
    <n v="4229819"/>
  </r>
  <r>
    <x v="1"/>
    <x v="8"/>
    <x v="8"/>
    <n v="1088538"/>
    <n v="0"/>
    <n v="1088538"/>
    <n v="1"/>
    <n v="0.12989998825749874"/>
    <n v="110173.10620842769"/>
    <n v="110173.10620842769"/>
    <n v="8379815.9999999991"/>
    <n v="1088538"/>
  </r>
  <r>
    <x v="6"/>
    <x v="9"/>
    <x v="9"/>
    <n v="0"/>
    <n v="0"/>
    <n v="0"/>
    <n v="0"/>
    <n v="0"/>
    <n v="0"/>
    <n v="0"/>
    <n v="46819348"/>
    <n v="18474914"/>
  </r>
  <r>
    <x v="7"/>
    <x v="10"/>
    <x v="10"/>
    <n v="6112271"/>
    <n v="0"/>
    <n v="6112271"/>
    <n v="1"/>
    <n v="0.4463999788495252"/>
    <n v="703689.33042285056"/>
    <n v="703689.33042285056"/>
    <n v="13692364"/>
    <n v="6112271"/>
  </r>
  <r>
    <x v="8"/>
    <x v="11"/>
    <x v="11"/>
    <n v="1269732"/>
    <n v="2534141"/>
    <n v="3803873"/>
    <n v="1"/>
    <n v="1"/>
    <n v="131664.14532675297"/>
    <n v="394440.47049023869"/>
    <n v="3803873"/>
    <n v="1269732"/>
  </r>
  <r>
    <x v="9"/>
    <x v="12"/>
    <x v="12"/>
    <n v="0"/>
    <n v="0"/>
    <n v="0"/>
    <n v="0"/>
    <n v="0"/>
    <n v="0"/>
    <n v="0"/>
    <n v="94080988"/>
    <n v="12465730"/>
  </r>
  <r>
    <x v="10"/>
    <x v="13"/>
    <x v="13"/>
    <n v="0"/>
    <n v="0"/>
    <n v="0"/>
    <n v="0"/>
    <n v="0"/>
    <n v="0"/>
    <n v="0"/>
    <n v="45813356"/>
    <n v="24959116"/>
  </r>
  <r>
    <x v="11"/>
    <x v="14"/>
    <x v="14"/>
    <n v="17848520"/>
    <n v="0"/>
    <n v="17848520"/>
    <n v="1"/>
    <n v="0.32609998214066305"/>
    <n v="5799237.8151175492"/>
    <n v="5799237.8151175492"/>
    <n v="54733275"/>
    <n v="17848520"/>
  </r>
  <r>
    <x v="7"/>
    <x v="15"/>
    <x v="15"/>
    <n v="0"/>
    <n v="0"/>
    <n v="0"/>
    <n v="0"/>
    <n v="0"/>
    <n v="0"/>
    <n v="0"/>
    <n v="139335915"/>
    <n v="12582033"/>
  </r>
  <r>
    <x v="4"/>
    <x v="16"/>
    <x v="16"/>
    <n v="30171870"/>
    <n v="0"/>
    <n v="30171870"/>
    <n v="1"/>
    <n v="0.50069999893958417"/>
    <n v="9223822.6404889245"/>
    <n v="9223822.6404889245"/>
    <n v="60259377"/>
    <n v="30171870"/>
  </r>
  <r>
    <x v="4"/>
    <x v="17"/>
    <x v="17"/>
    <n v="0"/>
    <n v="0"/>
    <n v="0"/>
    <n v="0"/>
    <n v="0"/>
    <n v="0"/>
    <n v="0"/>
    <n v="90906802.000000015"/>
    <n v="16781395"/>
  </r>
  <r>
    <x v="11"/>
    <x v="18"/>
    <x v="18"/>
    <n v="97459"/>
    <n v="846913"/>
    <n v="944372"/>
    <n v="1"/>
    <n v="1"/>
    <n v="7443.6985030346223"/>
    <n v="72129.002377490149"/>
    <n v="944372"/>
    <n v="97459"/>
  </r>
  <r>
    <x v="12"/>
    <x v="19"/>
    <x v="19"/>
    <n v="0"/>
    <n v="0"/>
    <n v="0"/>
    <n v="0"/>
    <n v="0"/>
    <n v="0"/>
    <n v="0"/>
    <n v="153838276"/>
    <n v="35198197"/>
  </r>
  <r>
    <x v="11"/>
    <x v="20"/>
    <x v="20"/>
    <n v="2907354"/>
    <n v="0"/>
    <n v="2907354"/>
    <n v="1"/>
    <n v="0.30789996068849357"/>
    <n v="379765.02998843085"/>
    <n v="379765.02998843085"/>
    <n v="9442528"/>
    <n v="2907354"/>
  </r>
  <r>
    <x v="13"/>
    <x v="21"/>
    <x v="21"/>
    <n v="1844543"/>
    <n v="0"/>
    <n v="1844543"/>
    <n v="1"/>
    <n v="0.10569998145064442"/>
    <n v="186859.68827094886"/>
    <n v="186859.68827094886"/>
    <n v="17450741"/>
    <n v="1844543"/>
  </r>
  <r>
    <x v="14"/>
    <x v="22"/>
    <x v="22"/>
    <n v="116126561"/>
    <n v="0"/>
    <n v="116126561"/>
    <n v="1"/>
    <n v="0.35249999837601753"/>
    <n v="44284870.555372447"/>
    <n v="44284870.555372447"/>
    <n v="329437054"/>
    <n v="116126561"/>
  </r>
  <r>
    <x v="5"/>
    <x v="23"/>
    <x v="23"/>
    <n v="2195832"/>
    <n v="0"/>
    <n v="2195832"/>
    <n v="1"/>
    <n v="0.21119995567924163"/>
    <n v="252497.20581474126"/>
    <n v="252497.20581474126"/>
    <n v="10396933.999999998"/>
    <n v="2195832"/>
  </r>
  <r>
    <x v="15"/>
    <x v="24"/>
    <x v="24"/>
    <n v="25617231"/>
    <n v="0"/>
    <n v="25617231"/>
    <n v="1"/>
    <n v="0.11889999931400003"/>
    <n v="12046831.142376583"/>
    <n v="12046831.142376583"/>
    <n v="215451902"/>
    <n v="25617231"/>
  </r>
  <r>
    <x v="16"/>
    <x v="25"/>
    <x v="25"/>
    <n v="39388030"/>
    <n v="0"/>
    <n v="39388030"/>
    <n v="1"/>
    <n v="0.22049999573141268"/>
    <n v="12700027.086809887"/>
    <n v="12700027.086809887"/>
    <n v="178630524.99999997"/>
    <n v="39388030"/>
  </r>
  <r>
    <x v="3"/>
    <x v="26"/>
    <x v="26"/>
    <n v="930266"/>
    <n v="0"/>
    <n v="930266"/>
    <n v="1"/>
    <n v="0.14509995620170174"/>
    <n v="71640.169223783334"/>
    <n v="71640.169223783334"/>
    <n v="6411208.0000000009"/>
    <n v="930266"/>
  </r>
  <r>
    <x v="17"/>
    <x v="27"/>
    <x v="27"/>
    <n v="6055857"/>
    <n v="0"/>
    <n v="6055857"/>
    <n v="1"/>
    <n v="0.28689999602992283"/>
    <n v="633267.52803090692"/>
    <n v="633267.52803090692"/>
    <n v="21107902"/>
    <n v="6055857"/>
  </r>
  <r>
    <x v="17"/>
    <x v="28"/>
    <x v="28"/>
    <n v="6646866"/>
    <n v="0"/>
    <n v="6646866"/>
    <n v="1"/>
    <n v="7.7699997243564203E-2"/>
    <n v="891739.44103177183"/>
    <n v="891739.44103177183"/>
    <n v="85545254"/>
    <n v="6646866"/>
  </r>
  <r>
    <x v="18"/>
    <x v="29"/>
    <x v="29"/>
    <n v="3875013"/>
    <n v="0"/>
    <n v="3875013"/>
    <n v="1"/>
    <n v="0.31349992488162481"/>
    <n v="506169.5116271291"/>
    <n v="506169.5116271291"/>
    <n v="12360491.000000002"/>
    <n v="3875013"/>
  </r>
  <r>
    <x v="19"/>
    <x v="30"/>
    <x v="30"/>
    <n v="8436895"/>
    <n v="0"/>
    <n v="8436895"/>
    <n v="1"/>
    <n v="0.4772999928604944"/>
    <n v="1088647.0907859586"/>
    <n v="1088647.0907859586"/>
    <n v="17676294"/>
    <n v="8436895"/>
  </r>
  <r>
    <x v="20"/>
    <x v="31"/>
    <x v="31"/>
    <n v="8805718"/>
    <n v="0"/>
    <n v="8805718"/>
    <n v="1"/>
    <n v="0.3601999595119989"/>
    <n v="4564368.2194750728"/>
    <n v="4564368.2194750728"/>
    <n v="24446749"/>
    <n v="8805718"/>
  </r>
  <r>
    <x v="7"/>
    <x v="32"/>
    <x v="32"/>
    <n v="4848082"/>
    <n v="0"/>
    <n v="4848082"/>
    <n v="1"/>
    <n v="0.10359999845286448"/>
    <n v="1153982.4255073636"/>
    <n v="1153982.4255073636"/>
    <n v="46796159"/>
    <n v="4848082"/>
  </r>
  <r>
    <x v="11"/>
    <x v="33"/>
    <x v="33"/>
    <n v="2693908"/>
    <n v="0"/>
    <n v="2693908"/>
    <n v="1"/>
    <n v="0.29479996253045493"/>
    <n v="282102.15278319747"/>
    <n v="282102.15278319747"/>
    <n v="9138088"/>
    <n v="2693908"/>
  </r>
  <r>
    <x v="11"/>
    <x v="34"/>
    <x v="34"/>
    <n v="395788"/>
    <n v="1360929"/>
    <n v="1756717"/>
    <n v="1"/>
    <n v="1"/>
    <n v="38731.228642177186"/>
    <n v="171909.7289119417"/>
    <n v="1756717"/>
    <n v="395788"/>
  </r>
  <r>
    <x v="7"/>
    <x v="35"/>
    <x v="35"/>
    <n v="20198975"/>
    <n v="0"/>
    <n v="20198975"/>
    <n v="1"/>
    <n v="0.22879999842323881"/>
    <n v="5554201.4916128917"/>
    <n v="5554201.4916128917"/>
    <n v="88282234"/>
    <n v="20198975"/>
  </r>
  <r>
    <x v="11"/>
    <x v="36"/>
    <x v="36"/>
    <n v="364681"/>
    <n v="2121219"/>
    <n v="2485900"/>
    <n v="1"/>
    <n v="1"/>
    <n v="57414.384894613373"/>
    <n v="391373.33562625799"/>
    <n v="2485900"/>
    <n v="364681"/>
  </r>
  <r>
    <x v="11"/>
    <x v="37"/>
    <x v="37"/>
    <n v="339533"/>
    <n v="1105290"/>
    <n v="1444823"/>
    <n v="1"/>
    <n v="1"/>
    <n v="30408.852567482609"/>
    <n v="129399.52697707713"/>
    <n v="1444823"/>
    <n v="339533"/>
  </r>
  <r>
    <x v="7"/>
    <x v="38"/>
    <x v="38"/>
    <n v="6824420"/>
    <n v="0"/>
    <n v="6824420"/>
    <n v="1"/>
    <n v="0.30399999999999999"/>
    <n v="700367.59223433235"/>
    <n v="700367.59223433235"/>
    <n v="22448750"/>
    <n v="6824420"/>
  </r>
  <r>
    <x v="21"/>
    <x v="39"/>
    <x v="39"/>
    <n v="9443241"/>
    <n v="0"/>
    <n v="9443241"/>
    <n v="1"/>
    <n v="0.12099999697603828"/>
    <n v="1002156.2875299295"/>
    <n v="1002156.2875299295"/>
    <n v="78043316"/>
    <n v="9443241"/>
  </r>
  <r>
    <x v="5"/>
    <x v="40"/>
    <x v="40"/>
    <n v="0"/>
    <n v="0"/>
    <n v="0"/>
    <n v="0"/>
    <n v="0"/>
    <n v="0"/>
    <n v="0"/>
    <n v="70749005"/>
    <n v="15564781"/>
  </r>
  <r>
    <x v="22"/>
    <x v="41"/>
    <x v="41"/>
    <n v="14874369"/>
    <n v="0"/>
    <n v="14874369"/>
    <n v="1"/>
    <n v="8.4599994966442243E-2"/>
    <n v="3793598.5030398811"/>
    <n v="3793598.5030398811"/>
    <n v="175819975"/>
    <n v="14874369"/>
  </r>
  <r>
    <x v="22"/>
    <x v="42"/>
    <x v="42"/>
    <n v="7063831"/>
    <n v="0"/>
    <n v="7063831"/>
    <n v="1"/>
    <n v="0.37519999371110674"/>
    <n v="783651.90721191454"/>
    <n v="783651.90721191454"/>
    <n v="18826842"/>
    <n v="7063831"/>
  </r>
  <r>
    <x v="23"/>
    <x v="43"/>
    <x v="43"/>
    <n v="279614"/>
    <n v="677314"/>
    <n v="956928"/>
    <n v="1"/>
    <n v="1"/>
    <n v="28376.721204752183"/>
    <n v="97114.161197297333"/>
    <n v="956928"/>
    <n v="279614"/>
  </r>
  <r>
    <x v="22"/>
    <x v="44"/>
    <x v="44"/>
    <n v="0"/>
    <n v="0"/>
    <n v="0"/>
    <n v="0"/>
    <n v="0"/>
    <n v="0"/>
    <n v="0"/>
    <n v="120719515"/>
    <n v="19206474"/>
  </r>
  <r>
    <x v="14"/>
    <x v="45"/>
    <x v="45"/>
    <n v="9115039"/>
    <n v="0"/>
    <n v="9115039"/>
    <n v="1"/>
    <n v="0.20719999512633144"/>
    <n v="979934.30848578829"/>
    <n v="979934.30848578829"/>
    <n v="43991502"/>
    <n v="9115039"/>
  </r>
  <r>
    <x v="7"/>
    <x v="46"/>
    <x v="46"/>
    <n v="2965185"/>
    <n v="0"/>
    <n v="2965185"/>
    <n v="1"/>
    <n v="0.31439989999207951"/>
    <n v="326666.98953494802"/>
    <n v="326666.98953494802"/>
    <n v="9431253"/>
    <n v="2965185"/>
  </r>
  <r>
    <x v="7"/>
    <x v="47"/>
    <x v="47"/>
    <n v="8816865"/>
    <n v="0"/>
    <n v="8816865"/>
    <n v="1"/>
    <n v="0.40139998183497277"/>
    <n v="908735.93666731613"/>
    <n v="908735.93666731613"/>
    <n v="21965285"/>
    <n v="8816865"/>
  </r>
  <r>
    <x v="5"/>
    <x v="48"/>
    <x v="48"/>
    <n v="29093054"/>
    <n v="0"/>
    <n v="29093054"/>
    <n v="0.92126631339437604"/>
    <n v="0.34538273596445246"/>
    <n v="6678574.9101235578"/>
    <n v="6678574.9101235578"/>
    <n v="84234245"/>
    <n v="31579418"/>
  </r>
  <r>
    <x v="14"/>
    <x v="49"/>
    <x v="49"/>
    <n v="2526446"/>
    <n v="0"/>
    <n v="2526446"/>
    <n v="1"/>
    <n v="0.12649995653896332"/>
    <n v="304162.38736083481"/>
    <n v="304162.38736083481"/>
    <n v="19971912"/>
    <n v="2526446"/>
  </r>
  <r>
    <x v="7"/>
    <x v="50"/>
    <x v="50"/>
    <n v="0"/>
    <n v="0"/>
    <n v="0"/>
    <n v="0"/>
    <n v="0"/>
    <n v="0"/>
    <n v="0"/>
    <n v="88282233.999999985"/>
    <n v="20198975"/>
  </r>
  <r>
    <x v="24"/>
    <x v="51"/>
    <x v="51"/>
    <n v="0"/>
    <n v="0"/>
    <n v="0"/>
    <n v="0"/>
    <n v="0"/>
    <n v="0"/>
    <n v="0"/>
    <n v="79208621"/>
    <n v="13386256"/>
  </r>
  <r>
    <x v="25"/>
    <x v="52"/>
    <x v="52"/>
    <n v="4464760"/>
    <n v="0"/>
    <n v="4464760"/>
    <n v="1"/>
    <n v="9.0499990169125494E-2"/>
    <n v="501534.2203238408"/>
    <n v="501534.2203238408"/>
    <n v="49334370"/>
    <n v="4464760"/>
  </r>
  <r>
    <x v="26"/>
    <x v="53"/>
    <x v="53"/>
    <n v="8568662"/>
    <n v="0"/>
    <n v="8568662"/>
    <n v="1"/>
    <n v="0.3226999827401989"/>
    <n v="768070.45708488917"/>
    <n v="768070.45708488917"/>
    <n v="26553028.999999996"/>
    <n v="8568662"/>
  </r>
  <r>
    <x v="27"/>
    <x v="54"/>
    <x v="54"/>
    <n v="3515054"/>
    <n v="0"/>
    <n v="3515054"/>
    <n v="1"/>
    <n v="0.2362999876036847"/>
    <n v="341419.05375425721"/>
    <n v="341419.05375425721"/>
    <n v="14875388"/>
    <n v="3515054"/>
  </r>
  <r>
    <x v="2"/>
    <x v="55"/>
    <x v="55"/>
    <n v="1579116"/>
    <n v="0"/>
    <n v="1579116"/>
    <n v="1"/>
    <n v="7.7299961392019612E-2"/>
    <n v="151644.15406607141"/>
    <n v="151644.15406607141"/>
    <n v="20428419"/>
    <n v="1579116"/>
  </r>
  <r>
    <x v="11"/>
    <x v="56"/>
    <x v="56"/>
    <n v="6580030"/>
    <n v="0"/>
    <n v="6580030"/>
    <n v="1"/>
    <n v="0.38619999833312613"/>
    <n v="796038.12040418596"/>
    <n v="796038.12040418596"/>
    <n v="17037882"/>
    <n v="6580030"/>
  </r>
  <r>
    <x v="16"/>
    <x v="57"/>
    <x v="57"/>
    <n v="93980346"/>
    <n v="0"/>
    <n v="93980346"/>
    <n v="1"/>
    <n v="0.18219999919466268"/>
    <n v="27491658.910676278"/>
    <n v="27491658.910676278"/>
    <n v="515808707"/>
    <n v="93980346"/>
  </r>
  <r>
    <x v="7"/>
    <x v="58"/>
    <x v="58"/>
    <n v="0"/>
    <n v="0"/>
    <n v="0"/>
    <n v="0"/>
    <n v="0"/>
    <n v="0"/>
    <n v="0"/>
    <n v="582670827"/>
    <n v="156388849"/>
  </r>
  <r>
    <x v="1"/>
    <x v="59"/>
    <x v="59"/>
    <n v="5954620"/>
    <n v="0"/>
    <n v="5954620"/>
    <n v="1"/>
    <n v="9.1199990173358905E-2"/>
    <n v="1167314.1034110421"/>
    <n v="1167314.1034110421"/>
    <n v="65291892.999999993"/>
    <n v="595462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8"/>
    <x v="60"/>
    <x v="60"/>
    <n v="0"/>
    <n v="0"/>
    <n v="0"/>
    <n v="0"/>
    <n v="0"/>
    <n v="0"/>
    <n v="0"/>
    <n v="0"/>
    <n v="0"/>
  </r>
  <r>
    <x v="29"/>
    <x v="61"/>
    <x v="61"/>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4:D67" firstHeaderRow="0" firstDataRow="1" firstDataCol="1" rowPageCount="1" colPageCount="1"/>
  <pivotFields count="12">
    <pivotField axis="axisPage" multipleItemSelectionAllowed="1" showAll="0">
      <items count="31">
        <item x="28"/>
        <item x="11"/>
        <item x="14"/>
        <item x="18"/>
        <item x="7"/>
        <item x="5"/>
        <item x="4"/>
        <item x="17"/>
        <item x="21"/>
        <item x="0"/>
        <item x="19"/>
        <item x="27"/>
        <item x="20"/>
        <item x="12"/>
        <item x="13"/>
        <item x="6"/>
        <item x="25"/>
        <item x="10"/>
        <item x="9"/>
        <item x="23"/>
        <item x="8"/>
        <item x="2"/>
        <item x="15"/>
        <item x="3"/>
        <item x="26"/>
        <item x="1"/>
        <item x="24"/>
        <item x="22"/>
        <item x="16"/>
        <item x="29"/>
        <item t="default"/>
      </items>
    </pivotField>
    <pivotField axis="axisRow" showAll="0" sortType="ascending" defaultSubtotal="0">
      <items count="62">
        <item x="60"/>
        <item x="0"/>
        <item x="43"/>
        <item x="1"/>
        <item x="2"/>
        <item x="3"/>
        <item x="4"/>
        <item x="5"/>
        <item x="6"/>
        <item x="7"/>
        <item x="8"/>
        <item x="9"/>
        <item x="10"/>
        <item x="11"/>
        <item x="12"/>
        <item x="13"/>
        <item x="15"/>
        <item x="14"/>
        <item x="16"/>
        <item x="17"/>
        <item x="18"/>
        <item x="31"/>
        <item x="19"/>
        <item x="20"/>
        <item x="22"/>
        <item x="25"/>
        <item x="21"/>
        <item x="23"/>
        <item x="24"/>
        <item x="26"/>
        <item x="27"/>
        <item x="28"/>
        <item x="29"/>
        <item x="30"/>
        <item x="32"/>
        <item x="33"/>
        <item x="34"/>
        <item x="35"/>
        <item x="36"/>
        <item x="37"/>
        <item x="38"/>
        <item x="39"/>
        <item x="40"/>
        <item x="41"/>
        <item x="42"/>
        <item x="44"/>
        <item x="45"/>
        <item x="46"/>
        <item x="47"/>
        <item x="48"/>
        <item x="49"/>
        <item x="50"/>
        <item x="51"/>
        <item x="52"/>
        <item x="53"/>
        <item x="54"/>
        <item x="55"/>
        <item x="56"/>
        <item x="57"/>
        <item x="58"/>
        <item x="59"/>
        <item x="61"/>
      </items>
    </pivotField>
    <pivotField showAll="0"/>
    <pivotField dataField="1" showAll="0"/>
    <pivotField showAll="0"/>
    <pivotField showAll="0"/>
    <pivotField dataField="1" showAll="0"/>
    <pivotField showAll="0"/>
    <pivotField multipleItemSelectionAllowed="1" showAll="0"/>
    <pivotField showAll="0"/>
    <pivotField showAll="0"/>
    <pivotField dataField="1" showAll="0"/>
  </pivotFields>
  <rowFields count="1">
    <field x="1"/>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1">
    <field x="-2"/>
  </colFields>
  <colItems count="3">
    <i>
      <x/>
    </i>
    <i i="1">
      <x v="1"/>
    </i>
    <i i="2">
      <x v="2"/>
    </i>
  </colItems>
  <pageFields count="1">
    <pageField fld="0" hier="-1"/>
  </pageFields>
  <dataFields count="3">
    <dataField name="Critical Deferred Maintenance Funded" fld="3" baseField="0" baseItem="0" numFmtId="167"/>
    <dataField name="%  Of Critical Deferred Maintenance Fullfilled" fld="6" baseField="0" baseItem="0"/>
    <dataField name="Critical Deferred Maintenance Needed" fld="11" baseField="1" baseItem="6" numFmtId="167"/>
  </dataFields>
  <chartFormats count="3">
    <chartFormat chart="3" format="13" series="1">
      <pivotArea type="data" outline="0" fieldPosition="0">
        <references count="1">
          <reference field="4294967294" count="1" selected="0">
            <x v="0"/>
          </reference>
        </references>
      </pivotArea>
    </chartFormat>
    <chartFormat chart="3" format="14" series="1">
      <pivotArea type="data" outline="0" fieldPosition="0">
        <references count="1">
          <reference field="4294967294" count="1" selected="0">
            <x v="1"/>
          </reference>
        </references>
      </pivotArea>
    </chartFormat>
    <chartFormat chart="3"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4:D67" firstHeaderRow="0" firstDataRow="1" firstDataCol="1" rowPageCount="1" colPageCount="1"/>
  <pivotFields count="12">
    <pivotField axis="axisPage" multipleItemSelectionAllowed="1" showAll="0">
      <items count="31">
        <item x="28"/>
        <item x="11"/>
        <item x="14"/>
        <item x="18"/>
        <item x="7"/>
        <item x="5"/>
        <item x="4"/>
        <item x="17"/>
        <item x="21"/>
        <item x="0"/>
        <item x="19"/>
        <item x="27"/>
        <item x="20"/>
        <item x="12"/>
        <item x="13"/>
        <item x="6"/>
        <item x="25"/>
        <item x="10"/>
        <item x="9"/>
        <item x="23"/>
        <item x="8"/>
        <item x="2"/>
        <item x="15"/>
        <item x="3"/>
        <item x="26"/>
        <item x="1"/>
        <item x="24"/>
        <item x="22"/>
        <item x="16"/>
        <item x="29"/>
        <item t="default"/>
      </items>
    </pivotField>
    <pivotField axis="axisRow" showAll="0" defaultSubtotal="0">
      <items count="62">
        <item x="0"/>
        <item x="43"/>
        <item x="1"/>
        <item x="2"/>
        <item x="3"/>
        <item x="4"/>
        <item x="5"/>
        <item x="6"/>
        <item x="7"/>
        <item x="8"/>
        <item x="9"/>
        <item x="10"/>
        <item x="11"/>
        <item x="12"/>
        <item x="13"/>
        <item x="15"/>
        <item x="14"/>
        <item x="16"/>
        <item x="17"/>
        <item x="18"/>
        <item x="31"/>
        <item x="19"/>
        <item x="20"/>
        <item x="22"/>
        <item x="25"/>
        <item x="21"/>
        <item x="23"/>
        <item x="24"/>
        <item x="26"/>
        <item x="27"/>
        <item x="28"/>
        <item x="29"/>
        <item x="30"/>
        <item x="32"/>
        <item x="33"/>
        <item x="34"/>
        <item x="35"/>
        <item x="36"/>
        <item x="37"/>
        <item x="38"/>
        <item x="39"/>
        <item x="40"/>
        <item x="41"/>
        <item x="42"/>
        <item x="44"/>
        <item x="45"/>
        <item x="46"/>
        <item x="47"/>
        <item x="48"/>
        <item x="49"/>
        <item x="50"/>
        <item x="51"/>
        <item x="52"/>
        <item x="53"/>
        <item x="54"/>
        <item x="55"/>
        <item x="56"/>
        <item x="57"/>
        <item x="58"/>
        <item x="59"/>
        <item x="61"/>
        <item x="60"/>
      </items>
    </pivotField>
    <pivotField showAll="0"/>
    <pivotField showAll="0"/>
    <pivotField showAll="0"/>
    <pivotField dataField="1" showAll="0"/>
    <pivotField showAll="0"/>
    <pivotField dataField="1" showAll="0"/>
    <pivotField multipleItemSelectionAllowed="1" showAll="0"/>
    <pivotField showAll="0"/>
    <pivotField dataField="1" showAll="0"/>
    <pivotField showAll="0"/>
  </pivotFields>
  <rowFields count="1">
    <field x="1"/>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1">
    <field x="-2"/>
  </colFields>
  <colItems count="3">
    <i>
      <x/>
    </i>
    <i i="1">
      <x v="1"/>
    </i>
    <i i="2">
      <x v="2"/>
    </i>
  </colItems>
  <pageFields count="1">
    <pageField fld="0" hier="-1"/>
  </pageFields>
  <dataFields count="3">
    <dataField name="Total Deferred Maintenance Funded" fld="5" baseField="0" baseItem="0" numFmtId="167"/>
    <dataField name="Total Deferred Maintenance Needed" fld="10" baseField="0" baseItem="0" numFmtId="167"/>
    <dataField name=" % of Deferred Maintenance  Met" fld="7" baseField="0" baseItem="0"/>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A3:B31" firstHeaderRow="1" firstDataRow="1" firstDataCol="1" rowPageCount="1" colPageCount="1"/>
  <pivotFields count="12">
    <pivotField axis="axisRow" showAll="0">
      <items count="31">
        <item x="28"/>
        <item x="11"/>
        <item x="14"/>
        <item x="18"/>
        <item x="7"/>
        <item x="5"/>
        <item x="4"/>
        <item x="17"/>
        <item x="21"/>
        <item x="0"/>
        <item x="19"/>
        <item x="27"/>
        <item x="20"/>
        <item x="12"/>
        <item x="13"/>
        <item x="6"/>
        <item x="25"/>
        <item x="10"/>
        <item x="9"/>
        <item x="23"/>
        <item x="8"/>
        <item x="2"/>
        <item x="15"/>
        <item x="3"/>
        <item x="26"/>
        <item x="1"/>
        <item x="24"/>
        <item x="22"/>
        <item x="16"/>
        <item x="29"/>
        <item t="default"/>
      </items>
    </pivotField>
    <pivotField showAll="0" defaultSubtotal="0">
      <items count="62">
        <item x="60"/>
        <item x="0"/>
        <item x="43"/>
        <item x="1"/>
        <item x="2"/>
        <item x="3"/>
        <item x="4"/>
        <item x="5"/>
        <item x="6"/>
        <item x="7"/>
        <item x="8"/>
        <item x="9"/>
        <item x="10"/>
        <item x="11"/>
        <item x="12"/>
        <item x="13"/>
        <item x="15"/>
        <item x="14"/>
        <item x="16"/>
        <item x="17"/>
        <item x="18"/>
        <item x="31"/>
        <item x="19"/>
        <item x="20"/>
        <item x="22"/>
        <item x="25"/>
        <item x="21"/>
        <item x="23"/>
        <item x="24"/>
        <item x="26"/>
        <item x="27"/>
        <item x="28"/>
        <item x="29"/>
        <item x="30"/>
        <item x="32"/>
        <item x="33"/>
        <item x="34"/>
        <item x="35"/>
        <item x="36"/>
        <item x="37"/>
        <item x="38"/>
        <item x="39"/>
        <item x="40"/>
        <item x="41"/>
        <item x="42"/>
        <item x="44"/>
        <item x="45"/>
        <item x="46"/>
        <item x="47"/>
        <item x="48"/>
        <item x="49"/>
        <item x="50"/>
        <item x="51"/>
        <item x="52"/>
        <item x="53"/>
        <item x="54"/>
        <item x="55"/>
        <item x="56"/>
        <item x="57"/>
        <item x="58"/>
        <item x="59"/>
        <item x="61"/>
      </items>
    </pivotField>
    <pivotField axis="axisPage" multipleItemSelectionAllowed="1" showAll="0">
      <items count="63">
        <item h="1" x="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h="1" x="61"/>
        <item t="default"/>
      </items>
    </pivotField>
    <pivotField showAll="0"/>
    <pivotField showAll="0"/>
    <pivotField dataField="1" showAll="0"/>
    <pivotField showAll="0"/>
    <pivotField showAll="0"/>
    <pivotField multipleItemSelectionAllowed="1" showAll="0"/>
    <pivotField showAll="0"/>
    <pivotField showAll="0"/>
    <pivotField showAll="0"/>
  </pivotFields>
  <rowFields count="1">
    <field x="0"/>
  </rowFields>
  <rowItems count="28">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pageFields count="1">
    <pageField fld="2" hier="-1"/>
  </pageFields>
  <dataFields count="1">
    <dataField name="Total Deferred Maintenance Funded" fld="5" baseField="0" baseItem="0" numFmtId="167"/>
  </dataFields>
  <chartFormats count="3">
    <chartFormat chart="4"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1000000}" sourceName="State">
  <pivotTables>
    <pivotTable tabId="7" name="PivotTable1"/>
    <pivotTable tabId="9" name="PivotTable1"/>
    <pivotTable tabId="10" name="PivotTable1"/>
  </pivotTables>
  <data>
    <tabular pivotCacheId="167925234" customListSort="0">
      <items count="30">
        <i x="28" s="1"/>
        <i x="11" s="1"/>
        <i x="14" s="1"/>
        <i x="18" s="1"/>
        <i x="7" s="1"/>
        <i x="5" s="1"/>
        <i x="4" s="1"/>
        <i x="17" s="1"/>
        <i x="21" s="1"/>
        <i x="0" s="1"/>
        <i x="19" s="1"/>
        <i x="27" s="1"/>
        <i x="20" s="1"/>
        <i x="12" s="1"/>
        <i x="13" s="1"/>
        <i x="6" s="1"/>
        <i x="25" s="1"/>
        <i x="10" s="1"/>
        <i x="9" s="1"/>
        <i x="23" s="1"/>
        <i x="8" s="1"/>
        <i x="2" s="1"/>
        <i x="15" s="1"/>
        <i x="3" s="1"/>
        <i x="26" s="1"/>
        <i x="1" s="1"/>
        <i x="24" s="1"/>
        <i x="22" s="1"/>
        <i x="16" s="1"/>
        <i x="2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k_Names" xr10:uid="{00000000-0013-0000-FFFF-FFFF02000000}" sourceName="Park Names">
  <pivotTables>
    <pivotTable tabId="7" name="PivotTable1"/>
    <pivotTable tabId="9" name="PivotTable1"/>
    <pivotTable tabId="10" name="PivotTable1"/>
  </pivotTables>
  <data>
    <tabular pivotCacheId="167925234">
      <items count="62">
        <i x="60" s="1"/>
        <i x="0" s="1"/>
        <i x="43" s="1"/>
        <i x="1" s="1"/>
        <i x="2" s="1"/>
        <i x="3" s="1"/>
        <i x="4" s="1"/>
        <i x="5" s="1"/>
        <i x="6" s="1"/>
        <i x="7" s="1"/>
        <i x="8" s="1"/>
        <i x="9" s="1"/>
        <i x="10" s="1"/>
        <i x="11" s="1"/>
        <i x="12" s="1"/>
        <i x="13" s="1"/>
        <i x="15" s="1"/>
        <i x="14" s="1"/>
        <i x="16" s="1"/>
        <i x="17" s="1"/>
        <i x="18" s="1"/>
        <i x="31" s="1"/>
        <i x="19" s="1"/>
        <i x="20" s="1"/>
        <i x="22" s="1"/>
        <i x="25" s="1"/>
        <i x="21" s="1"/>
        <i x="23" s="1"/>
        <i x="24" s="1"/>
        <i x="26" s="1"/>
        <i x="27" s="1"/>
        <i x="28" s="1"/>
        <i x="29" s="1"/>
        <i x="30" s="1"/>
        <i x="32" s="1"/>
        <i x="33" s="1"/>
        <i x="34" s="1"/>
        <i x="35" s="1"/>
        <i x="36" s="1"/>
        <i x="37" s="1"/>
        <i x="38" s="1"/>
        <i x="39" s="1"/>
        <i x="40" s="1"/>
        <i x="41" s="1"/>
        <i x="42" s="1"/>
        <i x="44" s="1"/>
        <i x="45" s="1"/>
        <i x="46" s="1"/>
        <i x="47" s="1"/>
        <i x="48" s="1"/>
        <i x="49" s="1"/>
        <i x="50" s="1"/>
        <i x="51" s="1"/>
        <i x="52" s="1"/>
        <i x="53" s="1"/>
        <i x="54" s="1"/>
        <i x="55" s="1"/>
        <i x="56" s="1"/>
        <i x="57" s="1"/>
        <i x="58" s="1"/>
        <i x="59"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00000000-0014-0000-FFFF-FFFF01000000}" cache="Slicer_State" caption="State" style="SlicerStyleLight4" rowHeight="234950"/>
  <slicer name="Park Names" xr10:uid="{00000000-0014-0000-FFFF-FFFF02000000}" cache="Slicer_Park_Names" caption="Park Names"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Q110"/>
  <sheetViews>
    <sheetView tabSelected="1" zoomScale="90" zoomScaleNormal="90" workbookViewId="0">
      <pane ySplit="6" topLeftCell="A7" activePane="bottomLeft" state="frozen"/>
      <selection pane="bottomLeft" activeCell="F18" sqref="F18"/>
    </sheetView>
  </sheetViews>
  <sheetFormatPr defaultColWidth="0" defaultRowHeight="15" zeroHeight="1" x14ac:dyDescent="0.25"/>
  <cols>
    <col min="1" max="1" width="12.42578125" style="133" customWidth="1"/>
    <col min="2" max="2" width="19.7109375" style="133" customWidth="1"/>
    <col min="3" max="3" width="12.140625" style="133" customWidth="1"/>
    <col min="4" max="4" width="11.28515625" style="133" customWidth="1"/>
    <col min="5" max="5" width="13" style="133" customWidth="1"/>
    <col min="6" max="6" width="11.85546875" style="133" customWidth="1"/>
    <col min="7" max="7" width="10" style="133" customWidth="1"/>
    <col min="8" max="8" width="11" style="133" bestFit="1" customWidth="1"/>
    <col min="9" max="9" width="9.85546875" style="133" customWidth="1"/>
    <col min="10" max="11" width="9.140625" style="133" customWidth="1"/>
    <col min="12" max="12" width="21.140625" style="133" customWidth="1"/>
    <col min="13" max="13" width="16" style="133" customWidth="1"/>
    <col min="14" max="14" width="14.85546875" customWidth="1"/>
    <col min="15" max="15" width="15.85546875" hidden="1" customWidth="1"/>
    <col min="16" max="23" width="9.140625" hidden="1" customWidth="1"/>
    <col min="24" max="1473" width="0" hidden="1" customWidth="1"/>
    <col min="1474" max="16384" width="9.140625" hidden="1"/>
  </cols>
  <sheetData>
    <row r="1" spans="1:16" ht="80.25" customHeight="1" thickBot="1" x14ac:dyDescent="0.3">
      <c r="A1" s="155" t="s">
        <v>247</v>
      </c>
      <c r="B1" s="155"/>
      <c r="C1" s="119"/>
      <c r="D1" s="119"/>
      <c r="E1" s="119"/>
      <c r="F1" s="119"/>
      <c r="G1" s="119"/>
      <c r="H1" s="119"/>
      <c r="I1" s="119"/>
      <c r="J1" s="119"/>
      <c r="K1" s="119"/>
      <c r="L1" s="119"/>
      <c r="M1" s="118"/>
      <c r="N1" s="118"/>
    </row>
    <row r="2" spans="1:16" ht="15" customHeight="1" x14ac:dyDescent="0.25">
      <c r="A2" s="119"/>
      <c r="B2" s="119"/>
      <c r="C2" s="118"/>
      <c r="D2" s="146" t="s">
        <v>248</v>
      </c>
      <c r="E2" s="147"/>
      <c r="F2" s="147"/>
      <c r="G2" s="147"/>
      <c r="H2" s="147"/>
      <c r="I2" s="147"/>
      <c r="J2" s="147"/>
      <c r="K2" s="148"/>
      <c r="L2" s="118"/>
      <c r="M2" s="118"/>
      <c r="N2" s="118"/>
      <c r="O2" s="110"/>
      <c r="P2" s="110"/>
    </row>
    <row r="3" spans="1:16" ht="15.75" thickBot="1" x14ac:dyDescent="0.3">
      <c r="A3" s="119"/>
      <c r="B3" s="119"/>
      <c r="C3" s="118"/>
      <c r="D3" s="111">
        <f>_xlfn.IFNA('Topsis LP Auto'!N6, 0)</f>
        <v>0</v>
      </c>
      <c r="E3" s="112">
        <f>_xlfn.IFNA('Topsis LP Auto'!O6, 0)</f>
        <v>0</v>
      </c>
      <c r="F3" s="112">
        <f>_xlfn.IFNA('Topsis LP Auto'!P6, 0)</f>
        <v>0</v>
      </c>
      <c r="G3" s="112">
        <f>_xlfn.IFNA('Topsis LP Auto'!Q6, 0)</f>
        <v>0</v>
      </c>
      <c r="H3" s="112">
        <f>_xlfn.IFNA('Topsis LP Auto'!R6, 0)</f>
        <v>0</v>
      </c>
      <c r="I3" s="112">
        <f>_xlfn.IFNA('Topsis LP Auto'!S6, 0)</f>
        <v>0</v>
      </c>
      <c r="J3" s="112">
        <f>_xlfn.IFNA('Topsis LP Auto'!T6, 0)</f>
        <v>0</v>
      </c>
      <c r="K3" s="113">
        <f>_xlfn.IFNA('Topsis LP Auto'!U6, 0)</f>
        <v>0</v>
      </c>
      <c r="L3" s="118"/>
      <c r="M3" s="118"/>
      <c r="N3" s="118"/>
      <c r="O3" s="110"/>
      <c r="P3" s="110"/>
    </row>
    <row r="4" spans="1:16" ht="15.75" thickBot="1" x14ac:dyDescent="0.3">
      <c r="A4" s="119"/>
      <c r="B4" s="119"/>
      <c r="C4" s="118"/>
      <c r="D4" s="118"/>
      <c r="E4" s="118"/>
      <c r="F4" s="118"/>
      <c r="G4" s="118"/>
      <c r="H4" s="118"/>
      <c r="I4" s="118"/>
      <c r="J4" s="118"/>
      <c r="K4" s="118"/>
      <c r="L4" s="118"/>
      <c r="M4" s="118"/>
      <c r="N4" s="118"/>
    </row>
    <row r="5" spans="1:16" x14ac:dyDescent="0.25">
      <c r="A5" s="152" t="s">
        <v>242</v>
      </c>
      <c r="B5" s="153"/>
      <c r="C5" s="154"/>
      <c r="D5" s="149" t="s">
        <v>249</v>
      </c>
      <c r="E5" s="150"/>
      <c r="F5" s="150"/>
      <c r="G5" s="150"/>
      <c r="H5" s="150"/>
      <c r="I5" s="150"/>
      <c r="J5" s="150"/>
      <c r="K5" s="151"/>
      <c r="L5" s="149" t="s">
        <v>250</v>
      </c>
      <c r="M5" s="151"/>
      <c r="N5" s="118"/>
    </row>
    <row r="6" spans="1:16" ht="45" x14ac:dyDescent="0.25">
      <c r="A6" s="108" t="s">
        <v>142</v>
      </c>
      <c r="B6" s="98" t="s">
        <v>243</v>
      </c>
      <c r="C6" s="109" t="s">
        <v>63</v>
      </c>
      <c r="D6" s="106" t="s">
        <v>67</v>
      </c>
      <c r="E6" s="95" t="s">
        <v>66</v>
      </c>
      <c r="F6" s="95" t="s">
        <v>65</v>
      </c>
      <c r="G6" s="96" t="s">
        <v>92</v>
      </c>
      <c r="H6" s="96" t="s">
        <v>64</v>
      </c>
      <c r="I6" s="97" t="s">
        <v>0</v>
      </c>
      <c r="J6" s="96" t="s">
        <v>1</v>
      </c>
      <c r="K6" s="107" t="s">
        <v>145</v>
      </c>
      <c r="L6" s="99" t="s">
        <v>97</v>
      </c>
      <c r="M6" s="100" t="s">
        <v>96</v>
      </c>
      <c r="N6" s="118"/>
    </row>
    <row r="7" spans="1:16" x14ac:dyDescent="0.25">
      <c r="A7" s="123" t="s">
        <v>146</v>
      </c>
      <c r="B7" s="124" t="s">
        <v>244</v>
      </c>
      <c r="C7" s="125" t="s">
        <v>3</v>
      </c>
      <c r="D7" s="123">
        <v>3509271</v>
      </c>
      <c r="E7" s="124">
        <v>5.0999999999999997E-2</v>
      </c>
      <c r="F7" s="124">
        <v>0.88849999999999996</v>
      </c>
      <c r="G7" s="124">
        <v>4163</v>
      </c>
      <c r="H7" s="124">
        <v>80730600</v>
      </c>
      <c r="I7" s="124">
        <v>0.14199999999999999</v>
      </c>
      <c r="J7" s="124">
        <v>0.29149999999999998</v>
      </c>
      <c r="K7" s="125">
        <v>1462293.259414226</v>
      </c>
      <c r="L7" s="126">
        <v>59858099</v>
      </c>
      <c r="M7" s="127">
        <v>17448635</v>
      </c>
      <c r="N7" s="118"/>
      <c r="O7" s="25"/>
      <c r="P7" s="25"/>
    </row>
    <row r="8" spans="1:16" x14ac:dyDescent="0.25">
      <c r="A8" s="123" t="s">
        <v>147</v>
      </c>
      <c r="B8" s="124" t="s">
        <v>148</v>
      </c>
      <c r="C8" s="125" t="s">
        <v>4</v>
      </c>
      <c r="D8" s="123">
        <v>1539028</v>
      </c>
      <c r="E8" s="124">
        <v>1.9800000000000002E-2</v>
      </c>
      <c r="F8" s="124">
        <v>0.72319999999999995</v>
      </c>
      <c r="G8" s="124">
        <v>2869</v>
      </c>
      <c r="H8" s="124">
        <v>241343900</v>
      </c>
      <c r="I8" s="124">
        <v>0.30399999999999999</v>
      </c>
      <c r="J8" s="124">
        <v>9.0899999999999995E-2</v>
      </c>
      <c r="K8" s="125">
        <v>537327.89808917197</v>
      </c>
      <c r="L8" s="126">
        <v>25648543</v>
      </c>
      <c r="M8" s="127">
        <v>2331452</v>
      </c>
      <c r="N8" s="118"/>
    </row>
    <row r="9" spans="1:16" x14ac:dyDescent="0.25">
      <c r="A9" s="123" t="s">
        <v>149</v>
      </c>
      <c r="B9" s="124" t="s">
        <v>150</v>
      </c>
      <c r="C9" s="125" t="s">
        <v>5</v>
      </c>
      <c r="D9" s="123">
        <v>1054325</v>
      </c>
      <c r="E9" s="124">
        <v>2.4199999999999999E-2</v>
      </c>
      <c r="F9" s="124">
        <v>0.74119999999999997</v>
      </c>
      <c r="G9" s="124">
        <v>952</v>
      </c>
      <c r="H9" s="124">
        <v>80730600</v>
      </c>
      <c r="I9" s="124">
        <v>0.14199999999999999</v>
      </c>
      <c r="J9" s="124">
        <v>9.4100000000000003E-2</v>
      </c>
      <c r="K9" s="125">
        <v>649981.32752613246</v>
      </c>
      <c r="L9" s="126">
        <v>26514501</v>
      </c>
      <c r="M9" s="127">
        <v>2495014</v>
      </c>
      <c r="N9" s="118"/>
    </row>
    <row r="10" spans="1:16" x14ac:dyDescent="0.25">
      <c r="A10" s="123" t="s">
        <v>151</v>
      </c>
      <c r="B10" s="128" t="s">
        <v>152</v>
      </c>
      <c r="C10" s="125" t="s">
        <v>6</v>
      </c>
      <c r="D10" s="123">
        <v>440275</v>
      </c>
      <c r="E10" s="124">
        <v>1E-4</v>
      </c>
      <c r="F10" s="124">
        <v>0.81120000000000003</v>
      </c>
      <c r="G10" s="124">
        <v>541</v>
      </c>
      <c r="H10" s="124">
        <v>40902000</v>
      </c>
      <c r="I10" s="124">
        <v>0.17100000000000001</v>
      </c>
      <c r="J10" s="124">
        <v>0.1133</v>
      </c>
      <c r="K10" s="125">
        <v>934662.89984101744</v>
      </c>
      <c r="L10" s="126">
        <v>100421335.00000001</v>
      </c>
      <c r="M10" s="127">
        <v>11377737</v>
      </c>
      <c r="N10" s="118"/>
    </row>
    <row r="11" spans="1:16" x14ac:dyDescent="0.25">
      <c r="A11" s="123" t="s">
        <v>153</v>
      </c>
      <c r="B11" s="128" t="s">
        <v>154</v>
      </c>
      <c r="C11" s="125" t="s">
        <v>7</v>
      </c>
      <c r="D11" s="123">
        <v>446961</v>
      </c>
      <c r="E11" s="124">
        <v>4.5199999999999997E-2</v>
      </c>
      <c r="F11" s="124">
        <v>0.64710000000000001</v>
      </c>
      <c r="G11" s="124">
        <v>364</v>
      </c>
      <c r="H11" s="124">
        <v>38537600</v>
      </c>
      <c r="I11" s="124">
        <v>9.8000000000000004E-2</v>
      </c>
      <c r="J11" s="124">
        <v>0.2122</v>
      </c>
      <c r="K11" s="125">
        <v>1335199.03125</v>
      </c>
      <c r="L11" s="126">
        <v>12527746</v>
      </c>
      <c r="M11" s="127">
        <v>2658387</v>
      </c>
      <c r="N11" s="118"/>
    </row>
    <row r="12" spans="1:16" x14ac:dyDescent="0.25">
      <c r="A12" s="123" t="s">
        <v>155</v>
      </c>
      <c r="B12" s="128" t="s">
        <v>156</v>
      </c>
      <c r="C12" s="125" t="s">
        <v>8</v>
      </c>
      <c r="D12" s="123">
        <v>307142</v>
      </c>
      <c r="E12" s="124">
        <v>0.10299999999999999</v>
      </c>
      <c r="F12" s="124">
        <v>0.79790000000000005</v>
      </c>
      <c r="G12" s="124">
        <v>236</v>
      </c>
      <c r="H12" s="124">
        <v>22906600</v>
      </c>
      <c r="I12" s="124">
        <v>0.12</v>
      </c>
      <c r="J12" s="124">
        <v>0.10970000000000001</v>
      </c>
      <c r="K12" s="125">
        <v>389444.40287769784</v>
      </c>
      <c r="L12" s="126">
        <v>6508999</v>
      </c>
      <c r="M12" s="127">
        <v>714037</v>
      </c>
      <c r="N12" s="118"/>
    </row>
    <row r="13" spans="1:16" x14ac:dyDescent="0.25">
      <c r="A13" s="123" t="s">
        <v>147</v>
      </c>
      <c r="B13" s="128" t="s">
        <v>157</v>
      </c>
      <c r="C13" s="125" t="s">
        <v>9</v>
      </c>
      <c r="D13" s="123">
        <v>2571684</v>
      </c>
      <c r="E13" s="124">
        <v>6.3E-2</v>
      </c>
      <c r="F13" s="124">
        <v>0.745</v>
      </c>
      <c r="G13" s="124">
        <v>3119</v>
      </c>
      <c r="H13" s="124">
        <v>256381000</v>
      </c>
      <c r="I13" s="124">
        <v>0.13</v>
      </c>
      <c r="J13" s="124">
        <v>9.0999999999999998E-2</v>
      </c>
      <c r="K13" s="125">
        <v>752522.42086330941</v>
      </c>
      <c r="L13" s="126">
        <v>27126867</v>
      </c>
      <c r="M13" s="127">
        <v>2468544</v>
      </c>
      <c r="N13" s="118"/>
    </row>
    <row r="14" spans="1:16" x14ac:dyDescent="0.25">
      <c r="A14" s="123" t="s">
        <v>147</v>
      </c>
      <c r="B14" s="124" t="s">
        <v>158</v>
      </c>
      <c r="C14" s="125" t="s">
        <v>10</v>
      </c>
      <c r="D14" s="123">
        <v>742272</v>
      </c>
      <c r="E14" s="124">
        <v>7.7899999999999997E-2</v>
      </c>
      <c r="F14" s="124">
        <v>0.73799999999999999</v>
      </c>
      <c r="G14" s="124">
        <v>640</v>
      </c>
      <c r="H14" s="124">
        <v>52753100</v>
      </c>
      <c r="I14" s="124">
        <v>0.23499999999999999</v>
      </c>
      <c r="J14" s="124">
        <v>0.104</v>
      </c>
      <c r="K14" s="125">
        <v>494757.38</v>
      </c>
      <c r="L14" s="126">
        <v>40671344</v>
      </c>
      <c r="M14" s="127">
        <v>4229819</v>
      </c>
      <c r="N14" s="118"/>
    </row>
    <row r="15" spans="1:16" x14ac:dyDescent="0.25">
      <c r="A15" s="123" t="s">
        <v>147</v>
      </c>
      <c r="B15" s="124" t="s">
        <v>159</v>
      </c>
      <c r="C15" s="125" t="s">
        <v>11</v>
      </c>
      <c r="D15" s="123">
        <v>1150165</v>
      </c>
      <c r="E15" s="124">
        <v>2.7E-2</v>
      </c>
      <c r="F15" s="124">
        <v>0.82909999999999995</v>
      </c>
      <c r="G15" s="124">
        <v>1100</v>
      </c>
      <c r="H15" s="124">
        <v>91814000</v>
      </c>
      <c r="I15" s="124">
        <v>6.4000000000000001E-2</v>
      </c>
      <c r="J15" s="124">
        <v>0.12989999999999999</v>
      </c>
      <c r="K15" s="125">
        <v>615178.68691588787</v>
      </c>
      <c r="L15" s="126">
        <v>8379815.9999999991</v>
      </c>
      <c r="M15" s="127">
        <v>1088538</v>
      </c>
      <c r="N15" s="118"/>
    </row>
    <row r="16" spans="1:16" x14ac:dyDescent="0.25">
      <c r="A16" s="123" t="s">
        <v>160</v>
      </c>
      <c r="B16" s="124" t="s">
        <v>161</v>
      </c>
      <c r="C16" s="125" t="s">
        <v>12</v>
      </c>
      <c r="D16" s="123">
        <v>520026</v>
      </c>
      <c r="E16" s="124">
        <v>2.5700000000000001E-2</v>
      </c>
      <c r="F16" s="124">
        <v>0.66279999999999994</v>
      </c>
      <c r="G16" s="124">
        <v>458</v>
      </c>
      <c r="H16" s="124">
        <v>36169000</v>
      </c>
      <c r="I16" s="124">
        <v>0.25</v>
      </c>
      <c r="J16" s="124">
        <v>0.39460000000000001</v>
      </c>
      <c r="K16" s="125">
        <v>1643234.4035087719</v>
      </c>
      <c r="L16" s="126">
        <v>46819348</v>
      </c>
      <c r="M16" s="127">
        <v>18474914</v>
      </c>
      <c r="N16" s="118"/>
    </row>
    <row r="17" spans="1:14" x14ac:dyDescent="0.25">
      <c r="A17" s="123" t="s">
        <v>162</v>
      </c>
      <c r="B17" s="124" t="s">
        <v>163</v>
      </c>
      <c r="C17" s="125" t="s">
        <v>13</v>
      </c>
      <c r="D17" s="123">
        <v>383687</v>
      </c>
      <c r="E17" s="124">
        <v>5.4699999999999999E-2</v>
      </c>
      <c r="F17" s="124">
        <v>0.65059999999999996</v>
      </c>
      <c r="G17" s="124">
        <v>308</v>
      </c>
      <c r="H17" s="124">
        <v>32268800</v>
      </c>
      <c r="I17" s="124">
        <v>8.6999999999999994E-2</v>
      </c>
      <c r="J17" s="124">
        <v>0.44640000000000002</v>
      </c>
      <c r="K17" s="125">
        <v>745257.52830188675</v>
      </c>
      <c r="L17" s="126">
        <v>13692364</v>
      </c>
      <c r="M17" s="127">
        <v>6112271</v>
      </c>
      <c r="N17" s="118"/>
    </row>
    <row r="18" spans="1:14" x14ac:dyDescent="0.25">
      <c r="A18" s="123" t="s">
        <v>164</v>
      </c>
      <c r="B18" s="124" t="s">
        <v>165</v>
      </c>
      <c r="C18" s="125" t="s">
        <v>14</v>
      </c>
      <c r="D18" s="123">
        <v>159595</v>
      </c>
      <c r="E18" s="124">
        <v>4.7800000000000002E-2</v>
      </c>
      <c r="F18" s="124">
        <v>0.7883</v>
      </c>
      <c r="G18" s="124">
        <v>101</v>
      </c>
      <c r="H18" s="124">
        <v>9068200</v>
      </c>
      <c r="I18" s="124">
        <v>5.8000000000000003E-2</v>
      </c>
      <c r="J18" s="124">
        <v>0.33379999999999999</v>
      </c>
      <c r="K18" s="125">
        <v>776635.72941176465</v>
      </c>
      <c r="L18" s="126">
        <v>3803873</v>
      </c>
      <c r="M18" s="127">
        <v>1269732</v>
      </c>
      <c r="N18" s="118"/>
    </row>
    <row r="19" spans="1:14" x14ac:dyDescent="0.25">
      <c r="A19" s="123" t="s">
        <v>166</v>
      </c>
      <c r="B19" s="124" t="s">
        <v>167</v>
      </c>
      <c r="C19" s="125" t="s">
        <v>15</v>
      </c>
      <c r="D19" s="123">
        <v>711749</v>
      </c>
      <c r="E19" s="124">
        <v>-7.4999999999999997E-3</v>
      </c>
      <c r="F19" s="124">
        <v>0.8125</v>
      </c>
      <c r="G19" s="124">
        <v>981</v>
      </c>
      <c r="H19" s="124">
        <v>80578300</v>
      </c>
      <c r="I19" s="124">
        <v>0.14000000000000001</v>
      </c>
      <c r="J19" s="124">
        <v>0.13250000000000001</v>
      </c>
      <c r="K19" s="125">
        <v>2842951.8016877635</v>
      </c>
      <c r="L19" s="126">
        <v>94080988</v>
      </c>
      <c r="M19" s="127">
        <v>12465730</v>
      </c>
      <c r="N19" s="118"/>
    </row>
    <row r="20" spans="1:14" x14ac:dyDescent="0.25">
      <c r="A20" s="123" t="s">
        <v>168</v>
      </c>
      <c r="B20" s="124" t="s">
        <v>169</v>
      </c>
      <c r="C20" s="125" t="s">
        <v>16</v>
      </c>
      <c r="D20" s="123">
        <v>2226879</v>
      </c>
      <c r="E20" s="124">
        <v>6.7199999999999996E-2</v>
      </c>
      <c r="F20" s="124">
        <v>0.79800000000000004</v>
      </c>
      <c r="G20" s="124">
        <v>931</v>
      </c>
      <c r="H20" s="124">
        <v>78148100</v>
      </c>
      <c r="I20" s="124">
        <v>4.9000000000000002E-2</v>
      </c>
      <c r="J20" s="124">
        <v>0.54479999999999995</v>
      </c>
      <c r="K20" s="125">
        <v>1292994.9916666667</v>
      </c>
      <c r="L20" s="126">
        <v>45813356</v>
      </c>
      <c r="M20" s="127">
        <v>24959116</v>
      </c>
      <c r="N20" s="118"/>
    </row>
    <row r="21" spans="1:14" x14ac:dyDescent="0.25">
      <c r="A21" s="123" t="s">
        <v>170</v>
      </c>
      <c r="B21" s="124" t="s">
        <v>171</v>
      </c>
      <c r="C21" s="125" t="s">
        <v>17</v>
      </c>
      <c r="D21" s="123">
        <v>642809</v>
      </c>
      <c r="E21" s="124">
        <v>4.4000000000000003E-3</v>
      </c>
      <c r="F21" s="124">
        <v>0.76290000000000002</v>
      </c>
      <c r="G21" s="124">
        <v>8154</v>
      </c>
      <c r="H21" s="124">
        <v>924184000</v>
      </c>
      <c r="I21" s="124">
        <v>0.109</v>
      </c>
      <c r="J21" s="124">
        <v>0.3261</v>
      </c>
      <c r="K21" s="125">
        <v>799647.56210191082</v>
      </c>
      <c r="L21" s="126">
        <v>54733275</v>
      </c>
      <c r="M21" s="127">
        <v>17848520</v>
      </c>
      <c r="N21" s="118"/>
    </row>
    <row r="22" spans="1:14" x14ac:dyDescent="0.25">
      <c r="A22" s="123" t="s">
        <v>162</v>
      </c>
      <c r="B22" s="124" t="s">
        <v>172</v>
      </c>
      <c r="C22" s="125" t="s">
        <v>18</v>
      </c>
      <c r="D22" s="123">
        <v>1294827</v>
      </c>
      <c r="E22" s="124">
        <v>4.2299999999999997E-2</v>
      </c>
      <c r="F22" s="124">
        <v>0.67349999999999999</v>
      </c>
      <c r="G22" s="124">
        <v>1393</v>
      </c>
      <c r="H22" s="124">
        <v>137800900</v>
      </c>
      <c r="I22" s="124">
        <v>0.157</v>
      </c>
      <c r="J22" s="124">
        <v>9.0300000000000005E-2</v>
      </c>
      <c r="K22" s="125">
        <v>1409608.0444444444</v>
      </c>
      <c r="L22" s="126">
        <v>139335915</v>
      </c>
      <c r="M22" s="127">
        <v>12582033</v>
      </c>
      <c r="N22" s="118"/>
    </row>
    <row r="23" spans="1:14" x14ac:dyDescent="0.25">
      <c r="A23" s="123" t="s">
        <v>153</v>
      </c>
      <c r="B23" s="124" t="s">
        <v>233</v>
      </c>
      <c r="C23" s="125" t="s">
        <v>19</v>
      </c>
      <c r="D23" s="123">
        <v>54280</v>
      </c>
      <c r="E23" s="124">
        <v>2.5999999999999999E-3</v>
      </c>
      <c r="F23" s="124">
        <v>0.74539999999999995</v>
      </c>
      <c r="G23" s="124">
        <v>38</v>
      </c>
      <c r="H23" s="124">
        <v>3496400</v>
      </c>
      <c r="I23" s="124">
        <v>2.1000000000000001E-2</v>
      </c>
      <c r="J23" s="124">
        <v>0.50070000000000003</v>
      </c>
      <c r="K23" s="125">
        <v>43802850.015151501</v>
      </c>
      <c r="L23" s="126">
        <v>60259377</v>
      </c>
      <c r="M23" s="127">
        <v>30171870</v>
      </c>
      <c r="N23" s="118"/>
    </row>
    <row r="24" spans="1:14" x14ac:dyDescent="0.25">
      <c r="A24" s="123" t="s">
        <v>153</v>
      </c>
      <c r="B24" s="124" t="s">
        <v>173</v>
      </c>
      <c r="C24" s="125" t="s">
        <v>20</v>
      </c>
      <c r="D24" s="123">
        <v>1018557</v>
      </c>
      <c r="E24" s="124">
        <v>7.0000000000000001E-3</v>
      </c>
      <c r="F24" s="124">
        <v>0.77890000000000004</v>
      </c>
      <c r="G24" s="124">
        <v>1320</v>
      </c>
      <c r="H24" s="124">
        <v>144384700</v>
      </c>
      <c r="I24" s="124">
        <v>0.11600000000000001</v>
      </c>
      <c r="J24" s="124">
        <v>0.18459999999999999</v>
      </c>
      <c r="K24" s="125">
        <v>1592606.5346938774</v>
      </c>
      <c r="L24" s="126">
        <v>90906802.000000015</v>
      </c>
      <c r="M24" s="127">
        <v>16781395</v>
      </c>
      <c r="N24" s="118"/>
    </row>
    <row r="25" spans="1:14" x14ac:dyDescent="0.25">
      <c r="A25" s="123" t="s">
        <v>170</v>
      </c>
      <c r="B25" s="124" t="s">
        <v>174</v>
      </c>
      <c r="C25" s="125" t="s">
        <v>21</v>
      </c>
      <c r="D25" s="123">
        <v>11177</v>
      </c>
      <c r="E25" s="124">
        <v>2.3800000000000002E-2</v>
      </c>
      <c r="F25" s="124">
        <v>0.72089999999999999</v>
      </c>
      <c r="G25" s="124">
        <v>223</v>
      </c>
      <c r="H25" s="124">
        <v>25016400</v>
      </c>
      <c r="I25" s="124">
        <v>3.5000000000000003E-2</v>
      </c>
      <c r="J25" s="124">
        <v>0.1032</v>
      </c>
      <c r="K25" s="125">
        <v>382840.48571428569</v>
      </c>
      <c r="L25" s="126">
        <v>944372</v>
      </c>
      <c r="M25" s="127">
        <v>97459</v>
      </c>
      <c r="N25" s="118"/>
    </row>
    <row r="26" spans="1:14" x14ac:dyDescent="0.25">
      <c r="A26" s="123" t="s">
        <v>175</v>
      </c>
      <c r="B26" s="124" t="s">
        <v>176</v>
      </c>
      <c r="C26" s="125" t="s">
        <v>22</v>
      </c>
      <c r="D26" s="123">
        <v>3305513</v>
      </c>
      <c r="E26" s="124">
        <v>5.4300000000000001E-2</v>
      </c>
      <c r="F26" s="124">
        <v>0.90629999999999999</v>
      </c>
      <c r="G26" s="124">
        <v>4602</v>
      </c>
      <c r="H26" s="124">
        <v>368641400</v>
      </c>
      <c r="I26" s="124">
        <v>0.107</v>
      </c>
      <c r="J26" s="124">
        <v>0.2288</v>
      </c>
      <c r="K26" s="125">
        <v>935241.22164276405</v>
      </c>
      <c r="L26" s="126">
        <v>153838276</v>
      </c>
      <c r="M26" s="127">
        <v>35198197</v>
      </c>
      <c r="N26" s="118"/>
    </row>
    <row r="27" spans="1:14" x14ac:dyDescent="0.25">
      <c r="A27" s="123" t="s">
        <v>170</v>
      </c>
      <c r="B27" s="124" t="s">
        <v>177</v>
      </c>
      <c r="C27" s="125" t="s">
        <v>23</v>
      </c>
      <c r="D27" s="123">
        <v>547057</v>
      </c>
      <c r="E27" s="124">
        <v>3.6700000000000003E-2</v>
      </c>
      <c r="F27" s="124">
        <v>0.90980000000000005</v>
      </c>
      <c r="G27" s="124">
        <v>2090</v>
      </c>
      <c r="H27" s="124">
        <v>167810300</v>
      </c>
      <c r="I27" s="124">
        <v>4.7E-2</v>
      </c>
      <c r="J27" s="124">
        <v>0.30790000000000001</v>
      </c>
      <c r="K27" s="125">
        <v>752724.83208955219</v>
      </c>
      <c r="L27" s="126">
        <v>9442528</v>
      </c>
      <c r="M27" s="127">
        <v>2907354</v>
      </c>
      <c r="N27" s="118"/>
    </row>
    <row r="28" spans="1:14" x14ac:dyDescent="0.25">
      <c r="A28" s="123" t="s">
        <v>178</v>
      </c>
      <c r="B28" s="124" t="s">
        <v>179</v>
      </c>
      <c r="C28" s="125" t="s">
        <v>24</v>
      </c>
      <c r="D28" s="123">
        <v>168027</v>
      </c>
      <c r="E28" s="124">
        <v>2.6100000000000002E-2</v>
      </c>
      <c r="F28" s="124">
        <v>0.84109999999999996</v>
      </c>
      <c r="G28" s="124">
        <v>137</v>
      </c>
      <c r="H28" s="124">
        <v>10039200</v>
      </c>
      <c r="I28" s="124">
        <v>0.17299999999999999</v>
      </c>
      <c r="J28" s="124">
        <v>0.1057</v>
      </c>
      <c r="K28" s="125">
        <v>396072.07843137253</v>
      </c>
      <c r="L28" s="126">
        <v>17450741</v>
      </c>
      <c r="M28" s="127">
        <v>1844543</v>
      </c>
      <c r="N28" s="118"/>
    </row>
    <row r="29" spans="1:14" x14ac:dyDescent="0.25">
      <c r="A29" s="123" t="s">
        <v>180</v>
      </c>
      <c r="B29" s="124" t="s">
        <v>181</v>
      </c>
      <c r="C29" s="125" t="s">
        <v>25</v>
      </c>
      <c r="D29" s="123">
        <v>6254238</v>
      </c>
      <c r="E29" s="124">
        <v>8.1500000000000003E-2</v>
      </c>
      <c r="F29" s="124">
        <v>0.76190000000000002</v>
      </c>
      <c r="G29" s="124">
        <v>9423</v>
      </c>
      <c r="H29" s="124">
        <v>938010800</v>
      </c>
      <c r="I29" s="124">
        <v>0.11799999999999999</v>
      </c>
      <c r="J29" s="124">
        <v>0.35249999999999998</v>
      </c>
      <c r="K29" s="125">
        <v>1488786.7533227007</v>
      </c>
      <c r="L29" s="126">
        <v>329437054</v>
      </c>
      <c r="M29" s="127">
        <v>116126561</v>
      </c>
      <c r="N29" s="118"/>
    </row>
    <row r="30" spans="1:14" x14ac:dyDescent="0.25">
      <c r="A30" s="123" t="s">
        <v>155</v>
      </c>
      <c r="B30" s="124" t="s">
        <v>182</v>
      </c>
      <c r="C30" s="125" t="s">
        <v>26</v>
      </c>
      <c r="D30" s="123">
        <v>486935</v>
      </c>
      <c r="E30" s="124">
        <v>6.1899999999999997E-2</v>
      </c>
      <c r="F30" s="124">
        <v>0.81820000000000004</v>
      </c>
      <c r="G30" s="124">
        <v>408</v>
      </c>
      <c r="H30" s="124">
        <v>34602200</v>
      </c>
      <c r="I30" s="124">
        <v>0.16600000000000001</v>
      </c>
      <c r="J30" s="124">
        <v>0.2112</v>
      </c>
      <c r="K30" s="125">
        <v>581447.37962962966</v>
      </c>
      <c r="L30" s="126">
        <v>10396933.999999998</v>
      </c>
      <c r="M30" s="127">
        <v>2195832</v>
      </c>
      <c r="N30" s="118"/>
    </row>
    <row r="31" spans="1:14" x14ac:dyDescent="0.25">
      <c r="A31" s="123" t="s">
        <v>183</v>
      </c>
      <c r="B31" s="124" t="s">
        <v>184</v>
      </c>
      <c r="C31" s="125" t="s">
        <v>27</v>
      </c>
      <c r="D31" s="123">
        <v>11338893</v>
      </c>
      <c r="E31" s="124">
        <v>2.0299999999999999E-2</v>
      </c>
      <c r="F31" s="124">
        <v>0.64059999999999995</v>
      </c>
      <c r="G31" s="124">
        <v>13942</v>
      </c>
      <c r="H31" s="124">
        <v>1237735000</v>
      </c>
      <c r="I31" s="124">
        <v>8.3000000000000004E-2</v>
      </c>
      <c r="J31" s="124">
        <v>0.11890000000000001</v>
      </c>
      <c r="K31" s="125">
        <v>1379746.4430851063</v>
      </c>
      <c r="L31" s="126">
        <v>215451902</v>
      </c>
      <c r="M31" s="127">
        <v>25617231</v>
      </c>
      <c r="N31" s="118"/>
    </row>
    <row r="32" spans="1:14" x14ac:dyDescent="0.25">
      <c r="A32" s="123" t="s">
        <v>185</v>
      </c>
      <c r="B32" s="124" t="s">
        <v>186</v>
      </c>
      <c r="C32" s="125" t="s">
        <v>28</v>
      </c>
      <c r="D32" s="123">
        <v>3316999</v>
      </c>
      <c r="E32" s="124">
        <v>3.9800000000000002E-2</v>
      </c>
      <c r="F32" s="124">
        <v>0.67269999999999996</v>
      </c>
      <c r="G32" s="124">
        <v>8694</v>
      </c>
      <c r="H32" s="124">
        <v>744286500</v>
      </c>
      <c r="I32" s="124">
        <v>0.186</v>
      </c>
      <c r="J32" s="124">
        <v>0.2205</v>
      </c>
      <c r="K32" s="125">
        <v>676207.34862385329</v>
      </c>
      <c r="L32" s="126">
        <v>178630524.99999997</v>
      </c>
      <c r="M32" s="127">
        <v>39388030</v>
      </c>
      <c r="N32" s="118"/>
    </row>
    <row r="33" spans="1:15" x14ac:dyDescent="0.25">
      <c r="A33" s="123" t="s">
        <v>151</v>
      </c>
      <c r="B33" s="124" t="s">
        <v>187</v>
      </c>
      <c r="C33" s="125" t="s">
        <v>29</v>
      </c>
      <c r="D33" s="123">
        <v>225257</v>
      </c>
      <c r="E33" s="124">
        <v>-5.9999999999999995E-4</v>
      </c>
      <c r="F33" s="124">
        <v>0.71430000000000005</v>
      </c>
      <c r="G33" s="124">
        <v>197</v>
      </c>
      <c r="H33" s="124">
        <v>16090400</v>
      </c>
      <c r="I33" s="124">
        <v>8.8999999999999996E-2</v>
      </c>
      <c r="J33" s="124">
        <v>0.14510000000000001</v>
      </c>
      <c r="K33" s="125">
        <v>370359.51030927832</v>
      </c>
      <c r="L33" s="126">
        <v>6411208.0000000009</v>
      </c>
      <c r="M33" s="127">
        <v>930266</v>
      </c>
      <c r="N33" s="118"/>
    </row>
    <row r="34" spans="1:15" x14ac:dyDescent="0.25">
      <c r="A34" s="123" t="s">
        <v>188</v>
      </c>
      <c r="B34" s="124" t="s">
        <v>189</v>
      </c>
      <c r="C34" s="125" t="s">
        <v>30</v>
      </c>
      <c r="D34" s="123">
        <v>1112390</v>
      </c>
      <c r="E34" s="124">
        <v>3.4500000000000003E-2</v>
      </c>
      <c r="F34" s="124">
        <v>0.50519999999999998</v>
      </c>
      <c r="G34" s="124">
        <v>819</v>
      </c>
      <c r="H34" s="124">
        <v>89290300</v>
      </c>
      <c r="I34" s="124">
        <v>0.129</v>
      </c>
      <c r="J34" s="124">
        <v>0.28689999999999999</v>
      </c>
      <c r="K34" s="125">
        <v>800422.66666666663</v>
      </c>
      <c r="L34" s="126">
        <v>21107902</v>
      </c>
      <c r="M34" s="127">
        <v>6055857</v>
      </c>
      <c r="N34" s="118"/>
    </row>
    <row r="35" spans="1:15" x14ac:dyDescent="0.25">
      <c r="A35" s="123" t="s">
        <v>188</v>
      </c>
      <c r="B35" s="124" t="s">
        <v>190</v>
      </c>
      <c r="C35" s="125" t="s">
        <v>31</v>
      </c>
      <c r="D35" s="123">
        <v>2016702</v>
      </c>
      <c r="E35" s="124">
        <v>1.9599999999999999E-2</v>
      </c>
      <c r="F35" s="124">
        <v>0.56879999999999997</v>
      </c>
      <c r="G35" s="124">
        <v>2020</v>
      </c>
      <c r="H35" s="124">
        <v>222394900</v>
      </c>
      <c r="I35" s="124">
        <v>0.16600000000000001</v>
      </c>
      <c r="J35" s="124">
        <v>7.7700000000000005E-2</v>
      </c>
      <c r="K35" s="125">
        <v>1026981.155378486</v>
      </c>
      <c r="L35" s="126">
        <v>85545254</v>
      </c>
      <c r="M35" s="127">
        <v>6646866</v>
      </c>
      <c r="N35" s="118"/>
    </row>
    <row r="36" spans="1:15" x14ac:dyDescent="0.25">
      <c r="A36" s="123" t="s">
        <v>191</v>
      </c>
      <c r="B36" s="124" t="s">
        <v>192</v>
      </c>
      <c r="C36" s="125" t="s">
        <v>32</v>
      </c>
      <c r="D36" s="123">
        <v>1561615</v>
      </c>
      <c r="E36" s="124">
        <v>6.7500000000000004E-2</v>
      </c>
      <c r="F36" s="124">
        <v>0.74419999999999997</v>
      </c>
      <c r="G36" s="124">
        <v>1494</v>
      </c>
      <c r="H36" s="124">
        <v>127057800</v>
      </c>
      <c r="I36" s="124">
        <v>9.2999999999999999E-2</v>
      </c>
      <c r="J36" s="124">
        <v>0.3135</v>
      </c>
      <c r="K36" s="125">
        <v>762310.50285714283</v>
      </c>
      <c r="L36" s="126">
        <v>12360491.000000002</v>
      </c>
      <c r="M36" s="127">
        <v>3875013</v>
      </c>
      <c r="N36" s="118"/>
    </row>
    <row r="37" spans="1:15" x14ac:dyDescent="0.25">
      <c r="A37" s="123" t="s">
        <v>193</v>
      </c>
      <c r="B37" s="124" t="s">
        <v>194</v>
      </c>
      <c r="C37" s="125" t="s">
        <v>33</v>
      </c>
      <c r="D37" s="123">
        <v>28196</v>
      </c>
      <c r="E37" s="124">
        <v>8.72E-2</v>
      </c>
      <c r="F37" s="124">
        <v>0.82589999999999997</v>
      </c>
      <c r="G37" s="124">
        <v>97</v>
      </c>
      <c r="H37" s="124">
        <v>7124600</v>
      </c>
      <c r="I37" s="124">
        <v>5.8000000000000003E-2</v>
      </c>
      <c r="J37" s="124">
        <v>0.4773</v>
      </c>
      <c r="K37" s="125">
        <v>667553.5</v>
      </c>
      <c r="L37" s="126">
        <v>17676294</v>
      </c>
      <c r="M37" s="127">
        <v>8436895</v>
      </c>
      <c r="N37" s="118"/>
    </row>
    <row r="38" spans="1:15" x14ac:dyDescent="0.25">
      <c r="A38" s="123" t="s">
        <v>195</v>
      </c>
      <c r="B38" s="124" t="s">
        <v>196</v>
      </c>
      <c r="C38" s="125" t="s">
        <v>34</v>
      </c>
      <c r="D38" s="123">
        <v>1398188</v>
      </c>
      <c r="E38" s="124">
        <v>-4.0899999999999999E-2</v>
      </c>
      <c r="F38" s="124">
        <v>0.73240000000000005</v>
      </c>
      <c r="G38" s="124">
        <v>2340</v>
      </c>
      <c r="H38" s="124">
        <v>211521200</v>
      </c>
      <c r="I38" s="124">
        <v>1.2999999999999999E-2</v>
      </c>
      <c r="J38" s="124">
        <v>0.36020000000000002</v>
      </c>
      <c r="K38" s="125">
        <v>89859907.714285716</v>
      </c>
      <c r="L38" s="126">
        <v>24446749</v>
      </c>
      <c r="M38" s="127">
        <v>8805718</v>
      </c>
      <c r="N38" s="118"/>
    </row>
    <row r="39" spans="1:15" x14ac:dyDescent="0.25">
      <c r="A39" s="123" t="s">
        <v>162</v>
      </c>
      <c r="B39" s="124" t="s">
        <v>197</v>
      </c>
      <c r="C39" s="125" t="s">
        <v>35</v>
      </c>
      <c r="D39" s="123">
        <v>2853619</v>
      </c>
      <c r="E39" s="124">
        <v>0.34970000000000001</v>
      </c>
      <c r="F39" s="124">
        <v>0.75539999999999996</v>
      </c>
      <c r="G39" s="124">
        <v>1789</v>
      </c>
      <c r="H39" s="124">
        <v>182717500</v>
      </c>
      <c r="I39" s="124">
        <v>7.8E-2</v>
      </c>
      <c r="J39" s="124">
        <v>0.1036</v>
      </c>
      <c r="K39" s="125">
        <v>1029614.8216123499</v>
      </c>
      <c r="L39" s="126">
        <v>46796159</v>
      </c>
      <c r="M39" s="127">
        <v>4848082</v>
      </c>
      <c r="N39" s="118"/>
    </row>
    <row r="40" spans="1:15" x14ac:dyDescent="0.25">
      <c r="A40" s="123" t="s">
        <v>170</v>
      </c>
      <c r="B40" s="124" t="s">
        <v>198</v>
      </c>
      <c r="C40" s="125" t="s">
        <v>36</v>
      </c>
      <c r="D40" s="123">
        <v>37818</v>
      </c>
      <c r="E40" s="124">
        <v>2.01E-2</v>
      </c>
      <c r="F40" s="124">
        <v>0.84430000000000005</v>
      </c>
      <c r="G40" s="124">
        <v>756</v>
      </c>
      <c r="H40" s="124">
        <v>84646600</v>
      </c>
      <c r="I40" s="124">
        <v>9.2999999999999999E-2</v>
      </c>
      <c r="J40" s="124">
        <v>0.29480000000000001</v>
      </c>
      <c r="K40" s="125">
        <v>307429.76802507835</v>
      </c>
      <c r="L40" s="126">
        <v>9138088</v>
      </c>
      <c r="M40" s="127">
        <v>2693908</v>
      </c>
      <c r="N40" s="118"/>
    </row>
    <row r="41" spans="1:15" x14ac:dyDescent="0.25">
      <c r="A41" s="123" t="s">
        <v>170</v>
      </c>
      <c r="B41" s="124" t="s">
        <v>199</v>
      </c>
      <c r="C41" s="125" t="s">
        <v>37</v>
      </c>
      <c r="D41" s="123">
        <v>303598</v>
      </c>
      <c r="E41" s="124">
        <v>2.3900000000000001E-2</v>
      </c>
      <c r="F41" s="124">
        <v>0.82020000000000004</v>
      </c>
      <c r="G41" s="124">
        <v>1046</v>
      </c>
      <c r="H41" s="124">
        <v>78907300</v>
      </c>
      <c r="I41" s="124">
        <v>4.8000000000000001E-2</v>
      </c>
      <c r="J41" s="124">
        <v>0.2253</v>
      </c>
      <c r="K41" s="125">
        <v>371647.82828282827</v>
      </c>
      <c r="L41" s="126">
        <v>1756717</v>
      </c>
      <c r="M41" s="127">
        <v>395788</v>
      </c>
      <c r="N41" s="118"/>
    </row>
    <row r="42" spans="1:15" x14ac:dyDescent="0.25">
      <c r="A42" s="123" t="s">
        <v>162</v>
      </c>
      <c r="B42" s="124" t="s">
        <v>200</v>
      </c>
      <c r="C42" s="125" t="s">
        <v>38</v>
      </c>
      <c r="D42" s="123">
        <v>692932</v>
      </c>
      <c r="E42" s="124">
        <v>0.50070000000000003</v>
      </c>
      <c r="F42" s="124">
        <v>0.77239999999999998</v>
      </c>
      <c r="G42" s="124">
        <v>863</v>
      </c>
      <c r="H42" s="124">
        <v>73561500</v>
      </c>
      <c r="I42" s="124">
        <v>0.14599999999999999</v>
      </c>
      <c r="J42" s="124">
        <v>0.2288</v>
      </c>
      <c r="K42" s="125">
        <v>1204766.5239520958</v>
      </c>
      <c r="L42" s="126">
        <v>88282234</v>
      </c>
      <c r="M42" s="127">
        <v>20198975</v>
      </c>
      <c r="N42" s="118"/>
    </row>
    <row r="43" spans="1:15" x14ac:dyDescent="0.25">
      <c r="A43" s="123" t="s">
        <v>170</v>
      </c>
      <c r="B43" s="124" t="s">
        <v>201</v>
      </c>
      <c r="C43" s="125" t="s">
        <v>39</v>
      </c>
      <c r="D43" s="123">
        <v>15500</v>
      </c>
      <c r="E43" s="124">
        <v>0.2177</v>
      </c>
      <c r="F43" s="124">
        <v>0.75539999999999996</v>
      </c>
      <c r="G43" s="124">
        <v>310</v>
      </c>
      <c r="H43" s="124">
        <v>34693400</v>
      </c>
      <c r="I43" s="124">
        <v>5.0999999999999997E-2</v>
      </c>
      <c r="J43" s="124">
        <v>0.1467</v>
      </c>
      <c r="K43" s="125">
        <v>842001.14285714284</v>
      </c>
      <c r="L43" s="126">
        <v>2485900</v>
      </c>
      <c r="M43" s="127">
        <v>364681</v>
      </c>
      <c r="N43" s="118"/>
    </row>
    <row r="44" spans="1:15" x14ac:dyDescent="0.25">
      <c r="A44" s="123" t="s">
        <v>170</v>
      </c>
      <c r="B44" s="124" t="s">
        <v>202</v>
      </c>
      <c r="C44" s="125" t="s">
        <v>40</v>
      </c>
      <c r="D44" s="123">
        <v>22755</v>
      </c>
      <c r="E44" s="124">
        <v>2.8400000000000002E-2</v>
      </c>
      <c r="F44" s="124">
        <v>0.74539999999999995</v>
      </c>
      <c r="G44" s="124">
        <v>455</v>
      </c>
      <c r="H44" s="124">
        <v>50931300</v>
      </c>
      <c r="I44" s="124">
        <v>4.7E-2</v>
      </c>
      <c r="J44" s="124">
        <v>0.23499999999999999</v>
      </c>
      <c r="K44" s="125">
        <v>164661.52150537635</v>
      </c>
      <c r="L44" s="126">
        <v>1444823</v>
      </c>
      <c r="M44" s="127">
        <v>339533</v>
      </c>
      <c r="N44" s="118"/>
    </row>
    <row r="45" spans="1:15" x14ac:dyDescent="0.25">
      <c r="A45" s="123" t="s">
        <v>162</v>
      </c>
      <c r="B45" s="124" t="s">
        <v>203</v>
      </c>
      <c r="C45" s="125" t="s">
        <v>41</v>
      </c>
      <c r="D45" s="123">
        <v>507256</v>
      </c>
      <c r="E45" s="124">
        <v>2.07E-2</v>
      </c>
      <c r="F45" s="124">
        <v>0.87880000000000003</v>
      </c>
      <c r="G45" s="124">
        <v>437</v>
      </c>
      <c r="H45" s="124">
        <v>34535700</v>
      </c>
      <c r="I45" s="124">
        <v>7.6999999999999999E-2</v>
      </c>
      <c r="J45" s="124">
        <v>0.30399999999999999</v>
      </c>
      <c r="K45" s="125">
        <v>654901.71783295716</v>
      </c>
      <c r="L45" s="126">
        <v>22448750</v>
      </c>
      <c r="M45" s="129">
        <v>6824420</v>
      </c>
      <c r="N45" s="118"/>
      <c r="O45" s="22"/>
    </row>
    <row r="46" spans="1:15" x14ac:dyDescent="0.25">
      <c r="A46" s="123" t="s">
        <v>204</v>
      </c>
      <c r="B46" s="124" t="s">
        <v>205</v>
      </c>
      <c r="C46" s="125" t="s">
        <v>42</v>
      </c>
      <c r="D46" s="123">
        <v>587854</v>
      </c>
      <c r="E46" s="124">
        <v>1.5100000000000001E-2</v>
      </c>
      <c r="F46" s="124">
        <v>0.74439999999999995</v>
      </c>
      <c r="G46" s="124">
        <v>706</v>
      </c>
      <c r="H46" s="124">
        <v>66846600</v>
      </c>
      <c r="I46" s="124">
        <v>0.19700000000000001</v>
      </c>
      <c r="J46" s="124">
        <v>0.121</v>
      </c>
      <c r="K46" s="125">
        <v>848159.50641025638</v>
      </c>
      <c r="L46" s="126">
        <v>78043316</v>
      </c>
      <c r="M46" s="127">
        <v>9443241</v>
      </c>
      <c r="N46" s="118"/>
    </row>
    <row r="47" spans="1:15" x14ac:dyDescent="0.25">
      <c r="A47" s="123" t="s">
        <v>155</v>
      </c>
      <c r="B47" s="124" t="s">
        <v>206</v>
      </c>
      <c r="C47" s="125" t="s">
        <v>43</v>
      </c>
      <c r="D47" s="123">
        <v>613789</v>
      </c>
      <c r="E47" s="124">
        <v>3.3099999999999997E-2</v>
      </c>
      <c r="F47" s="124">
        <v>0.78949999999999998</v>
      </c>
      <c r="G47" s="124">
        <v>909</v>
      </c>
      <c r="H47" s="124">
        <v>77020300</v>
      </c>
      <c r="I47" s="124">
        <v>0.109</v>
      </c>
      <c r="J47" s="124">
        <v>0.22</v>
      </c>
      <c r="K47" s="125">
        <v>1329015.8142857142</v>
      </c>
      <c r="L47" s="126">
        <v>70749005</v>
      </c>
      <c r="M47" s="127">
        <v>15564781</v>
      </c>
      <c r="N47" s="118"/>
    </row>
    <row r="48" spans="1:15" x14ac:dyDescent="0.25">
      <c r="A48" s="123" t="s">
        <v>207</v>
      </c>
      <c r="B48" s="124" t="s">
        <v>208</v>
      </c>
      <c r="C48" s="125" t="s">
        <v>44</v>
      </c>
      <c r="D48" s="123">
        <v>1415867</v>
      </c>
      <c r="E48" s="124">
        <v>0.44230000000000003</v>
      </c>
      <c r="F48" s="124">
        <v>0.75380000000000003</v>
      </c>
      <c r="G48" s="124">
        <v>621</v>
      </c>
      <c r="H48" s="124">
        <v>63485900</v>
      </c>
      <c r="I48" s="124">
        <v>0.13900000000000001</v>
      </c>
      <c r="J48" s="124">
        <v>8.4599999999999995E-2</v>
      </c>
      <c r="K48" s="125">
        <v>2106355.7504159734</v>
      </c>
      <c r="L48" s="126">
        <v>175819975</v>
      </c>
      <c r="M48" s="127">
        <v>14874369</v>
      </c>
      <c r="N48" s="118"/>
    </row>
    <row r="49" spans="1:14" x14ac:dyDescent="0.25">
      <c r="A49" s="123" t="s">
        <v>207</v>
      </c>
      <c r="B49" s="124" t="s">
        <v>209</v>
      </c>
      <c r="C49" s="125" t="s">
        <v>45</v>
      </c>
      <c r="D49" s="123">
        <v>30326</v>
      </c>
      <c r="E49" s="124">
        <v>7.1099999999999997E-2</v>
      </c>
      <c r="F49" s="124">
        <v>0.69440000000000002</v>
      </c>
      <c r="G49" s="124">
        <v>16</v>
      </c>
      <c r="H49" s="124">
        <v>1577900</v>
      </c>
      <c r="I49" s="124">
        <v>7.3999999999999996E-2</v>
      </c>
      <c r="J49" s="124">
        <v>0.37519999999999998</v>
      </c>
      <c r="K49" s="125">
        <v>332438.45597897505</v>
      </c>
      <c r="L49" s="126">
        <v>18826842</v>
      </c>
      <c r="M49" s="127">
        <v>7063831</v>
      </c>
      <c r="N49" s="118"/>
    </row>
    <row r="50" spans="1:14" x14ac:dyDescent="0.25">
      <c r="A50" s="123" t="s">
        <v>210</v>
      </c>
      <c r="B50" s="124" t="s">
        <v>211</v>
      </c>
      <c r="C50" s="125" t="s">
        <v>46</v>
      </c>
      <c r="D50" s="123">
        <v>69468</v>
      </c>
      <c r="E50" s="124">
        <v>6.1600000000000002E-2</v>
      </c>
      <c r="F50" s="124">
        <v>0.75539999999999996</v>
      </c>
      <c r="G50" s="124">
        <v>51</v>
      </c>
      <c r="H50" s="124">
        <v>5183200</v>
      </c>
      <c r="I50" s="124">
        <v>0.04</v>
      </c>
      <c r="J50" s="124">
        <v>0.29220000000000002</v>
      </c>
      <c r="K50" s="125">
        <v>581656.36585365853</v>
      </c>
      <c r="L50" s="126">
        <v>956928</v>
      </c>
      <c r="M50" s="127">
        <v>279614</v>
      </c>
      <c r="N50" s="118"/>
    </row>
    <row r="51" spans="1:14" x14ac:dyDescent="0.25">
      <c r="A51" s="123" t="s">
        <v>207</v>
      </c>
      <c r="B51" s="124" t="s">
        <v>212</v>
      </c>
      <c r="C51" s="125" t="s">
        <v>47</v>
      </c>
      <c r="D51" s="123">
        <v>3401997</v>
      </c>
      <c r="E51" s="124">
        <v>1.4999999999999999E-2</v>
      </c>
      <c r="F51" s="124">
        <v>0.76190000000000002</v>
      </c>
      <c r="G51" s="124">
        <v>3556</v>
      </c>
      <c r="H51" s="124">
        <v>384683900</v>
      </c>
      <c r="I51" s="124">
        <v>9.9000000000000005E-2</v>
      </c>
      <c r="J51" s="124">
        <v>0.15909999999999999</v>
      </c>
      <c r="K51" s="125">
        <v>1131580.3234750463</v>
      </c>
      <c r="L51" s="126">
        <v>120719515</v>
      </c>
      <c r="M51" s="127">
        <v>19206474</v>
      </c>
      <c r="N51" s="118"/>
    </row>
    <row r="52" spans="1:14" x14ac:dyDescent="0.25">
      <c r="A52" s="123" t="s">
        <v>180</v>
      </c>
      <c r="B52" s="124" t="s">
        <v>213</v>
      </c>
      <c r="C52" s="125" t="s">
        <v>48</v>
      </c>
      <c r="D52" s="123">
        <v>627756</v>
      </c>
      <c r="E52" s="124">
        <v>1.8800000000000001E-2</v>
      </c>
      <c r="F52" s="124">
        <v>0.74019999999999997</v>
      </c>
      <c r="G52" s="124">
        <v>525</v>
      </c>
      <c r="H52" s="124">
        <v>43524800</v>
      </c>
      <c r="I52" s="124">
        <v>0.191</v>
      </c>
      <c r="J52" s="124">
        <v>0.2072</v>
      </c>
      <c r="K52" s="125">
        <v>1119315.8058252428</v>
      </c>
      <c r="L52" s="126">
        <v>43991502</v>
      </c>
      <c r="M52" s="127">
        <v>9115039</v>
      </c>
      <c r="N52" s="118"/>
    </row>
    <row r="53" spans="1:14" x14ac:dyDescent="0.25">
      <c r="A53" s="123" t="s">
        <v>162</v>
      </c>
      <c r="B53" s="124" t="s">
        <v>214</v>
      </c>
      <c r="C53" s="125" t="s">
        <v>49</v>
      </c>
      <c r="D53" s="123">
        <v>233334</v>
      </c>
      <c r="E53" s="124">
        <v>7.3099999999999998E-2</v>
      </c>
      <c r="F53" s="124">
        <v>0.74539999999999995</v>
      </c>
      <c r="G53" s="124">
        <v>171</v>
      </c>
      <c r="H53" s="124">
        <v>16391300</v>
      </c>
      <c r="I53" s="124">
        <v>8.4000000000000005E-2</v>
      </c>
      <c r="J53" s="124">
        <v>0.31440000000000001</v>
      </c>
      <c r="K53" s="125">
        <v>592946.76190476201</v>
      </c>
      <c r="L53" s="126">
        <v>9431253</v>
      </c>
      <c r="M53" s="127">
        <v>2965185</v>
      </c>
      <c r="N53" s="118"/>
    </row>
    <row r="54" spans="1:14" x14ac:dyDescent="0.25">
      <c r="A54" s="123" t="s">
        <v>162</v>
      </c>
      <c r="B54" s="124" t="s">
        <v>215</v>
      </c>
      <c r="C54" s="125" t="s">
        <v>50</v>
      </c>
      <c r="D54" s="123">
        <v>445000</v>
      </c>
      <c r="E54" s="124">
        <v>2.1000000000000001E-2</v>
      </c>
      <c r="F54" s="124">
        <v>0.71260000000000001</v>
      </c>
      <c r="G54" s="124">
        <v>433</v>
      </c>
      <c r="H54" s="124">
        <v>33521900</v>
      </c>
      <c r="I54" s="124">
        <v>5.8000000000000003E-2</v>
      </c>
      <c r="J54" s="124">
        <v>0.40139999999999998</v>
      </c>
      <c r="K54" s="125">
        <v>857478.84282460134</v>
      </c>
      <c r="L54" s="126">
        <v>21965285</v>
      </c>
      <c r="M54" s="127">
        <v>8816865</v>
      </c>
      <c r="N54" s="118"/>
    </row>
    <row r="55" spans="1:14" x14ac:dyDescent="0.25">
      <c r="A55" s="123" t="s">
        <v>155</v>
      </c>
      <c r="B55" s="124" t="s">
        <v>216</v>
      </c>
      <c r="C55" s="125" t="s">
        <v>51</v>
      </c>
      <c r="D55" s="123">
        <v>4437215</v>
      </c>
      <c r="E55" s="124">
        <v>4.6800000000000001E-2</v>
      </c>
      <c r="F55" s="124">
        <v>0.72860000000000003</v>
      </c>
      <c r="G55" s="124">
        <v>4207</v>
      </c>
      <c r="H55" s="124">
        <v>432847000</v>
      </c>
      <c r="I55" s="124">
        <v>0.11799999999999999</v>
      </c>
      <c r="J55" s="124">
        <v>0.37490000000000001</v>
      </c>
      <c r="K55" s="125">
        <v>650047.36239782011</v>
      </c>
      <c r="L55" s="126">
        <v>84234245</v>
      </c>
      <c r="M55" s="127">
        <v>31579418</v>
      </c>
      <c r="N55" s="118"/>
    </row>
    <row r="56" spans="1:14" x14ac:dyDescent="0.25">
      <c r="A56" s="123" t="s">
        <v>180</v>
      </c>
      <c r="B56" s="124" t="s">
        <v>217</v>
      </c>
      <c r="C56" s="125" t="s">
        <v>52</v>
      </c>
      <c r="D56" s="123">
        <v>964759</v>
      </c>
      <c r="E56" s="124">
        <v>4.2799999999999998E-2</v>
      </c>
      <c r="F56" s="124">
        <v>0.86360000000000003</v>
      </c>
      <c r="G56" s="124">
        <v>866</v>
      </c>
      <c r="H56" s="124">
        <v>88682500</v>
      </c>
      <c r="I56" s="124">
        <v>0.19500000000000001</v>
      </c>
      <c r="J56" s="124">
        <v>0.1265</v>
      </c>
      <c r="K56" s="125">
        <v>320353.11598746083</v>
      </c>
      <c r="L56" s="126">
        <v>19971912</v>
      </c>
      <c r="M56" s="127">
        <v>2526446</v>
      </c>
      <c r="N56" s="118"/>
    </row>
    <row r="57" spans="1:14" x14ac:dyDescent="0.25">
      <c r="A57" s="123" t="s">
        <v>162</v>
      </c>
      <c r="B57" s="124" t="s">
        <v>218</v>
      </c>
      <c r="C57" s="125" t="s">
        <v>53</v>
      </c>
      <c r="D57" s="123">
        <v>1291256</v>
      </c>
      <c r="E57" s="124">
        <v>3.2199999999999999E-2</v>
      </c>
      <c r="F57" s="124">
        <v>0.77239999999999998</v>
      </c>
      <c r="G57" s="124">
        <v>1315</v>
      </c>
      <c r="H57" s="124">
        <v>113622000</v>
      </c>
      <c r="I57" s="124">
        <v>0.14599999999999999</v>
      </c>
      <c r="J57" s="124">
        <v>0.2288</v>
      </c>
      <c r="K57" s="125">
        <v>1204766.523952096</v>
      </c>
      <c r="L57" s="126">
        <v>88282233.999999985</v>
      </c>
      <c r="M57" s="127">
        <v>20198975</v>
      </c>
      <c r="N57" s="118"/>
    </row>
    <row r="58" spans="1:14" x14ac:dyDescent="0.25">
      <c r="A58" s="123" t="s">
        <v>219</v>
      </c>
      <c r="B58" s="124" t="s">
        <v>220</v>
      </c>
      <c r="C58" s="125" t="s">
        <v>54</v>
      </c>
      <c r="D58" s="123">
        <v>1458874</v>
      </c>
      <c r="E58" s="124">
        <v>2.9600000000000001E-2</v>
      </c>
      <c r="F58" s="124">
        <v>0.75229999999999997</v>
      </c>
      <c r="G58" s="124">
        <v>1204</v>
      </c>
      <c r="H58" s="124">
        <v>126030000</v>
      </c>
      <c r="I58" s="124">
        <v>0.106</v>
      </c>
      <c r="J58" s="124">
        <v>0.16900000000000001</v>
      </c>
      <c r="K58" s="125">
        <v>630552.03791069926</v>
      </c>
      <c r="L58" s="126">
        <v>79208621</v>
      </c>
      <c r="M58" s="127">
        <v>13386256</v>
      </c>
      <c r="N58" s="118"/>
    </row>
    <row r="59" spans="1:14" x14ac:dyDescent="0.25">
      <c r="A59" s="123" t="s">
        <v>221</v>
      </c>
      <c r="B59" s="124" t="s">
        <v>222</v>
      </c>
      <c r="C59" s="125" t="s">
        <v>55</v>
      </c>
      <c r="D59" s="123">
        <v>708003</v>
      </c>
      <c r="E59" s="124">
        <v>5.2299999999999999E-2</v>
      </c>
      <c r="F59" s="124">
        <v>0.84340000000000004</v>
      </c>
      <c r="G59" s="124">
        <v>552</v>
      </c>
      <c r="H59" s="124">
        <v>47214600</v>
      </c>
      <c r="I59" s="124">
        <v>0.17199999999999999</v>
      </c>
      <c r="J59" s="124">
        <v>9.0499999999999997E-2</v>
      </c>
      <c r="K59" s="125">
        <v>1182749.1440329219</v>
      </c>
      <c r="L59" s="126">
        <v>49334370</v>
      </c>
      <c r="M59" s="127">
        <v>4464760</v>
      </c>
      <c r="N59" s="118"/>
    </row>
    <row r="60" spans="1:14" x14ac:dyDescent="0.25">
      <c r="A60" s="123" t="s">
        <v>223</v>
      </c>
      <c r="B60" s="124" t="s">
        <v>224</v>
      </c>
      <c r="C60" s="125" t="s">
        <v>56</v>
      </c>
      <c r="D60" s="123">
        <v>304408</v>
      </c>
      <c r="E60" s="124">
        <v>-5.3100000000000001E-2</v>
      </c>
      <c r="F60" s="124">
        <v>0.7127</v>
      </c>
      <c r="G60" s="124">
        <v>563</v>
      </c>
      <c r="H60" s="124">
        <v>61113100</v>
      </c>
      <c r="I60" s="124">
        <v>8.4000000000000005E-2</v>
      </c>
      <c r="J60" s="124">
        <v>0.32269999999999999</v>
      </c>
      <c r="K60" s="125">
        <v>1014208.9936102236</v>
      </c>
      <c r="L60" s="126">
        <v>26553028.999999996</v>
      </c>
      <c r="M60" s="127">
        <v>8568662</v>
      </c>
      <c r="N60" s="118"/>
    </row>
    <row r="61" spans="1:14" x14ac:dyDescent="0.25">
      <c r="A61" s="123" t="s">
        <v>225</v>
      </c>
      <c r="B61" s="124" t="s">
        <v>226</v>
      </c>
      <c r="C61" s="125" t="s">
        <v>57</v>
      </c>
      <c r="D61" s="123">
        <v>237249</v>
      </c>
      <c r="E61" s="124">
        <v>1.6299999999999999E-2</v>
      </c>
      <c r="F61" s="124">
        <v>0.80649999999999999</v>
      </c>
      <c r="G61" s="124">
        <v>273</v>
      </c>
      <c r="H61" s="124">
        <v>22826700</v>
      </c>
      <c r="I61" s="124">
        <v>0.129</v>
      </c>
      <c r="J61" s="124">
        <v>0.23630000000000001</v>
      </c>
      <c r="K61" s="125">
        <v>245744.2271762208</v>
      </c>
      <c r="L61" s="126">
        <v>14875388</v>
      </c>
      <c r="M61" s="127">
        <v>3515054</v>
      </c>
      <c r="N61" s="118"/>
    </row>
    <row r="62" spans="1:14" x14ac:dyDescent="0.25">
      <c r="A62" s="123" t="s">
        <v>149</v>
      </c>
      <c r="B62" s="124" t="s">
        <v>227</v>
      </c>
      <c r="C62" s="125" t="s">
        <v>58</v>
      </c>
      <c r="D62" s="123">
        <v>619924</v>
      </c>
      <c r="E62" s="124">
        <v>4.0000000000000001E-3</v>
      </c>
      <c r="F62" s="124">
        <v>0.8014</v>
      </c>
      <c r="G62" s="124">
        <v>967</v>
      </c>
      <c r="H62" s="124">
        <v>79630900</v>
      </c>
      <c r="I62" s="124">
        <v>0.13200000000000001</v>
      </c>
      <c r="J62" s="124">
        <v>7.7299999999999994E-2</v>
      </c>
      <c r="K62" s="125">
        <v>850051.04395604401</v>
      </c>
      <c r="L62" s="126">
        <v>20428419</v>
      </c>
      <c r="M62" s="127">
        <v>1579116</v>
      </c>
      <c r="N62" s="118"/>
    </row>
    <row r="63" spans="1:14" x14ac:dyDescent="0.25">
      <c r="A63" s="123" t="s">
        <v>170</v>
      </c>
      <c r="B63" s="124" t="s">
        <v>228</v>
      </c>
      <c r="C63" s="125" t="s">
        <v>59</v>
      </c>
      <c r="D63" s="123">
        <v>68292</v>
      </c>
      <c r="E63" s="124">
        <v>2.3E-2</v>
      </c>
      <c r="F63" s="124">
        <v>0.8054</v>
      </c>
      <c r="G63" s="124">
        <v>1366</v>
      </c>
      <c r="H63" s="124">
        <v>152854500</v>
      </c>
      <c r="I63" s="124">
        <v>7.4999999999999997E-2</v>
      </c>
      <c r="J63" s="124">
        <v>0.38619999999999999</v>
      </c>
      <c r="K63" s="125">
        <v>596031.91338582675</v>
      </c>
      <c r="L63" s="126">
        <v>17037882</v>
      </c>
      <c r="M63" s="127">
        <v>6580030</v>
      </c>
      <c r="N63" s="118"/>
    </row>
    <row r="64" spans="1:14" x14ac:dyDescent="0.25">
      <c r="A64" s="123" t="s">
        <v>185</v>
      </c>
      <c r="B64" s="124" t="s">
        <v>229</v>
      </c>
      <c r="C64" s="125" t="s">
        <v>60</v>
      </c>
      <c r="D64" s="123">
        <v>4116523</v>
      </c>
      <c r="E64" s="124">
        <v>2.9899999999999999E-2</v>
      </c>
      <c r="F64" s="124">
        <v>0.74519999999999997</v>
      </c>
      <c r="G64" s="124">
        <v>7354</v>
      </c>
      <c r="H64" s="124">
        <v>629626000</v>
      </c>
      <c r="I64" s="124">
        <v>0.153</v>
      </c>
      <c r="J64" s="124">
        <v>0.1822</v>
      </c>
      <c r="K64" s="125">
        <v>1201163.779836124</v>
      </c>
      <c r="L64" s="126">
        <v>515808707</v>
      </c>
      <c r="M64" s="127">
        <v>93980346</v>
      </c>
      <c r="N64" s="118"/>
    </row>
    <row r="65" spans="1:14" x14ac:dyDescent="0.25">
      <c r="A65" s="123" t="s">
        <v>162</v>
      </c>
      <c r="B65" s="124" t="s">
        <v>230</v>
      </c>
      <c r="C65" s="125" t="s">
        <v>61</v>
      </c>
      <c r="D65" s="123">
        <v>4336889</v>
      </c>
      <c r="E65" s="124">
        <v>2.53E-2</v>
      </c>
      <c r="F65" s="124">
        <v>0.67500000000000004</v>
      </c>
      <c r="G65" s="124">
        <v>6666</v>
      </c>
      <c r="H65" s="124">
        <v>589343700</v>
      </c>
      <c r="I65" s="124">
        <v>0.16900000000000001</v>
      </c>
      <c r="J65" s="124">
        <v>0.26840000000000003</v>
      </c>
      <c r="K65" s="125">
        <v>1632011.7422876128</v>
      </c>
      <c r="L65" s="126">
        <v>582670827</v>
      </c>
      <c r="M65" s="127">
        <v>156388849</v>
      </c>
      <c r="N65" s="118"/>
    </row>
    <row r="66" spans="1:14" x14ac:dyDescent="0.25">
      <c r="A66" s="123" t="s">
        <v>147</v>
      </c>
      <c r="B66" s="124" t="s">
        <v>231</v>
      </c>
      <c r="C66" s="125" t="s">
        <v>62</v>
      </c>
      <c r="D66" s="123">
        <v>4504812</v>
      </c>
      <c r="E66" s="124">
        <v>5.6599999999999998E-2</v>
      </c>
      <c r="F66" s="124">
        <v>0.56340000000000001</v>
      </c>
      <c r="G66" s="124">
        <v>3192</v>
      </c>
      <c r="H66" s="124">
        <v>341477500</v>
      </c>
      <c r="I66" s="124">
        <v>8.6999999999999994E-2</v>
      </c>
      <c r="J66" s="124">
        <v>9.1200000000000003E-2</v>
      </c>
      <c r="K66" s="125">
        <v>1982295.0237467019</v>
      </c>
      <c r="L66" s="126">
        <v>65291892.999999993</v>
      </c>
      <c r="M66" s="127">
        <v>5954620</v>
      </c>
      <c r="N66" s="118"/>
    </row>
    <row r="67" spans="1:14" x14ac:dyDescent="0.25">
      <c r="A67" s="123"/>
      <c r="B67" s="124">
        <v>0</v>
      </c>
      <c r="C67" s="125">
        <v>0</v>
      </c>
      <c r="D67" s="123"/>
      <c r="E67" s="124"/>
      <c r="F67" s="124"/>
      <c r="G67" s="124"/>
      <c r="H67" s="124"/>
      <c r="I67" s="124"/>
      <c r="J67" s="124"/>
      <c r="K67" s="125"/>
      <c r="L67" s="123"/>
      <c r="M67" s="129"/>
      <c r="N67" s="118"/>
    </row>
    <row r="68" spans="1:14" x14ac:dyDescent="0.25">
      <c r="A68" s="123"/>
      <c r="B68" s="124">
        <v>0</v>
      </c>
      <c r="C68" s="125">
        <v>0</v>
      </c>
      <c r="D68" s="123"/>
      <c r="E68" s="124"/>
      <c r="F68" s="124"/>
      <c r="G68" s="124"/>
      <c r="H68" s="124"/>
      <c r="I68" s="124"/>
      <c r="J68" s="124"/>
      <c r="K68" s="125"/>
      <c r="L68" s="123"/>
      <c r="M68" s="125"/>
      <c r="N68" s="118"/>
    </row>
    <row r="69" spans="1:14" x14ac:dyDescent="0.25">
      <c r="A69" s="123"/>
      <c r="B69" s="124">
        <v>0</v>
      </c>
      <c r="C69" s="125">
        <v>0</v>
      </c>
      <c r="D69" s="123"/>
      <c r="E69" s="124"/>
      <c r="F69" s="124"/>
      <c r="G69" s="124"/>
      <c r="H69" s="124"/>
      <c r="I69" s="124"/>
      <c r="J69" s="124"/>
      <c r="K69" s="125"/>
      <c r="L69" s="123"/>
      <c r="M69" s="125"/>
      <c r="N69" s="118"/>
    </row>
    <row r="70" spans="1:14" x14ac:dyDescent="0.25">
      <c r="A70" s="123"/>
      <c r="B70" s="124">
        <v>0</v>
      </c>
      <c r="C70" s="125">
        <v>0</v>
      </c>
      <c r="D70" s="123"/>
      <c r="E70" s="124"/>
      <c r="F70" s="124"/>
      <c r="G70" s="124"/>
      <c r="H70" s="124"/>
      <c r="I70" s="124"/>
      <c r="J70" s="124"/>
      <c r="K70" s="125"/>
      <c r="L70" s="123"/>
      <c r="M70" s="125"/>
      <c r="N70" s="118"/>
    </row>
    <row r="71" spans="1:14" x14ac:dyDescent="0.25">
      <c r="A71" s="123"/>
      <c r="B71" s="124">
        <v>0</v>
      </c>
      <c r="C71" s="125">
        <v>0</v>
      </c>
      <c r="D71" s="123"/>
      <c r="E71" s="124"/>
      <c r="F71" s="124"/>
      <c r="G71" s="124"/>
      <c r="H71" s="124"/>
      <c r="I71" s="124"/>
      <c r="J71" s="124"/>
      <c r="K71" s="125"/>
      <c r="L71" s="123"/>
      <c r="M71" s="125"/>
      <c r="N71" s="118"/>
    </row>
    <row r="72" spans="1:14" x14ac:dyDescent="0.25">
      <c r="A72" s="123"/>
      <c r="B72" s="124">
        <v>0</v>
      </c>
      <c r="C72" s="125">
        <v>0</v>
      </c>
      <c r="D72" s="123"/>
      <c r="E72" s="124"/>
      <c r="F72" s="124"/>
      <c r="G72" s="124"/>
      <c r="H72" s="124"/>
      <c r="I72" s="124"/>
      <c r="J72" s="124"/>
      <c r="K72" s="125"/>
      <c r="L72" s="123"/>
      <c r="M72" s="125"/>
      <c r="N72" s="118"/>
    </row>
    <row r="73" spans="1:14" x14ac:dyDescent="0.25">
      <c r="A73" s="123"/>
      <c r="B73" s="124">
        <v>0</v>
      </c>
      <c r="C73" s="125">
        <v>0</v>
      </c>
      <c r="D73" s="123"/>
      <c r="E73" s="124"/>
      <c r="F73" s="124"/>
      <c r="G73" s="124"/>
      <c r="H73" s="124"/>
      <c r="I73" s="124"/>
      <c r="J73" s="124"/>
      <c r="K73" s="125"/>
      <c r="L73" s="123"/>
      <c r="M73" s="125"/>
      <c r="N73" s="118"/>
    </row>
    <row r="74" spans="1:14" x14ac:dyDescent="0.25">
      <c r="A74" s="123"/>
      <c r="B74" s="124">
        <v>0</v>
      </c>
      <c r="C74" s="125">
        <v>0</v>
      </c>
      <c r="D74" s="123"/>
      <c r="E74" s="124"/>
      <c r="F74" s="124"/>
      <c r="G74" s="124"/>
      <c r="H74" s="124"/>
      <c r="I74" s="124"/>
      <c r="J74" s="124"/>
      <c r="K74" s="125"/>
      <c r="L74" s="123"/>
      <c r="M74" s="125"/>
      <c r="N74" s="118"/>
    </row>
    <row r="75" spans="1:14" x14ac:dyDescent="0.25">
      <c r="A75" s="123"/>
      <c r="B75" s="124">
        <v>0</v>
      </c>
      <c r="C75" s="125">
        <v>0</v>
      </c>
      <c r="D75" s="123"/>
      <c r="E75" s="124"/>
      <c r="F75" s="124"/>
      <c r="G75" s="124"/>
      <c r="H75" s="124"/>
      <c r="I75" s="124"/>
      <c r="J75" s="124"/>
      <c r="K75" s="125"/>
      <c r="L75" s="123"/>
      <c r="M75" s="125"/>
      <c r="N75" s="118"/>
    </row>
    <row r="76" spans="1:14" x14ac:dyDescent="0.25">
      <c r="A76" s="123"/>
      <c r="B76" s="124">
        <v>0</v>
      </c>
      <c r="C76" s="125">
        <v>0</v>
      </c>
      <c r="D76" s="123"/>
      <c r="E76" s="124"/>
      <c r="F76" s="124"/>
      <c r="G76" s="124"/>
      <c r="H76" s="124"/>
      <c r="I76" s="124"/>
      <c r="J76" s="124"/>
      <c r="K76" s="125"/>
      <c r="L76" s="123"/>
      <c r="M76" s="125"/>
      <c r="N76" s="118"/>
    </row>
    <row r="77" spans="1:14" x14ac:dyDescent="0.25">
      <c r="A77" s="123"/>
      <c r="B77" s="124">
        <v>0</v>
      </c>
      <c r="C77" s="125">
        <v>0</v>
      </c>
      <c r="D77" s="123"/>
      <c r="E77" s="124"/>
      <c r="F77" s="124"/>
      <c r="G77" s="124"/>
      <c r="H77" s="124"/>
      <c r="I77" s="124"/>
      <c r="J77" s="124"/>
      <c r="K77" s="125"/>
      <c r="L77" s="123"/>
      <c r="M77" s="125"/>
      <c r="N77" s="118"/>
    </row>
    <row r="78" spans="1:14" x14ac:dyDescent="0.25">
      <c r="A78" s="123"/>
      <c r="B78" s="124">
        <v>0</v>
      </c>
      <c r="C78" s="125">
        <v>0</v>
      </c>
      <c r="D78" s="123"/>
      <c r="E78" s="124"/>
      <c r="F78" s="124"/>
      <c r="G78" s="124"/>
      <c r="H78" s="124"/>
      <c r="I78" s="124"/>
      <c r="J78" s="124"/>
      <c r="K78" s="125"/>
      <c r="L78" s="123"/>
      <c r="M78" s="125"/>
      <c r="N78" s="118"/>
    </row>
    <row r="79" spans="1:14" x14ac:dyDescent="0.25">
      <c r="A79" s="123"/>
      <c r="B79" s="124">
        <v>0</v>
      </c>
      <c r="C79" s="125">
        <v>0</v>
      </c>
      <c r="D79" s="123"/>
      <c r="E79" s="124"/>
      <c r="F79" s="124"/>
      <c r="G79" s="124"/>
      <c r="H79" s="124"/>
      <c r="I79" s="124"/>
      <c r="J79" s="124"/>
      <c r="K79" s="125"/>
      <c r="L79" s="123"/>
      <c r="M79" s="125"/>
      <c r="N79" s="118"/>
    </row>
    <row r="80" spans="1:14" x14ac:dyDescent="0.25">
      <c r="A80" s="123"/>
      <c r="B80" s="124">
        <v>0</v>
      </c>
      <c r="C80" s="125">
        <v>0</v>
      </c>
      <c r="D80" s="123"/>
      <c r="E80" s="124"/>
      <c r="F80" s="124"/>
      <c r="G80" s="124"/>
      <c r="H80" s="124"/>
      <c r="I80" s="124"/>
      <c r="J80" s="124"/>
      <c r="K80" s="125"/>
      <c r="L80" s="123"/>
      <c r="M80" s="125"/>
      <c r="N80" s="118"/>
    </row>
    <row r="81" spans="1:14" x14ac:dyDescent="0.25">
      <c r="A81" s="123"/>
      <c r="B81" s="124">
        <v>0</v>
      </c>
      <c r="C81" s="125">
        <v>0</v>
      </c>
      <c r="D81" s="123"/>
      <c r="E81" s="124"/>
      <c r="F81" s="124"/>
      <c r="G81" s="124"/>
      <c r="H81" s="124"/>
      <c r="I81" s="124"/>
      <c r="J81" s="124"/>
      <c r="K81" s="125"/>
      <c r="L81" s="123"/>
      <c r="M81" s="125"/>
      <c r="N81" s="118"/>
    </row>
    <row r="82" spans="1:14" x14ac:dyDescent="0.25">
      <c r="A82" s="123"/>
      <c r="B82" s="124">
        <v>0</v>
      </c>
      <c r="C82" s="125">
        <v>0</v>
      </c>
      <c r="D82" s="123"/>
      <c r="E82" s="124"/>
      <c r="F82" s="124"/>
      <c r="G82" s="124"/>
      <c r="H82" s="124"/>
      <c r="I82" s="124"/>
      <c r="J82" s="124"/>
      <c r="K82" s="125"/>
      <c r="L82" s="123"/>
      <c r="M82" s="125"/>
      <c r="N82" s="118"/>
    </row>
    <row r="83" spans="1:14" x14ac:dyDescent="0.25">
      <c r="A83" s="123"/>
      <c r="B83" s="124">
        <v>0</v>
      </c>
      <c r="C83" s="125">
        <v>0</v>
      </c>
      <c r="D83" s="123"/>
      <c r="E83" s="124"/>
      <c r="F83" s="124"/>
      <c r="G83" s="124"/>
      <c r="H83" s="124"/>
      <c r="I83" s="124"/>
      <c r="J83" s="124"/>
      <c r="K83" s="125"/>
      <c r="L83" s="123"/>
      <c r="M83" s="125"/>
      <c r="N83" s="118"/>
    </row>
    <row r="84" spans="1:14" x14ac:dyDescent="0.25">
      <c r="A84" s="123"/>
      <c r="B84" s="124">
        <v>0</v>
      </c>
      <c r="C84" s="125">
        <v>0</v>
      </c>
      <c r="D84" s="123"/>
      <c r="E84" s="124"/>
      <c r="F84" s="124"/>
      <c r="G84" s="124"/>
      <c r="H84" s="124"/>
      <c r="I84" s="124"/>
      <c r="J84" s="124"/>
      <c r="K84" s="125"/>
      <c r="L84" s="123"/>
      <c r="M84" s="125"/>
      <c r="N84" s="118"/>
    </row>
    <row r="85" spans="1:14" x14ac:dyDescent="0.25">
      <c r="A85" s="123"/>
      <c r="B85" s="124">
        <v>0</v>
      </c>
      <c r="C85" s="125">
        <v>0</v>
      </c>
      <c r="D85" s="123"/>
      <c r="E85" s="124"/>
      <c r="F85" s="124"/>
      <c r="G85" s="124"/>
      <c r="H85" s="124"/>
      <c r="I85" s="124"/>
      <c r="J85" s="124"/>
      <c r="K85" s="125"/>
      <c r="L85" s="123"/>
      <c r="M85" s="125"/>
      <c r="N85" s="118"/>
    </row>
    <row r="86" spans="1:14" x14ac:dyDescent="0.25">
      <c r="A86" s="123"/>
      <c r="B86" s="124">
        <v>0</v>
      </c>
      <c r="C86" s="125">
        <v>0</v>
      </c>
      <c r="D86" s="123"/>
      <c r="E86" s="124"/>
      <c r="F86" s="124"/>
      <c r="G86" s="124"/>
      <c r="H86" s="124"/>
      <c r="I86" s="124"/>
      <c r="J86" s="124"/>
      <c r="K86" s="125"/>
      <c r="L86" s="123"/>
      <c r="M86" s="125"/>
      <c r="N86" s="118"/>
    </row>
    <row r="87" spans="1:14" x14ac:dyDescent="0.25">
      <c r="A87" s="123"/>
      <c r="B87" s="124">
        <v>0</v>
      </c>
      <c r="C87" s="125">
        <v>0</v>
      </c>
      <c r="D87" s="123"/>
      <c r="E87" s="124"/>
      <c r="F87" s="124"/>
      <c r="G87" s="124"/>
      <c r="H87" s="124"/>
      <c r="I87" s="124"/>
      <c r="J87" s="124"/>
      <c r="K87" s="125"/>
      <c r="L87" s="123"/>
      <c r="M87" s="125"/>
      <c r="N87" s="118"/>
    </row>
    <row r="88" spans="1:14" x14ac:dyDescent="0.25">
      <c r="A88" s="123"/>
      <c r="B88" s="124">
        <v>0</v>
      </c>
      <c r="C88" s="125">
        <v>0</v>
      </c>
      <c r="D88" s="123"/>
      <c r="E88" s="124"/>
      <c r="F88" s="124"/>
      <c r="G88" s="124"/>
      <c r="H88" s="124"/>
      <c r="I88" s="124"/>
      <c r="J88" s="124"/>
      <c r="K88" s="125"/>
      <c r="L88" s="123"/>
      <c r="M88" s="125"/>
      <c r="N88" s="118"/>
    </row>
    <row r="89" spans="1:14" x14ac:dyDescent="0.25">
      <c r="A89" s="123"/>
      <c r="B89" s="124">
        <v>0</v>
      </c>
      <c r="C89" s="125">
        <v>0</v>
      </c>
      <c r="D89" s="123"/>
      <c r="E89" s="124"/>
      <c r="F89" s="124"/>
      <c r="G89" s="124"/>
      <c r="H89" s="124"/>
      <c r="I89" s="124"/>
      <c r="J89" s="124"/>
      <c r="K89" s="125"/>
      <c r="L89" s="123"/>
      <c r="M89" s="125"/>
      <c r="N89" s="118"/>
    </row>
    <row r="90" spans="1:14" x14ac:dyDescent="0.25">
      <c r="A90" s="123"/>
      <c r="B90" s="124">
        <v>0</v>
      </c>
      <c r="C90" s="125">
        <v>0</v>
      </c>
      <c r="D90" s="123"/>
      <c r="E90" s="124"/>
      <c r="F90" s="124"/>
      <c r="G90" s="124"/>
      <c r="H90" s="124"/>
      <c r="I90" s="124"/>
      <c r="J90" s="124"/>
      <c r="K90" s="125"/>
      <c r="L90" s="123"/>
      <c r="M90" s="125"/>
      <c r="N90" s="118"/>
    </row>
    <row r="91" spans="1:14" x14ac:dyDescent="0.25">
      <c r="A91" s="123"/>
      <c r="B91" s="124">
        <v>0</v>
      </c>
      <c r="C91" s="125">
        <v>0</v>
      </c>
      <c r="D91" s="123"/>
      <c r="E91" s="124"/>
      <c r="F91" s="124"/>
      <c r="G91" s="124"/>
      <c r="H91" s="124"/>
      <c r="I91" s="124"/>
      <c r="J91" s="124"/>
      <c r="K91" s="125"/>
      <c r="L91" s="123"/>
      <c r="M91" s="125"/>
      <c r="N91" s="118"/>
    </row>
    <row r="92" spans="1:14" x14ac:dyDescent="0.25">
      <c r="A92" s="123"/>
      <c r="B92" s="124">
        <v>0</v>
      </c>
      <c r="C92" s="125">
        <v>0</v>
      </c>
      <c r="D92" s="123"/>
      <c r="E92" s="124"/>
      <c r="F92" s="124"/>
      <c r="G92" s="124"/>
      <c r="H92" s="124"/>
      <c r="I92" s="124"/>
      <c r="J92" s="124"/>
      <c r="K92" s="125"/>
      <c r="L92" s="123"/>
      <c r="M92" s="125"/>
      <c r="N92" s="118"/>
    </row>
    <row r="93" spans="1:14" x14ac:dyDescent="0.25">
      <c r="A93" s="123"/>
      <c r="B93" s="124">
        <v>0</v>
      </c>
      <c r="C93" s="125">
        <v>0</v>
      </c>
      <c r="D93" s="123"/>
      <c r="E93" s="124"/>
      <c r="F93" s="124"/>
      <c r="G93" s="124"/>
      <c r="H93" s="124"/>
      <c r="I93" s="124"/>
      <c r="J93" s="124"/>
      <c r="K93" s="125"/>
      <c r="L93" s="123"/>
      <c r="M93" s="125"/>
      <c r="N93" s="118"/>
    </row>
    <row r="94" spans="1:14" x14ac:dyDescent="0.25">
      <c r="A94" s="123"/>
      <c r="B94" s="124">
        <v>0</v>
      </c>
      <c r="C94" s="125">
        <v>0</v>
      </c>
      <c r="D94" s="123"/>
      <c r="E94" s="124"/>
      <c r="F94" s="124"/>
      <c r="G94" s="124"/>
      <c r="H94" s="124"/>
      <c r="I94" s="124"/>
      <c r="J94" s="124"/>
      <c r="K94" s="125"/>
      <c r="L94" s="123"/>
      <c r="M94" s="125"/>
      <c r="N94" s="118"/>
    </row>
    <row r="95" spans="1:14" x14ac:dyDescent="0.25">
      <c r="A95" s="123"/>
      <c r="B95" s="124">
        <v>0</v>
      </c>
      <c r="C95" s="125">
        <v>0</v>
      </c>
      <c r="D95" s="123"/>
      <c r="E95" s="124"/>
      <c r="F95" s="124"/>
      <c r="G95" s="124"/>
      <c r="H95" s="124"/>
      <c r="I95" s="124"/>
      <c r="J95" s="124"/>
      <c r="K95" s="125"/>
      <c r="L95" s="123"/>
      <c r="M95" s="125"/>
      <c r="N95" s="118"/>
    </row>
    <row r="96" spans="1:14" x14ac:dyDescent="0.25">
      <c r="A96" s="123"/>
      <c r="B96" s="124">
        <v>0</v>
      </c>
      <c r="C96" s="125">
        <v>0</v>
      </c>
      <c r="D96" s="123"/>
      <c r="E96" s="124"/>
      <c r="F96" s="124"/>
      <c r="G96" s="124"/>
      <c r="H96" s="124"/>
      <c r="I96" s="124"/>
      <c r="J96" s="124"/>
      <c r="K96" s="125"/>
      <c r="L96" s="123"/>
      <c r="M96" s="125"/>
      <c r="N96" s="118"/>
    </row>
    <row r="97" spans="1:14" x14ac:dyDescent="0.25">
      <c r="A97" s="123"/>
      <c r="B97" s="124">
        <v>0</v>
      </c>
      <c r="C97" s="125">
        <v>0</v>
      </c>
      <c r="D97" s="123"/>
      <c r="E97" s="124"/>
      <c r="F97" s="124"/>
      <c r="G97" s="124"/>
      <c r="H97" s="124"/>
      <c r="I97" s="124"/>
      <c r="J97" s="124"/>
      <c r="K97" s="125"/>
      <c r="L97" s="123"/>
      <c r="M97" s="125"/>
      <c r="N97" s="118"/>
    </row>
    <row r="98" spans="1:14" x14ac:dyDescent="0.25">
      <c r="A98" s="123"/>
      <c r="B98" s="124">
        <v>0</v>
      </c>
      <c r="C98" s="125">
        <v>0</v>
      </c>
      <c r="D98" s="123"/>
      <c r="E98" s="124"/>
      <c r="F98" s="124"/>
      <c r="G98" s="124"/>
      <c r="H98" s="124"/>
      <c r="I98" s="124"/>
      <c r="J98" s="124"/>
      <c r="K98" s="125"/>
      <c r="L98" s="123"/>
      <c r="M98" s="125"/>
      <c r="N98" s="118"/>
    </row>
    <row r="99" spans="1:14" x14ac:dyDescent="0.25">
      <c r="A99" s="123"/>
      <c r="B99" s="124">
        <v>0</v>
      </c>
      <c r="C99" s="125">
        <v>0</v>
      </c>
      <c r="D99" s="123"/>
      <c r="E99" s="124"/>
      <c r="F99" s="124"/>
      <c r="G99" s="124"/>
      <c r="H99" s="124"/>
      <c r="I99" s="124"/>
      <c r="J99" s="124"/>
      <c r="K99" s="125"/>
      <c r="L99" s="123"/>
      <c r="M99" s="125"/>
      <c r="N99" s="118"/>
    </row>
    <row r="100" spans="1:14" x14ac:dyDescent="0.25">
      <c r="A100" s="123"/>
      <c r="B100" s="124">
        <v>0</v>
      </c>
      <c r="C100" s="125">
        <v>0</v>
      </c>
      <c r="D100" s="123"/>
      <c r="E100" s="124"/>
      <c r="F100" s="124"/>
      <c r="G100" s="124"/>
      <c r="H100" s="124"/>
      <c r="I100" s="124"/>
      <c r="J100" s="124"/>
      <c r="K100" s="125"/>
      <c r="L100" s="123"/>
      <c r="M100" s="125"/>
      <c r="N100" s="118"/>
    </row>
    <row r="101" spans="1:14" ht="15.75" thickBot="1" x14ac:dyDescent="0.3">
      <c r="A101" s="130"/>
      <c r="B101" s="131">
        <v>0</v>
      </c>
      <c r="C101" s="132">
        <v>0</v>
      </c>
      <c r="D101" s="130"/>
      <c r="E101" s="131"/>
      <c r="F101" s="131"/>
      <c r="G101" s="131"/>
      <c r="H101" s="131"/>
      <c r="I101" s="131"/>
      <c r="J101" s="131"/>
      <c r="K101" s="132"/>
      <c r="L101" s="130"/>
      <c r="M101" s="132"/>
      <c r="N101" s="118"/>
    </row>
    <row r="102" spans="1:14" hidden="1" x14ac:dyDescent="0.25">
      <c r="B102" s="133">
        <v>0</v>
      </c>
      <c r="C102" s="133">
        <v>0</v>
      </c>
      <c r="D102" s="133">
        <v>0</v>
      </c>
    </row>
    <row r="103" spans="1:14" hidden="1" x14ac:dyDescent="0.25">
      <c r="B103" s="133">
        <v>0</v>
      </c>
      <c r="C103" s="133">
        <v>0</v>
      </c>
      <c r="D103" s="133">
        <v>0</v>
      </c>
    </row>
    <row r="104" spans="1:14" hidden="1" x14ac:dyDescent="0.25">
      <c r="B104" s="133">
        <v>0</v>
      </c>
      <c r="C104" s="133">
        <v>0</v>
      </c>
      <c r="D104" s="133">
        <v>0</v>
      </c>
    </row>
    <row r="105" spans="1:14" hidden="1" x14ac:dyDescent="0.25">
      <c r="B105" s="133">
        <v>0</v>
      </c>
      <c r="C105" s="133">
        <v>0</v>
      </c>
      <c r="D105" s="133">
        <v>0</v>
      </c>
    </row>
    <row r="106" spans="1:14" hidden="1" x14ac:dyDescent="0.25">
      <c r="B106" s="133">
        <v>0</v>
      </c>
      <c r="C106" s="133">
        <v>0</v>
      </c>
      <c r="D106" s="133">
        <v>0</v>
      </c>
    </row>
    <row r="107" spans="1:14" hidden="1" x14ac:dyDescent="0.25">
      <c r="B107" s="133">
        <v>0</v>
      </c>
      <c r="C107" s="133">
        <v>0</v>
      </c>
      <c r="D107" s="133">
        <v>0</v>
      </c>
    </row>
    <row r="108" spans="1:14" hidden="1" x14ac:dyDescent="0.25">
      <c r="B108" s="133">
        <v>0</v>
      </c>
      <c r="C108" s="133">
        <v>0</v>
      </c>
      <c r="D108" s="133">
        <v>0</v>
      </c>
    </row>
    <row r="109" spans="1:14" hidden="1" x14ac:dyDescent="0.25">
      <c r="B109" s="133">
        <v>0</v>
      </c>
      <c r="C109" s="133">
        <v>0</v>
      </c>
      <c r="D109" s="133">
        <v>0</v>
      </c>
    </row>
    <row r="110" spans="1:14" hidden="1" x14ac:dyDescent="0.25">
      <c r="C110" s="133">
        <v>0</v>
      </c>
      <c r="D110" s="133">
        <v>0</v>
      </c>
    </row>
  </sheetData>
  <sheetProtection algorithmName="SHA-512" hashValue="gXrT64BzzZnULaZBZKtSZnXSlHv/nCjHwpd842ulyORE5wCqjW+oR9TsfTAslxwgDEJRXFt2GObmLgeIMb4vjA==" saltValue="/SfPOyyxzGH+JxO0cZaMKQ==" spinCount="100000" sheet="1" objects="1" scenarios="1" selectLockedCells="1"/>
  <mergeCells count="5">
    <mergeCell ref="D2:K2"/>
    <mergeCell ref="D5:K5"/>
    <mergeCell ref="L5:M5"/>
    <mergeCell ref="A5:C5"/>
    <mergeCell ref="A1:B1"/>
  </mergeCells>
  <pageMargins left="0.7" right="0.7" top="0.75" bottom="0.75" header="0.3" footer="0.3"/>
  <pageSetup paperSize="17"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8</xdr:col>
                <xdr:colOff>76200</xdr:colOff>
                <xdr:row>0</xdr:row>
                <xdr:rowOff>228600</xdr:rowOff>
              </from>
              <to>
                <xdr:col>10</xdr:col>
                <xdr:colOff>180975</xdr:colOff>
                <xdr:row>0</xdr:row>
                <xdr:rowOff>866775</xdr:rowOff>
              </to>
            </anchor>
          </controlPr>
        </control>
      </mc:Choice>
      <mc:Fallback>
        <control shapeId="2050" r:id="rId4" name="CommandButton1"/>
      </mc:Fallback>
    </mc:AlternateContent>
    <mc:AlternateContent xmlns:mc="http://schemas.openxmlformats.org/markup-compatibility/2006">
      <mc:Choice Requires="x14">
        <control shapeId="2052" r:id="rId6" name="Button 4">
          <controlPr defaultSize="0" print="0" autoFill="0" autoPict="0" macro="[0]!CheckQuizDone">
            <anchor moveWithCells="1" sizeWithCells="1">
              <from>
                <xdr:col>12</xdr:col>
                <xdr:colOff>485775</xdr:colOff>
                <xdr:row>0</xdr:row>
                <xdr:rowOff>209550</xdr:rowOff>
              </from>
              <to>
                <xdr:col>13</xdr:col>
                <xdr:colOff>790575</xdr:colOff>
                <xdr:row>0</xdr:row>
                <xdr:rowOff>847725</xdr:rowOff>
              </to>
            </anchor>
          </controlPr>
        </control>
      </mc:Choice>
    </mc:AlternateContent>
    <mc:AlternateContent xmlns:mc="http://schemas.openxmlformats.org/markup-compatibility/2006">
      <mc:Choice Requires="x14">
        <control shapeId="2053" r:id="rId7" name="Button 5">
          <controlPr defaultSize="0" print="0" autoFill="0" autoPict="0" macro="[0]!Button5_Click">
            <anchor moveWithCells="1" sizeWithCells="1">
              <from>
                <xdr:col>13</xdr:col>
                <xdr:colOff>76200</xdr:colOff>
                <xdr:row>1</xdr:row>
                <xdr:rowOff>38100</xdr:rowOff>
              </from>
              <to>
                <xdr:col>13</xdr:col>
                <xdr:colOff>781050</xdr:colOff>
                <xdr:row>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3"/>
  <sheetViews>
    <sheetView workbookViewId="0">
      <selection activeCell="D27" sqref="D27"/>
    </sheetView>
  </sheetViews>
  <sheetFormatPr defaultRowHeight="15" x14ac:dyDescent="0.25"/>
  <cols>
    <col min="1" max="1" width="10.5703125" bestFit="1" customWidth="1"/>
    <col min="2" max="2" width="32.42578125" bestFit="1" customWidth="1"/>
    <col min="3" max="3" width="11.5703125" bestFit="1" customWidth="1"/>
    <col min="7" max="7" width="34" bestFit="1" customWidth="1"/>
  </cols>
  <sheetData>
    <row r="1" spans="1:8" x14ac:dyDescent="0.25">
      <c r="A1" s="156" t="s">
        <v>98</v>
      </c>
      <c r="B1" s="156" t="s">
        <v>99</v>
      </c>
      <c r="C1" s="156" t="s">
        <v>100</v>
      </c>
      <c r="G1" s="38" t="s">
        <v>101</v>
      </c>
    </row>
    <row r="2" spans="1:8" x14ac:dyDescent="0.25">
      <c r="A2" s="156"/>
      <c r="B2" s="156"/>
      <c r="C2" s="156"/>
      <c r="G2" t="s">
        <v>102</v>
      </c>
      <c r="H2">
        <v>9</v>
      </c>
    </row>
    <row r="3" spans="1:8" x14ac:dyDescent="0.25">
      <c r="A3" s="39">
        <v>1</v>
      </c>
      <c r="B3" s="40"/>
      <c r="C3" s="41" t="e">
        <f>VLOOKUP(B3,$G$2:$H$10,2,0)</f>
        <v>#N/A</v>
      </c>
      <c r="G3" t="s">
        <v>104</v>
      </c>
      <c r="H3">
        <v>7</v>
      </c>
    </row>
    <row r="4" spans="1:8" x14ac:dyDescent="0.25">
      <c r="A4" s="39">
        <v>2</v>
      </c>
      <c r="B4" s="40"/>
      <c r="C4" s="41" t="e">
        <f>VLOOKUP(B4,$G$2:$H$10,2,0)</f>
        <v>#N/A</v>
      </c>
      <c r="G4" t="s">
        <v>106</v>
      </c>
      <c r="H4">
        <v>5</v>
      </c>
    </row>
    <row r="5" spans="1:8" x14ac:dyDescent="0.25">
      <c r="A5" s="39">
        <v>3</v>
      </c>
      <c r="B5" s="40"/>
      <c r="C5" s="41" t="e">
        <f>VLOOKUP(B5,$G$2:$H$10,2,0)</f>
        <v>#N/A</v>
      </c>
      <c r="G5" t="s">
        <v>108</v>
      </c>
      <c r="H5">
        <v>3</v>
      </c>
    </row>
    <row r="6" spans="1:8" x14ac:dyDescent="0.25">
      <c r="A6" s="39">
        <v>4</v>
      </c>
      <c r="B6" s="40"/>
      <c r="C6" s="41" t="e">
        <f t="shared" ref="C6:C12" si="0">VLOOKUP(B6,$G$2:$H$10,2,0)</f>
        <v>#N/A</v>
      </c>
      <c r="G6" t="s">
        <v>109</v>
      </c>
      <c r="H6">
        <v>1</v>
      </c>
    </row>
    <row r="7" spans="1:8" x14ac:dyDescent="0.25">
      <c r="A7" s="39">
        <v>5</v>
      </c>
      <c r="B7" s="40"/>
      <c r="C7" s="41" t="e">
        <f t="shared" si="0"/>
        <v>#N/A</v>
      </c>
      <c r="G7" t="s">
        <v>105</v>
      </c>
      <c r="H7" s="42">
        <v>0.33333333333333331</v>
      </c>
    </row>
    <row r="8" spans="1:8" x14ac:dyDescent="0.25">
      <c r="A8" s="39">
        <v>6</v>
      </c>
      <c r="B8" s="40"/>
      <c r="C8" s="41" t="e">
        <f t="shared" si="0"/>
        <v>#N/A</v>
      </c>
      <c r="G8" t="s">
        <v>110</v>
      </c>
      <c r="H8" s="42">
        <v>0.2</v>
      </c>
    </row>
    <row r="9" spans="1:8" x14ac:dyDescent="0.25">
      <c r="A9" s="39">
        <v>7</v>
      </c>
      <c r="B9" s="40"/>
      <c r="C9" s="41" t="e">
        <f t="shared" si="0"/>
        <v>#N/A</v>
      </c>
      <c r="G9" t="s">
        <v>103</v>
      </c>
      <c r="H9" s="42">
        <v>0.14285714285714285</v>
      </c>
    </row>
    <row r="10" spans="1:8" x14ac:dyDescent="0.25">
      <c r="A10" s="39">
        <v>8</v>
      </c>
      <c r="B10" s="40"/>
      <c r="C10" s="41" t="e">
        <f t="shared" si="0"/>
        <v>#N/A</v>
      </c>
      <c r="G10" t="s">
        <v>107</v>
      </c>
      <c r="H10" s="42">
        <v>0.1111111111111111</v>
      </c>
    </row>
    <row r="11" spans="1:8" x14ac:dyDescent="0.25">
      <c r="A11" s="39">
        <v>9</v>
      </c>
      <c r="B11" s="40"/>
      <c r="C11" s="41" t="e">
        <f t="shared" si="0"/>
        <v>#N/A</v>
      </c>
    </row>
    <row r="12" spans="1:8" x14ac:dyDescent="0.25">
      <c r="A12" s="39">
        <v>10</v>
      </c>
      <c r="B12" s="40"/>
      <c r="C12" s="41" t="e">
        <f t="shared" si="0"/>
        <v>#N/A</v>
      </c>
    </row>
    <row r="13" spans="1:8" x14ac:dyDescent="0.25">
      <c r="A13" s="30"/>
    </row>
  </sheetData>
  <mergeCells count="3">
    <mergeCell ref="A1:A2"/>
    <mergeCell ref="B1:B2"/>
    <mergeCell ref="C1:C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B40"/>
  <sheetViews>
    <sheetView zoomScale="70" zoomScaleNormal="70" workbookViewId="0">
      <selection activeCell="F4" sqref="F4"/>
    </sheetView>
  </sheetViews>
  <sheetFormatPr defaultColWidth="9.140625" defaultRowHeight="12.75" x14ac:dyDescent="0.2"/>
  <cols>
    <col min="1" max="1" width="10.5703125" style="43" bestFit="1" customWidth="1"/>
    <col min="2" max="2" width="9.140625" style="43"/>
    <col min="3" max="3" width="11.28515625" style="43" bestFit="1" customWidth="1"/>
    <col min="4" max="4" width="23" style="43" bestFit="1" customWidth="1"/>
    <col min="5" max="5" width="30.5703125" style="43" bestFit="1" customWidth="1"/>
    <col min="6" max="6" width="21.42578125" style="43" bestFit="1" customWidth="1"/>
    <col min="7" max="7" width="20.28515625" style="43" bestFit="1" customWidth="1"/>
    <col min="8" max="8" width="20.28515625" style="43" customWidth="1"/>
    <col min="9" max="9" width="23" style="43" bestFit="1" customWidth="1"/>
    <col min="10" max="10" width="23.28515625" style="43" bestFit="1" customWidth="1"/>
    <col min="11" max="11" width="21.42578125" style="43" bestFit="1" customWidth="1"/>
    <col min="12" max="12" width="20.28515625" style="43" bestFit="1" customWidth="1"/>
    <col min="13" max="13" width="27.28515625" style="43" bestFit="1" customWidth="1"/>
    <col min="14" max="14" width="9.140625" style="43"/>
    <col min="15" max="15" width="25.28515625" style="43" bestFit="1" customWidth="1"/>
    <col min="16" max="16" width="24.42578125" style="43" bestFit="1" customWidth="1"/>
    <col min="17" max="17" width="22.42578125" style="43" bestFit="1" customWidth="1"/>
    <col min="18" max="18" width="21.28515625" style="43" bestFit="1" customWidth="1"/>
    <col min="19" max="19" width="20.28515625" style="43" bestFit="1" customWidth="1"/>
    <col min="20" max="22" width="9.140625" style="43"/>
    <col min="23" max="23" width="10.5703125" style="43" customWidth="1"/>
    <col min="24" max="24" width="23.5703125" style="43" bestFit="1" customWidth="1"/>
    <col min="25" max="27" width="9.140625" style="43"/>
    <col min="28" max="28" width="27.28515625" style="44" bestFit="1" customWidth="1"/>
    <col min="29" max="16384" width="9.140625" style="43"/>
  </cols>
  <sheetData>
    <row r="1" spans="1:28" x14ac:dyDescent="0.2">
      <c r="D1" s="158" t="s">
        <v>111</v>
      </c>
      <c r="E1" s="158"/>
      <c r="F1" s="158"/>
      <c r="G1" s="158"/>
      <c r="I1" s="158" t="s">
        <v>112</v>
      </c>
      <c r="J1" s="158"/>
      <c r="K1" s="158"/>
      <c r="L1" s="158"/>
      <c r="M1" s="43" t="s">
        <v>113</v>
      </c>
      <c r="O1" s="158" t="s">
        <v>114</v>
      </c>
      <c r="P1" s="158"/>
      <c r="Q1" s="158"/>
      <c r="R1" s="158"/>
      <c r="S1" s="43" t="s">
        <v>115</v>
      </c>
      <c r="T1" s="43" t="s">
        <v>116</v>
      </c>
      <c r="U1" s="43" t="s">
        <v>117</v>
      </c>
      <c r="W1" s="43" t="s">
        <v>118</v>
      </c>
      <c r="X1" s="43" t="s">
        <v>119</v>
      </c>
      <c r="Y1" s="43">
        <v>0.1</v>
      </c>
      <c r="AB1" s="44" t="s">
        <v>120</v>
      </c>
    </row>
    <row r="2" spans="1:28" x14ac:dyDescent="0.2">
      <c r="A2" s="45"/>
      <c r="B2" s="45" t="str">
        <f>'[1]AHP Weighting'!B1</f>
        <v>Level</v>
      </c>
      <c r="C2" s="45" t="str">
        <f>'[1]AHP Weighting'!C1</f>
        <v>Subsection</v>
      </c>
      <c r="D2" s="45"/>
      <c r="E2" s="45"/>
      <c r="F2" s="45"/>
      <c r="G2" s="45"/>
    </row>
    <row r="3" spans="1:28" x14ac:dyDescent="0.2">
      <c r="A3" s="159" t="s">
        <v>144</v>
      </c>
      <c r="B3" s="159">
        <v>3</v>
      </c>
      <c r="C3" s="159" t="s">
        <v>121</v>
      </c>
      <c r="D3" s="46" t="s">
        <v>122</v>
      </c>
      <c r="E3" s="47" t="s">
        <v>90</v>
      </c>
      <c r="F3" s="47" t="s">
        <v>123</v>
      </c>
      <c r="G3" s="47" t="s">
        <v>124</v>
      </c>
      <c r="I3" s="46" t="s">
        <v>122</v>
      </c>
      <c r="J3" s="47" t="s">
        <v>90</v>
      </c>
      <c r="K3" s="47" t="s">
        <v>123</v>
      </c>
      <c r="L3" s="48" t="s">
        <v>124</v>
      </c>
      <c r="M3" s="49" t="s">
        <v>125</v>
      </c>
      <c r="O3" s="46" t="s">
        <v>122</v>
      </c>
      <c r="P3" s="50" t="s">
        <v>90</v>
      </c>
      <c r="Q3" s="50" t="s">
        <v>123</v>
      </c>
      <c r="R3" s="50" t="s">
        <v>124</v>
      </c>
      <c r="S3" s="51" t="s">
        <v>126</v>
      </c>
      <c r="AB3" s="52" t="s">
        <v>125</v>
      </c>
    </row>
    <row r="4" spans="1:28" x14ac:dyDescent="0.2">
      <c r="A4" s="157"/>
      <c r="B4" s="157"/>
      <c r="C4" s="157"/>
      <c r="D4" s="47" t="s">
        <v>90</v>
      </c>
      <c r="E4" s="53">
        <v>1</v>
      </c>
      <c r="F4" s="53" t="e">
        <f>SurveyResults!C7</f>
        <v>#N/A</v>
      </c>
      <c r="G4" s="53" t="e">
        <f>SurveyResults!C11</f>
        <v>#N/A</v>
      </c>
      <c r="I4" s="47" t="s">
        <v>90</v>
      </c>
      <c r="J4" s="51" t="e">
        <f>E4/E7</f>
        <v>#N/A</v>
      </c>
      <c r="K4" s="51" t="e">
        <f>F4/F7</f>
        <v>#N/A</v>
      </c>
      <c r="L4" s="51" t="e">
        <f>G4/G7</f>
        <v>#N/A</v>
      </c>
      <c r="M4" s="54" t="e">
        <f>SUM(J4:L4)/3</f>
        <v>#N/A</v>
      </c>
      <c r="O4" s="47" t="s">
        <v>90</v>
      </c>
      <c r="P4" s="51" t="e">
        <f>E4*M4</f>
        <v>#N/A</v>
      </c>
      <c r="Q4" s="51" t="e">
        <f>F4*M5</f>
        <v>#N/A</v>
      </c>
      <c r="R4" s="51" t="e">
        <f>$M$6*G4</f>
        <v>#N/A</v>
      </c>
      <c r="S4" s="50" t="e">
        <f>SUM(P4:R4)</f>
        <v>#N/A</v>
      </c>
      <c r="T4" s="43" t="e">
        <f>S4/P4</f>
        <v>#N/A</v>
      </c>
      <c r="U4" s="43" t="s">
        <v>127</v>
      </c>
      <c r="V4" s="43" t="e">
        <f>AVERAGE(T4:T6)</f>
        <v>#N/A</v>
      </c>
      <c r="W4" s="43" t="e">
        <f>(V4-3)/(3-1)</f>
        <v>#N/A</v>
      </c>
      <c r="X4" s="43" t="e">
        <f>W4/0.58</f>
        <v>#N/A</v>
      </c>
      <c r="AB4" s="44" t="e">
        <f>M4</f>
        <v>#N/A</v>
      </c>
    </row>
    <row r="5" spans="1:28" x14ac:dyDescent="0.2">
      <c r="A5" s="157"/>
      <c r="B5" s="157"/>
      <c r="C5" s="157"/>
      <c r="D5" s="47" t="s">
        <v>123</v>
      </c>
      <c r="E5" s="53" t="e">
        <f>1/F4</f>
        <v>#N/A</v>
      </c>
      <c r="F5" s="53">
        <v>1</v>
      </c>
      <c r="G5" s="53" t="e">
        <f>SurveyResults!C9</f>
        <v>#N/A</v>
      </c>
      <c r="I5" s="47" t="s">
        <v>123</v>
      </c>
      <c r="J5" s="51" t="e">
        <f>E5/E7</f>
        <v>#N/A</v>
      </c>
      <c r="K5" s="51" t="e">
        <f>F5/F7</f>
        <v>#N/A</v>
      </c>
      <c r="L5" s="51" t="e">
        <f>G5/G7</f>
        <v>#N/A</v>
      </c>
      <c r="M5" s="54" t="e">
        <f>SUM(J5:L5)/3</f>
        <v>#N/A</v>
      </c>
      <c r="O5" s="47" t="s">
        <v>123</v>
      </c>
      <c r="P5" s="51" t="e">
        <f>E5*M4</f>
        <v>#N/A</v>
      </c>
      <c r="Q5" s="51" t="e">
        <f>F5*M5</f>
        <v>#N/A</v>
      </c>
      <c r="R5" s="51" t="e">
        <f>$M$6*G5</f>
        <v>#N/A</v>
      </c>
      <c r="S5" s="50" t="e">
        <f>SUM(P5:R5)</f>
        <v>#N/A</v>
      </c>
      <c r="T5" s="43" t="e">
        <f>S5/Q5</f>
        <v>#N/A</v>
      </c>
      <c r="AB5" s="44" t="e">
        <f>M5</f>
        <v>#N/A</v>
      </c>
    </row>
    <row r="6" spans="1:28" x14ac:dyDescent="0.2">
      <c r="A6" s="157"/>
      <c r="B6" s="157"/>
      <c r="C6" s="157"/>
      <c r="D6" s="47" t="s">
        <v>124</v>
      </c>
      <c r="E6" s="53" t="e">
        <f>1/G4</f>
        <v>#N/A</v>
      </c>
      <c r="F6" s="53" t="e">
        <f>1/G5</f>
        <v>#N/A</v>
      </c>
      <c r="G6" s="53">
        <v>1</v>
      </c>
      <c r="I6" s="47" t="s">
        <v>124</v>
      </c>
      <c r="J6" s="51" t="e">
        <f>E6/E7</f>
        <v>#N/A</v>
      </c>
      <c r="K6" s="51" t="e">
        <f>F6/F7</f>
        <v>#N/A</v>
      </c>
      <c r="L6" s="51" t="e">
        <f>G6/G7</f>
        <v>#N/A</v>
      </c>
      <c r="M6" s="54" t="e">
        <f>SUM(J6:L6)/3</f>
        <v>#N/A</v>
      </c>
      <c r="O6" s="47" t="s">
        <v>124</v>
      </c>
      <c r="P6" s="51" t="e">
        <f>E6*M4</f>
        <v>#N/A</v>
      </c>
      <c r="Q6" s="51" t="e">
        <f>F6*M5</f>
        <v>#N/A</v>
      </c>
      <c r="R6" s="51" t="e">
        <f>$M$6*G6</f>
        <v>#N/A</v>
      </c>
      <c r="S6" s="50" t="e">
        <f>SUM(P6:R6)</f>
        <v>#N/A</v>
      </c>
      <c r="T6" s="43" t="e">
        <f>S6/R6</f>
        <v>#N/A</v>
      </c>
      <c r="AB6" s="44" t="e">
        <f>M6</f>
        <v>#N/A</v>
      </c>
    </row>
    <row r="7" spans="1:28" x14ac:dyDescent="0.2">
      <c r="A7" s="55"/>
      <c r="B7" s="56"/>
      <c r="C7" s="57"/>
      <c r="E7" s="58" t="e">
        <f>SUM(E4:E6)</f>
        <v>#N/A</v>
      </c>
      <c r="F7" s="58" t="e">
        <f>SUM(F4:F6)</f>
        <v>#N/A</v>
      </c>
      <c r="G7" s="58" t="e">
        <f>SUM(G4:G6)</f>
        <v>#N/A</v>
      </c>
      <c r="J7" s="59"/>
      <c r="K7" s="59"/>
      <c r="L7" s="59"/>
      <c r="P7" s="59"/>
      <c r="Q7" s="59"/>
      <c r="R7" s="59"/>
      <c r="U7" s="54"/>
      <c r="W7" s="54"/>
    </row>
    <row r="8" spans="1:28" x14ac:dyDescent="0.2">
      <c r="A8" s="55"/>
      <c r="B8" s="56"/>
      <c r="C8" s="57"/>
      <c r="E8" s="58"/>
      <c r="F8" s="58"/>
      <c r="G8" s="58"/>
      <c r="J8" s="59"/>
      <c r="K8" s="59"/>
      <c r="L8" s="59"/>
      <c r="P8" s="59"/>
      <c r="Q8" s="59"/>
      <c r="R8" s="59"/>
      <c r="U8" s="54"/>
      <c r="W8" s="54"/>
    </row>
    <row r="9" spans="1:28" x14ac:dyDescent="0.2">
      <c r="A9" s="157">
        <v>6</v>
      </c>
      <c r="B9" s="157">
        <v>3</v>
      </c>
      <c r="C9" s="157" t="s">
        <v>128</v>
      </c>
      <c r="D9" s="46" t="s">
        <v>129</v>
      </c>
      <c r="E9" s="53" t="s">
        <v>130</v>
      </c>
      <c r="F9" s="53" t="s">
        <v>64</v>
      </c>
      <c r="G9" s="60"/>
      <c r="I9" s="46" t="s">
        <v>129</v>
      </c>
      <c r="J9" s="51" t="s">
        <v>130</v>
      </c>
      <c r="K9" s="51" t="s">
        <v>64</v>
      </c>
      <c r="L9" s="59"/>
      <c r="O9" s="46" t="s">
        <v>129</v>
      </c>
      <c r="P9" s="51" t="s">
        <v>130</v>
      </c>
      <c r="Q9" s="51" t="s">
        <v>64</v>
      </c>
      <c r="R9" s="59"/>
      <c r="S9" s="51" t="s">
        <v>126</v>
      </c>
      <c r="U9" s="54"/>
      <c r="W9" s="54"/>
    </row>
    <row r="10" spans="1:28" x14ac:dyDescent="0.2">
      <c r="A10" s="157"/>
      <c r="B10" s="157"/>
      <c r="C10" s="157"/>
      <c r="D10" s="47" t="s">
        <v>130</v>
      </c>
      <c r="E10" s="53">
        <v>1</v>
      </c>
      <c r="F10" s="53" t="e">
        <f>SurveyResults!C8</f>
        <v>#N/A</v>
      </c>
      <c r="G10" s="60"/>
      <c r="I10" s="47" t="s">
        <v>130</v>
      </c>
      <c r="J10" s="51" t="e">
        <f>E10/E12</f>
        <v>#N/A</v>
      </c>
      <c r="K10" s="51" t="e">
        <f>F10/F12</f>
        <v>#N/A</v>
      </c>
      <c r="L10" s="59"/>
      <c r="M10" s="54" t="e">
        <f>SUM(J10:K10)/2</f>
        <v>#N/A</v>
      </c>
      <c r="O10" s="47" t="s">
        <v>130</v>
      </c>
      <c r="P10" s="51" t="e">
        <f>$M$10*E10</f>
        <v>#N/A</v>
      </c>
      <c r="Q10" s="51" t="e">
        <f>$M$11*F10</f>
        <v>#N/A</v>
      </c>
      <c r="R10" s="59"/>
      <c r="S10" s="50" t="e">
        <f>SUM(P10:Q10)</f>
        <v>#N/A</v>
      </c>
      <c r="T10" s="43" t="e">
        <f>S10/M10</f>
        <v>#N/A</v>
      </c>
      <c r="U10" s="43" t="s">
        <v>127</v>
      </c>
      <c r="V10" s="43" t="e">
        <f>AVERAGE(T10:T11)</f>
        <v>#N/A</v>
      </c>
      <c r="W10" s="54" t="e">
        <f>(V10-2)/(2-1)</f>
        <v>#N/A</v>
      </c>
      <c r="X10" s="61" t="e">
        <f>W10/0</f>
        <v>#N/A</v>
      </c>
      <c r="AB10" s="44" t="e">
        <f>M10</f>
        <v>#N/A</v>
      </c>
    </row>
    <row r="11" spans="1:28" x14ac:dyDescent="0.2">
      <c r="A11" s="157"/>
      <c r="B11" s="157"/>
      <c r="C11" s="157"/>
      <c r="D11" s="47" t="s">
        <v>64</v>
      </c>
      <c r="E11" s="53" t="e">
        <f>1/F10</f>
        <v>#N/A</v>
      </c>
      <c r="F11" s="53">
        <v>1</v>
      </c>
      <c r="G11" s="60"/>
      <c r="I11" s="47" t="s">
        <v>64</v>
      </c>
      <c r="J11" s="51" t="e">
        <f>E11/E12</f>
        <v>#N/A</v>
      </c>
      <c r="K11" s="51" t="e">
        <f>F11/F12</f>
        <v>#N/A</v>
      </c>
      <c r="L11" s="59"/>
      <c r="M11" s="54" t="e">
        <f>SUM(J11:K11)/2</f>
        <v>#N/A</v>
      </c>
      <c r="O11" s="47" t="s">
        <v>64</v>
      </c>
      <c r="P11" s="51" t="e">
        <f>$M$10*E11</f>
        <v>#N/A</v>
      </c>
      <c r="Q11" s="51" t="e">
        <f>$M$11*F11</f>
        <v>#N/A</v>
      </c>
      <c r="R11" s="59"/>
      <c r="S11" s="50" t="e">
        <f>SUM(P11:Q11)</f>
        <v>#N/A</v>
      </c>
      <c r="T11" s="43" t="e">
        <f>S11/M11</f>
        <v>#N/A</v>
      </c>
      <c r="U11" s="54"/>
      <c r="W11" s="54"/>
      <c r="AB11" s="44" t="e">
        <f>M11</f>
        <v>#N/A</v>
      </c>
    </row>
    <row r="12" spans="1:28" x14ac:dyDescent="0.2">
      <c r="A12" s="55"/>
      <c r="B12" s="56"/>
      <c r="C12" s="57"/>
      <c r="E12" s="58" t="e">
        <f>SUM(E9:E11)</f>
        <v>#N/A</v>
      </c>
      <c r="F12" s="58" t="e">
        <f>SUM(F9:F11)</f>
        <v>#N/A</v>
      </c>
      <c r="G12" s="58"/>
      <c r="J12" s="59"/>
      <c r="K12" s="59"/>
      <c r="L12" s="59"/>
      <c r="M12" s="54"/>
      <c r="P12" s="59"/>
      <c r="Q12" s="59"/>
      <c r="R12" s="59"/>
      <c r="U12" s="54"/>
      <c r="W12" s="54"/>
    </row>
    <row r="13" spans="1:28" x14ac:dyDescent="0.2">
      <c r="A13" s="55"/>
      <c r="B13" s="56"/>
      <c r="C13" s="57"/>
      <c r="E13" s="58"/>
      <c r="F13" s="58"/>
      <c r="G13" s="58"/>
      <c r="J13" s="59"/>
      <c r="K13" s="59"/>
      <c r="L13" s="59"/>
      <c r="M13" s="54"/>
      <c r="P13" s="59"/>
      <c r="Q13" s="59"/>
      <c r="R13" s="59"/>
    </row>
    <row r="14" spans="1:28" x14ac:dyDescent="0.2">
      <c r="A14" s="157">
        <v>10</v>
      </c>
      <c r="B14" s="157">
        <v>3</v>
      </c>
      <c r="C14" s="157" t="s">
        <v>131</v>
      </c>
      <c r="D14" s="46" t="s">
        <v>132</v>
      </c>
      <c r="E14" s="53" t="s">
        <v>133</v>
      </c>
      <c r="F14" s="53" t="s">
        <v>134</v>
      </c>
      <c r="G14" s="60"/>
      <c r="I14" s="46" t="s">
        <v>132</v>
      </c>
      <c r="J14" s="51" t="s">
        <v>133</v>
      </c>
      <c r="K14" s="51" t="s">
        <v>134</v>
      </c>
      <c r="L14" s="59"/>
      <c r="M14" s="54"/>
      <c r="O14" s="46" t="s">
        <v>132</v>
      </c>
      <c r="P14" s="51" t="s">
        <v>133</v>
      </c>
      <c r="Q14" s="51" t="s">
        <v>134</v>
      </c>
      <c r="R14" s="59"/>
      <c r="S14" s="51" t="s">
        <v>126</v>
      </c>
      <c r="U14" s="62"/>
    </row>
    <row r="15" spans="1:28" x14ac:dyDescent="0.2">
      <c r="A15" s="157"/>
      <c r="B15" s="157"/>
      <c r="C15" s="157"/>
      <c r="D15" s="47" t="s">
        <v>133</v>
      </c>
      <c r="E15" s="53">
        <v>1</v>
      </c>
      <c r="F15" s="53" t="e">
        <f>SurveyResults!C12</f>
        <v>#N/A</v>
      </c>
      <c r="G15" s="60"/>
      <c r="I15" s="47" t="s">
        <v>133</v>
      </c>
      <c r="J15" s="51" t="e">
        <f>E15/E17</f>
        <v>#N/A</v>
      </c>
      <c r="K15" s="51" t="e">
        <f>F15/F17</f>
        <v>#N/A</v>
      </c>
      <c r="L15" s="59"/>
      <c r="M15" s="54" t="e">
        <f>SUM(J15:K15)/2</f>
        <v>#N/A</v>
      </c>
      <c r="O15" s="47" t="s">
        <v>133</v>
      </c>
      <c r="P15" s="51" t="e">
        <f>$M$15*E15</f>
        <v>#N/A</v>
      </c>
      <c r="Q15" s="51" t="e">
        <f>$M$16*F15</f>
        <v>#N/A</v>
      </c>
      <c r="R15" s="59"/>
      <c r="S15" s="50" t="e">
        <f>SUM(P15:Q15)</f>
        <v>#N/A</v>
      </c>
      <c r="T15" s="43" t="e">
        <f>S15/M15</f>
        <v>#N/A</v>
      </c>
      <c r="U15" s="43" t="s">
        <v>127</v>
      </c>
      <c r="V15" s="43" t="e">
        <f>AVERAGE(T15:T16)</f>
        <v>#N/A</v>
      </c>
      <c r="W15" s="54" t="e">
        <f>(V15-2)/(2-1)</f>
        <v>#N/A</v>
      </c>
      <c r="X15" s="61" t="e">
        <f>W15/0</f>
        <v>#N/A</v>
      </c>
      <c r="AB15" s="44" t="e">
        <f>M15</f>
        <v>#N/A</v>
      </c>
    </row>
    <row r="16" spans="1:28" x14ac:dyDescent="0.2">
      <c r="A16" s="157"/>
      <c r="B16" s="157"/>
      <c r="C16" s="157"/>
      <c r="D16" s="47" t="s">
        <v>134</v>
      </c>
      <c r="E16" s="53" t="e">
        <f>1/F15</f>
        <v>#N/A</v>
      </c>
      <c r="F16" s="53">
        <v>1</v>
      </c>
      <c r="G16" s="60"/>
      <c r="I16" s="47" t="s">
        <v>134</v>
      </c>
      <c r="J16" s="51" t="e">
        <f>E16/E17</f>
        <v>#N/A</v>
      </c>
      <c r="K16" s="51" t="e">
        <f>F16/F17</f>
        <v>#N/A</v>
      </c>
      <c r="L16" s="59"/>
      <c r="M16" s="54" t="e">
        <f>SUM(J16:K16)/2</f>
        <v>#N/A</v>
      </c>
      <c r="O16" s="47" t="s">
        <v>134</v>
      </c>
      <c r="P16" s="51" t="e">
        <f>$M$15*E16</f>
        <v>#N/A</v>
      </c>
      <c r="Q16" s="51" t="e">
        <f>$M$16*F16</f>
        <v>#N/A</v>
      </c>
      <c r="R16" s="59"/>
      <c r="S16" s="50" t="e">
        <f>SUM(P16:Q16)</f>
        <v>#N/A</v>
      </c>
      <c r="T16" s="43" t="e">
        <f>S16/M16</f>
        <v>#N/A</v>
      </c>
      <c r="AB16" s="44" t="e">
        <f>M16</f>
        <v>#N/A</v>
      </c>
    </row>
    <row r="17" spans="1:28" x14ac:dyDescent="0.2">
      <c r="A17" s="55"/>
      <c r="B17" s="56"/>
      <c r="C17" s="57"/>
      <c r="E17" s="58" t="e">
        <f>SUM(E14:E16)</f>
        <v>#N/A</v>
      </c>
      <c r="F17" s="58" t="e">
        <f>SUM(F14:F16)</f>
        <v>#N/A</v>
      </c>
      <c r="G17" s="60"/>
      <c r="J17" s="59"/>
      <c r="K17" s="59"/>
      <c r="L17" s="59"/>
      <c r="M17" s="54"/>
      <c r="P17" s="59"/>
      <c r="Q17" s="59"/>
      <c r="R17" s="59"/>
    </row>
    <row r="18" spans="1:28" x14ac:dyDescent="0.2">
      <c r="A18" s="55"/>
      <c r="B18" s="56"/>
      <c r="C18" s="57"/>
      <c r="E18" s="58"/>
      <c r="F18" s="58"/>
      <c r="G18" s="60"/>
      <c r="J18" s="59"/>
      <c r="K18" s="59"/>
      <c r="L18" s="59"/>
      <c r="M18" s="54"/>
      <c r="P18" s="59"/>
      <c r="Q18" s="59"/>
      <c r="R18" s="59"/>
    </row>
    <row r="19" spans="1:28" x14ac:dyDescent="0.2">
      <c r="A19" s="157" t="s">
        <v>143</v>
      </c>
      <c r="B19" s="157">
        <v>2</v>
      </c>
      <c r="C19" s="157"/>
      <c r="D19" s="46" t="s">
        <v>135</v>
      </c>
      <c r="E19" s="53" t="s">
        <v>122</v>
      </c>
      <c r="F19" s="53" t="s">
        <v>129</v>
      </c>
      <c r="G19" s="53" t="s">
        <v>132</v>
      </c>
      <c r="I19" s="46" t="s">
        <v>135</v>
      </c>
      <c r="J19" s="51" t="s">
        <v>122</v>
      </c>
      <c r="K19" s="51" t="s">
        <v>129</v>
      </c>
      <c r="L19" s="51" t="s">
        <v>132</v>
      </c>
      <c r="M19" s="54"/>
      <c r="O19" s="46" t="s">
        <v>135</v>
      </c>
      <c r="P19" s="51" t="s">
        <v>122</v>
      </c>
      <c r="Q19" s="51" t="s">
        <v>129</v>
      </c>
      <c r="R19" s="51" t="s">
        <v>132</v>
      </c>
      <c r="S19" s="51" t="s">
        <v>126</v>
      </c>
    </row>
    <row r="20" spans="1:28" x14ac:dyDescent="0.2">
      <c r="A20" s="157"/>
      <c r="B20" s="157"/>
      <c r="C20" s="157"/>
      <c r="D20" s="47" t="s">
        <v>122</v>
      </c>
      <c r="E20" s="53">
        <v>1</v>
      </c>
      <c r="F20" s="53" t="e">
        <f>SurveyResults!C5</f>
        <v>#N/A</v>
      </c>
      <c r="G20" s="53" t="e">
        <f>SurveyResults!C4</f>
        <v>#N/A</v>
      </c>
      <c r="I20" s="47" t="s">
        <v>122</v>
      </c>
      <c r="J20" s="51" t="e">
        <f>E20/E23</f>
        <v>#N/A</v>
      </c>
      <c r="K20" s="51" t="e">
        <f>F20/F23</f>
        <v>#N/A</v>
      </c>
      <c r="L20" s="51" t="e">
        <f>G20/G23</f>
        <v>#N/A</v>
      </c>
      <c r="M20" s="54" t="e">
        <f>SUM(J20:L20)/3</f>
        <v>#N/A</v>
      </c>
      <c r="O20" s="47" t="s">
        <v>122</v>
      </c>
      <c r="P20" s="51" t="e">
        <f>E20*M20</f>
        <v>#N/A</v>
      </c>
      <c r="Q20" s="51" t="e">
        <f>F20*M21</f>
        <v>#N/A</v>
      </c>
      <c r="R20" s="51" t="e">
        <f>$M$22*G20</f>
        <v>#N/A</v>
      </c>
      <c r="S20" s="50" t="e">
        <f>SUM(P20:R20)</f>
        <v>#N/A</v>
      </c>
      <c r="T20" s="43" t="e">
        <f>S20/P20</f>
        <v>#N/A</v>
      </c>
      <c r="U20" s="43" t="s">
        <v>127</v>
      </c>
      <c r="V20" s="43" t="e">
        <f>AVERAGE(T20:T22)</f>
        <v>#N/A</v>
      </c>
      <c r="W20" s="43" t="e">
        <f>(V20-3)/(3-1)</f>
        <v>#N/A</v>
      </c>
      <c r="X20" s="43" t="e">
        <f>W20/0.58</f>
        <v>#N/A</v>
      </c>
      <c r="AB20" s="44" t="e">
        <f>M20</f>
        <v>#N/A</v>
      </c>
    </row>
    <row r="21" spans="1:28" x14ac:dyDescent="0.2">
      <c r="A21" s="157"/>
      <c r="B21" s="157"/>
      <c r="C21" s="157"/>
      <c r="D21" s="47" t="s">
        <v>129</v>
      </c>
      <c r="E21" s="53" t="e">
        <f>1/F20</f>
        <v>#N/A</v>
      </c>
      <c r="F21" s="53">
        <v>1</v>
      </c>
      <c r="G21" s="53" t="e">
        <f>SurveyResults!C6</f>
        <v>#N/A</v>
      </c>
      <c r="I21" s="47" t="s">
        <v>129</v>
      </c>
      <c r="J21" s="51" t="e">
        <f>E21/E23</f>
        <v>#N/A</v>
      </c>
      <c r="K21" s="51" t="e">
        <f>F21/F23</f>
        <v>#N/A</v>
      </c>
      <c r="L21" s="51" t="e">
        <f>G21/G23</f>
        <v>#N/A</v>
      </c>
      <c r="M21" s="54" t="e">
        <f>SUM(J21:L21)/3</f>
        <v>#N/A</v>
      </c>
      <c r="O21" s="47" t="s">
        <v>129</v>
      </c>
      <c r="P21" s="51" t="e">
        <f>E21*M20</f>
        <v>#N/A</v>
      </c>
      <c r="Q21" s="51" t="e">
        <f>F21*M21</f>
        <v>#N/A</v>
      </c>
      <c r="R21" s="51" t="e">
        <f>$M$22*G21</f>
        <v>#N/A</v>
      </c>
      <c r="S21" s="50" t="e">
        <f>SUM(P21:R21)</f>
        <v>#N/A</v>
      </c>
      <c r="T21" s="43" t="e">
        <f>S21/Q21</f>
        <v>#N/A</v>
      </c>
      <c r="AB21" s="44" t="e">
        <f>M21</f>
        <v>#N/A</v>
      </c>
    </row>
    <row r="22" spans="1:28" x14ac:dyDescent="0.2">
      <c r="A22" s="157"/>
      <c r="B22" s="157"/>
      <c r="C22" s="157"/>
      <c r="D22" s="47" t="s">
        <v>132</v>
      </c>
      <c r="E22" s="53" t="e">
        <f>1/G20</f>
        <v>#N/A</v>
      </c>
      <c r="F22" s="53" t="e">
        <f>1/G21</f>
        <v>#N/A</v>
      </c>
      <c r="G22" s="53">
        <v>1</v>
      </c>
      <c r="I22" s="47" t="s">
        <v>132</v>
      </c>
      <c r="J22" s="51" t="e">
        <f>E22/E23</f>
        <v>#N/A</v>
      </c>
      <c r="K22" s="51" t="e">
        <f>F22/F23</f>
        <v>#N/A</v>
      </c>
      <c r="L22" s="51" t="e">
        <f>G22/G23</f>
        <v>#N/A</v>
      </c>
      <c r="M22" s="54" t="e">
        <f>SUM(J22:L22)/3</f>
        <v>#N/A</v>
      </c>
      <c r="O22" s="47" t="s">
        <v>132</v>
      </c>
      <c r="P22" s="51" t="e">
        <f>E22*M20</f>
        <v>#N/A</v>
      </c>
      <c r="Q22" s="51" t="e">
        <f>F22*M21</f>
        <v>#N/A</v>
      </c>
      <c r="R22" s="51" t="e">
        <f>$M$22*G22</f>
        <v>#N/A</v>
      </c>
      <c r="S22" s="50" t="e">
        <f>SUM(P22:R22)</f>
        <v>#N/A</v>
      </c>
      <c r="T22" s="43" t="e">
        <f>S22/R22</f>
        <v>#N/A</v>
      </c>
      <c r="AB22" s="44" t="e">
        <f>M22</f>
        <v>#N/A</v>
      </c>
    </row>
    <row r="23" spans="1:28" x14ac:dyDescent="0.2">
      <c r="A23" s="55"/>
      <c r="B23" s="56"/>
      <c r="C23" s="57"/>
      <c r="E23" s="58" t="e">
        <f>SUM(E20:E22)</f>
        <v>#N/A</v>
      </c>
      <c r="F23" s="58" t="e">
        <f>SUM(F20:F22)</f>
        <v>#N/A</v>
      </c>
      <c r="G23" s="58" t="e">
        <f>SUM(G20:G22)</f>
        <v>#N/A</v>
      </c>
      <c r="J23" s="59"/>
      <c r="K23" s="59"/>
      <c r="L23" s="59"/>
      <c r="M23" s="54"/>
      <c r="P23" s="59"/>
      <c r="Q23" s="59"/>
      <c r="R23" s="59"/>
    </row>
    <row r="24" spans="1:28" x14ac:dyDescent="0.2">
      <c r="A24" s="55"/>
      <c r="B24" s="56"/>
      <c r="C24" s="57"/>
      <c r="E24" s="58"/>
      <c r="F24" s="58"/>
      <c r="G24" s="58"/>
      <c r="J24" s="59"/>
      <c r="K24" s="59"/>
      <c r="L24" s="59"/>
      <c r="M24" s="54"/>
      <c r="P24" s="59"/>
      <c r="Q24" s="59"/>
      <c r="R24" s="59"/>
    </row>
    <row r="25" spans="1:28" x14ac:dyDescent="0.2">
      <c r="A25" s="157">
        <v>1</v>
      </c>
      <c r="B25" s="157">
        <v>1</v>
      </c>
      <c r="C25" s="157"/>
      <c r="D25" s="46" t="s">
        <v>136</v>
      </c>
      <c r="E25" s="53" t="s">
        <v>137</v>
      </c>
      <c r="F25" s="53" t="s">
        <v>138</v>
      </c>
      <c r="G25" s="60"/>
      <c r="I25" s="46" t="s">
        <v>136</v>
      </c>
      <c r="J25" s="51" t="s">
        <v>137</v>
      </c>
      <c r="K25" s="51" t="s">
        <v>138</v>
      </c>
      <c r="L25" s="59"/>
      <c r="M25" s="54"/>
      <c r="O25" s="46" t="s">
        <v>136</v>
      </c>
      <c r="P25" s="51" t="s">
        <v>137</v>
      </c>
      <c r="Q25" s="51" t="s">
        <v>138</v>
      </c>
      <c r="R25" s="59"/>
      <c r="S25" s="51" t="s">
        <v>126</v>
      </c>
    </row>
    <row r="26" spans="1:28" x14ac:dyDescent="0.2">
      <c r="A26" s="157"/>
      <c r="B26" s="157"/>
      <c r="C26" s="157"/>
      <c r="D26" s="47" t="s">
        <v>137</v>
      </c>
      <c r="E26" s="53">
        <v>1</v>
      </c>
      <c r="F26" s="53" t="e">
        <f>SurveyResults!C3</f>
        <v>#N/A</v>
      </c>
      <c r="G26" s="60"/>
      <c r="I26" s="47" t="s">
        <v>137</v>
      </c>
      <c r="J26" s="51" t="e">
        <f>E26/E28</f>
        <v>#N/A</v>
      </c>
      <c r="K26" s="51" t="e">
        <f>F26/F28</f>
        <v>#N/A</v>
      </c>
      <c r="L26" s="59"/>
      <c r="M26" s="54" t="e">
        <f>SUM(J26:K26)/2</f>
        <v>#N/A</v>
      </c>
      <c r="O26" s="47" t="s">
        <v>137</v>
      </c>
      <c r="P26" s="51" t="e">
        <f>$M$26*E26</f>
        <v>#N/A</v>
      </c>
      <c r="Q26" s="51" t="e">
        <f>$M$27*F26</f>
        <v>#N/A</v>
      </c>
      <c r="R26" s="59"/>
      <c r="S26" s="50" t="e">
        <f>SUM(P26:Q26)</f>
        <v>#N/A</v>
      </c>
      <c r="T26" s="43" t="e">
        <f>S26/M26</f>
        <v>#N/A</v>
      </c>
      <c r="U26" s="43" t="s">
        <v>127</v>
      </c>
      <c r="V26" s="43" t="e">
        <f>AVERAGE(T26:T27)</f>
        <v>#N/A</v>
      </c>
      <c r="W26" s="54" t="e">
        <f>(V26-2)/(2-1)</f>
        <v>#N/A</v>
      </c>
      <c r="X26" s="61" t="e">
        <f>W26/0</f>
        <v>#N/A</v>
      </c>
      <c r="AB26" s="44" t="e">
        <f>M26</f>
        <v>#N/A</v>
      </c>
    </row>
    <row r="27" spans="1:28" x14ac:dyDescent="0.2">
      <c r="A27" s="157"/>
      <c r="B27" s="157"/>
      <c r="C27" s="157"/>
      <c r="D27" s="47" t="s">
        <v>138</v>
      </c>
      <c r="E27" s="53" t="e">
        <f>1/SurveyResults!C3</f>
        <v>#N/A</v>
      </c>
      <c r="F27" s="53">
        <v>1</v>
      </c>
      <c r="G27" s="60"/>
      <c r="I27" s="47" t="s">
        <v>138</v>
      </c>
      <c r="J27" s="51" t="e">
        <f>E27/E28</f>
        <v>#N/A</v>
      </c>
      <c r="K27" s="51" t="e">
        <f>F27/F28</f>
        <v>#N/A</v>
      </c>
      <c r="L27" s="59"/>
      <c r="M27" s="54" t="e">
        <f>SUM(J27:K27)/2</f>
        <v>#N/A</v>
      </c>
      <c r="O27" s="47" t="s">
        <v>138</v>
      </c>
      <c r="P27" s="51" t="e">
        <f>$M$26*E27</f>
        <v>#N/A</v>
      </c>
      <c r="Q27" s="51" t="e">
        <f>$M$27*F27</f>
        <v>#N/A</v>
      </c>
      <c r="R27" s="59"/>
      <c r="S27" s="50" t="e">
        <f>SUM(P27:Q27)</f>
        <v>#N/A</v>
      </c>
      <c r="T27" s="43" t="e">
        <f>S27/M27</f>
        <v>#N/A</v>
      </c>
      <c r="AB27" s="44" t="e">
        <f>M27</f>
        <v>#N/A</v>
      </c>
    </row>
    <row r="28" spans="1:28" x14ac:dyDescent="0.2">
      <c r="A28" s="55"/>
      <c r="B28" s="63"/>
      <c r="E28" s="58" t="e">
        <f>SUM(E25:E27)</f>
        <v>#N/A</v>
      </c>
      <c r="F28" s="58" t="e">
        <f>SUM(F25:F27)</f>
        <v>#N/A</v>
      </c>
      <c r="G28" s="58"/>
      <c r="J28" s="59"/>
      <c r="K28" s="59"/>
      <c r="L28" s="59"/>
      <c r="M28" s="54"/>
      <c r="P28" s="59"/>
      <c r="Q28" s="59"/>
      <c r="R28" s="59"/>
    </row>
    <row r="29" spans="1:28" x14ac:dyDescent="0.2">
      <c r="A29" s="55"/>
      <c r="B29" s="63"/>
      <c r="E29" s="58"/>
      <c r="F29" s="58"/>
      <c r="G29" s="58"/>
      <c r="J29" s="59"/>
      <c r="K29" s="59"/>
      <c r="L29" s="59"/>
      <c r="M29" s="54"/>
      <c r="P29" s="59"/>
      <c r="Q29" s="59"/>
      <c r="R29" s="59"/>
    </row>
    <row r="30" spans="1:28" x14ac:dyDescent="0.2">
      <c r="A30" s="157">
        <v>8</v>
      </c>
      <c r="B30" s="157"/>
      <c r="C30" s="157"/>
      <c r="D30" s="64" t="s">
        <v>139</v>
      </c>
      <c r="E30" s="53" t="s">
        <v>140</v>
      </c>
      <c r="F30" s="53" t="s">
        <v>141</v>
      </c>
      <c r="G30" s="60"/>
      <c r="I30" s="64" t="s">
        <v>139</v>
      </c>
      <c r="J30" s="51" t="s">
        <v>140</v>
      </c>
      <c r="K30" s="51" t="s">
        <v>141</v>
      </c>
      <c r="L30" s="59"/>
      <c r="M30" s="54"/>
      <c r="O30" s="64" t="s">
        <v>139</v>
      </c>
      <c r="P30" s="51" t="s">
        <v>140</v>
      </c>
      <c r="Q30" s="51" t="s">
        <v>141</v>
      </c>
      <c r="R30" s="59"/>
      <c r="S30" s="51" t="s">
        <v>126</v>
      </c>
    </row>
    <row r="31" spans="1:28" x14ac:dyDescent="0.2">
      <c r="A31" s="157"/>
      <c r="B31" s="157"/>
      <c r="C31" s="157"/>
      <c r="D31" s="47" t="s">
        <v>140</v>
      </c>
      <c r="E31" s="53">
        <v>1</v>
      </c>
      <c r="F31" s="53" t="e">
        <f>SurveyResults!C10</f>
        <v>#N/A</v>
      </c>
      <c r="G31" s="60"/>
      <c r="I31" s="47" t="s">
        <v>140</v>
      </c>
      <c r="J31" s="51" t="e">
        <f>E31/E33</f>
        <v>#N/A</v>
      </c>
      <c r="K31" s="51" t="e">
        <f>F31/F33</f>
        <v>#N/A</v>
      </c>
      <c r="L31" s="59"/>
      <c r="M31" s="54" t="e">
        <f>SUM(J31:K31)/2</f>
        <v>#N/A</v>
      </c>
      <c r="O31" s="47" t="s">
        <v>140</v>
      </c>
      <c r="P31" s="51" t="e">
        <f>$M$31*E31</f>
        <v>#N/A</v>
      </c>
      <c r="Q31" s="51" t="e">
        <f>$M$32*F31</f>
        <v>#N/A</v>
      </c>
      <c r="R31" s="59"/>
      <c r="S31" s="50" t="e">
        <f>SUM(P31:Q31)</f>
        <v>#N/A</v>
      </c>
      <c r="T31" s="43" t="e">
        <f>S31/P31</f>
        <v>#N/A</v>
      </c>
      <c r="U31" s="43" t="s">
        <v>127</v>
      </c>
      <c r="V31" s="43" t="e">
        <f>AVERAGE(T31:T32)</f>
        <v>#N/A</v>
      </c>
      <c r="W31" s="54" t="e">
        <f>(V31-2)/(2-1)</f>
        <v>#N/A</v>
      </c>
      <c r="X31" s="61" t="e">
        <f>W31/0</f>
        <v>#N/A</v>
      </c>
      <c r="AB31" s="44" t="e">
        <f>M31</f>
        <v>#N/A</v>
      </c>
    </row>
    <row r="32" spans="1:28" x14ac:dyDescent="0.2">
      <c r="A32" s="157"/>
      <c r="B32" s="157"/>
      <c r="C32" s="157"/>
      <c r="D32" s="47" t="s">
        <v>141</v>
      </c>
      <c r="E32" s="53" t="e">
        <f>1/F31</f>
        <v>#N/A</v>
      </c>
      <c r="F32" s="53">
        <v>1</v>
      </c>
      <c r="G32" s="60"/>
      <c r="I32" s="47" t="s">
        <v>141</v>
      </c>
      <c r="J32" s="51" t="e">
        <f>E32/E33</f>
        <v>#N/A</v>
      </c>
      <c r="K32" s="51" t="e">
        <f>F32/F33</f>
        <v>#N/A</v>
      </c>
      <c r="L32" s="59"/>
      <c r="M32" s="54" t="e">
        <f>SUM(J32:K32)/2</f>
        <v>#N/A</v>
      </c>
      <c r="O32" s="47" t="s">
        <v>141</v>
      </c>
      <c r="P32" s="51" t="e">
        <f>$M$31*E32</f>
        <v>#N/A</v>
      </c>
      <c r="Q32" s="51" t="e">
        <f>$M$32*F32</f>
        <v>#N/A</v>
      </c>
      <c r="R32" s="59"/>
      <c r="S32" s="50" t="e">
        <f>SUM(P32:Q32)</f>
        <v>#N/A</v>
      </c>
      <c r="T32" s="43" t="e">
        <f>S32/Q32</f>
        <v>#N/A</v>
      </c>
      <c r="AB32" s="44" t="e">
        <f>M32</f>
        <v>#N/A</v>
      </c>
    </row>
    <row r="33" spans="5:23" x14ac:dyDescent="0.2">
      <c r="E33" s="58" t="e">
        <f>SUM(E30:E32)</f>
        <v>#N/A</v>
      </c>
      <c r="F33" s="58" t="e">
        <f>SUM(F30:F32)</f>
        <v>#N/A</v>
      </c>
      <c r="J33" s="58"/>
      <c r="K33" s="58"/>
    </row>
    <row r="34" spans="5:23" x14ac:dyDescent="0.2">
      <c r="U34" s="65"/>
      <c r="V34" s="65"/>
      <c r="W34" s="65"/>
    </row>
    <row r="35" spans="5:23" x14ac:dyDescent="0.2">
      <c r="T35" s="65"/>
      <c r="U35" s="66"/>
      <c r="V35" s="65"/>
      <c r="W35" s="66"/>
    </row>
    <row r="36" spans="5:23" x14ac:dyDescent="0.2">
      <c r="E36" s="43" t="s">
        <v>245</v>
      </c>
      <c r="F36" s="43">
        <f>_xlfn.IFNA(SUM(E7:G7,E12:F12,E17:F17,E23:G23,E28:F28,E33:F33), 0)</f>
        <v>0</v>
      </c>
      <c r="T36" s="65"/>
      <c r="U36" s="66"/>
      <c r="V36" s="65"/>
      <c r="W36" s="66"/>
    </row>
    <row r="37" spans="5:23" x14ac:dyDescent="0.2">
      <c r="T37" s="65"/>
      <c r="U37" s="66"/>
      <c r="V37" s="65"/>
      <c r="W37" s="66"/>
    </row>
    <row r="38" spans="5:23" x14ac:dyDescent="0.2">
      <c r="T38" s="65"/>
      <c r="U38" s="66"/>
      <c r="V38" s="65"/>
      <c r="W38" s="66"/>
    </row>
    <row r="39" spans="5:23" x14ac:dyDescent="0.2">
      <c r="T39" s="65"/>
      <c r="U39" s="66"/>
      <c r="V39" s="65"/>
      <c r="W39" s="66"/>
    </row>
    <row r="40" spans="5:23" x14ac:dyDescent="0.2">
      <c r="T40" s="65"/>
      <c r="U40" s="66"/>
      <c r="V40" s="65"/>
      <c r="W40" s="66"/>
    </row>
  </sheetData>
  <mergeCells count="21">
    <mergeCell ref="D1:G1"/>
    <mergeCell ref="I1:L1"/>
    <mergeCell ref="O1:R1"/>
    <mergeCell ref="A3:A6"/>
    <mergeCell ref="B3:B6"/>
    <mergeCell ref="C3:C6"/>
    <mergeCell ref="A9:A11"/>
    <mergeCell ref="B9:B11"/>
    <mergeCell ref="C9:C11"/>
    <mergeCell ref="A14:A16"/>
    <mergeCell ref="B14:B16"/>
    <mergeCell ref="C14:C16"/>
    <mergeCell ref="A30:A32"/>
    <mergeCell ref="B30:B32"/>
    <mergeCell ref="C30:C32"/>
    <mergeCell ref="A19:A22"/>
    <mergeCell ref="B19:B22"/>
    <mergeCell ref="C19:C22"/>
    <mergeCell ref="A25:A27"/>
    <mergeCell ref="B25:B27"/>
    <mergeCell ref="C25:C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109"/>
  <sheetViews>
    <sheetView zoomScale="90" zoomScaleNormal="90" workbookViewId="0">
      <selection activeCell="H6" sqref="H6"/>
    </sheetView>
  </sheetViews>
  <sheetFormatPr defaultRowHeight="15" x14ac:dyDescent="0.25"/>
  <cols>
    <col min="2" max="2" width="11" bestFit="1" customWidth="1"/>
    <col min="3" max="3" width="12.85546875" customWidth="1"/>
    <col min="4" max="4" width="18.28515625" customWidth="1"/>
    <col min="5" max="5" width="18.140625" customWidth="1"/>
    <col min="6" max="6" width="12.7109375" bestFit="1" customWidth="1"/>
    <col min="7" max="7" width="12.5703125" customWidth="1"/>
    <col min="8" max="8" width="15.28515625" customWidth="1"/>
    <col min="9" max="9" width="18.85546875" customWidth="1"/>
    <col min="10" max="10" width="12.28515625" customWidth="1"/>
    <col min="11" max="11" width="12" bestFit="1" customWidth="1"/>
    <col min="12" max="12" width="11" bestFit="1" customWidth="1"/>
    <col min="13" max="13" width="15.42578125" bestFit="1" customWidth="1"/>
    <col min="14" max="14" width="9.5703125" bestFit="1" customWidth="1"/>
    <col min="15" max="15" width="24.28515625" bestFit="1" customWidth="1"/>
    <col min="16" max="16" width="19" bestFit="1" customWidth="1"/>
    <col min="17" max="17" width="8.5703125" bestFit="1" customWidth="1"/>
    <col min="18" max="18" width="11.85546875" customWidth="1"/>
    <col min="19" max="19" width="12" customWidth="1"/>
    <col min="20" max="20" width="11.85546875" customWidth="1"/>
    <col min="21" max="21" width="9.42578125" customWidth="1"/>
    <col min="23" max="23" width="9.7109375" bestFit="1" customWidth="1"/>
  </cols>
  <sheetData>
    <row r="1" spans="1:24" x14ac:dyDescent="0.25">
      <c r="E1" s="165" t="e">
        <f>CR_Calculation!AB27</f>
        <v>#N/A</v>
      </c>
      <c r="F1" s="166"/>
      <c r="G1" s="165" t="e">
        <f>CR_Calculation!AB26</f>
        <v>#N/A</v>
      </c>
      <c r="H1" s="166"/>
    </row>
    <row r="2" spans="1:24" ht="15.75" thickBot="1" x14ac:dyDescent="0.3">
      <c r="A2" s="1"/>
      <c r="B2" s="1"/>
      <c r="C2" s="1"/>
      <c r="D2" s="1"/>
      <c r="E2" s="2" t="e">
        <f>(E1*CR_Calculation!AB31)</f>
        <v>#N/A</v>
      </c>
      <c r="F2" s="3" t="e">
        <f>(E1*CR_Calculation!AB32)</f>
        <v>#N/A</v>
      </c>
      <c r="G2" s="2" t="e">
        <f>(G1*CR_Calculation!AB31)</f>
        <v>#N/A</v>
      </c>
      <c r="H2" s="3" t="e">
        <f>(G1*CR_Calculation!AB32)</f>
        <v>#N/A</v>
      </c>
      <c r="I2" s="1"/>
      <c r="J2" s="4"/>
      <c r="K2" s="4"/>
      <c r="L2" s="1"/>
      <c r="M2" s="1"/>
      <c r="N2" s="1"/>
      <c r="O2" s="1"/>
      <c r="P2" s="1"/>
    </row>
    <row r="3" spans="1:24" ht="30.75" thickBot="1" x14ac:dyDescent="0.3">
      <c r="D3" s="5" t="s">
        <v>68</v>
      </c>
      <c r="E3" s="6" t="e">
        <f>E2</f>
        <v>#N/A</v>
      </c>
      <c r="F3" s="7" t="e">
        <f>F2</f>
        <v>#N/A</v>
      </c>
      <c r="G3" s="7" t="e">
        <f>G2</f>
        <v>#N/A</v>
      </c>
      <c r="H3" s="8" t="e">
        <f>H2</f>
        <v>#N/A</v>
      </c>
      <c r="I3" s="9"/>
      <c r="J3" s="10" t="s">
        <v>69</v>
      </c>
      <c r="K3" s="11">
        <v>564895869</v>
      </c>
      <c r="N3" s="165" t="e">
        <f>CR_Calculation!AB20</f>
        <v>#N/A</v>
      </c>
      <c r="O3" s="167"/>
      <c r="P3" s="166"/>
      <c r="Q3" s="165" t="e">
        <f>CR_Calculation!AB21</f>
        <v>#N/A</v>
      </c>
      <c r="R3" s="166"/>
      <c r="S3" s="165" t="e">
        <f>CR_Calculation!AB22</f>
        <v>#N/A</v>
      </c>
      <c r="T3" s="167"/>
      <c r="U3" s="166"/>
    </row>
    <row r="4" spans="1:24" ht="45.75" thickBot="1" x14ac:dyDescent="0.3">
      <c r="D4" s="12" t="s">
        <v>70</v>
      </c>
      <c r="E4" s="13" t="s">
        <v>71</v>
      </c>
      <c r="F4" s="14" t="s">
        <v>72</v>
      </c>
      <c r="G4" s="14" t="s">
        <v>73</v>
      </c>
      <c r="H4" s="15" t="s">
        <v>74</v>
      </c>
      <c r="J4" s="16" t="s">
        <v>75</v>
      </c>
      <c r="K4" s="17">
        <f>SUM(D10:D109)</f>
        <v>564895869</v>
      </c>
      <c r="N4" s="90" t="e">
        <f>CR_Calculation!AB4</f>
        <v>#N/A</v>
      </c>
      <c r="O4" s="91" t="e">
        <f>CR_Calculation!AB5</f>
        <v>#N/A</v>
      </c>
      <c r="P4" s="92" t="e">
        <f>CR_Calculation!AB6</f>
        <v>#N/A</v>
      </c>
      <c r="Q4" s="90" t="e">
        <f>CR_Calculation!AB10</f>
        <v>#N/A</v>
      </c>
      <c r="R4" s="92" t="e">
        <f>CR_Calculation!AB11</f>
        <v>#N/A</v>
      </c>
      <c r="S4" s="93" t="e">
        <f>(CR_Calculation!AB15)*(CR_Calculation!AB32)</f>
        <v>#N/A</v>
      </c>
      <c r="T4" s="94" t="e">
        <f>(CR_Calculation!AB15)*(CR_Calculation!AB31)</f>
        <v>#N/A</v>
      </c>
      <c r="U4" s="92" t="e">
        <f>CR_Calculation!AB16</f>
        <v>#N/A</v>
      </c>
    </row>
    <row r="5" spans="1:24" ht="15.75" thickBot="1" x14ac:dyDescent="0.3">
      <c r="D5" s="18" t="e">
        <f>SUM(E5:H5)</f>
        <v>#N/A</v>
      </c>
      <c r="E5" s="19" t="e">
        <f>(SUM('Topsis LP Auto'!$E$10:$E$109)/(COUNTIF('Topsis LP Auto'!$A$10:$A$109, "&lt;&gt;0")))*E3</f>
        <v>#N/A</v>
      </c>
      <c r="F5" s="20" t="e">
        <f>(AVERAGE(F10:F109))*F3</f>
        <v>#N/A</v>
      </c>
      <c r="G5" s="20" t="e">
        <f>(SUM(G10:G109)/G6)*G3</f>
        <v>#DIV/0!</v>
      </c>
      <c r="H5" s="17" t="e">
        <f>(SUM(H10:H109)/H6)*H3</f>
        <v>#DIV/0!</v>
      </c>
      <c r="N5" s="162" t="s">
        <v>77</v>
      </c>
      <c r="O5" s="163"/>
      <c r="P5" s="163"/>
      <c r="Q5" s="163"/>
      <c r="R5" s="163"/>
      <c r="S5" s="163"/>
      <c r="T5" s="163"/>
      <c r="U5" s="164"/>
    </row>
    <row r="6" spans="1:24" ht="30.75" thickBot="1" x14ac:dyDescent="0.3">
      <c r="D6" s="12" t="s">
        <v>76</v>
      </c>
      <c r="E6" s="19">
        <v>1</v>
      </c>
      <c r="F6" s="20">
        <v>1</v>
      </c>
      <c r="G6" s="20">
        <v>178921308.43074372</v>
      </c>
      <c r="H6" s="17">
        <v>237928487.25470412</v>
      </c>
      <c r="N6" s="88" t="e">
        <f>N4*N3</f>
        <v>#N/A</v>
      </c>
      <c r="O6" s="88" t="e">
        <f>O4*N3</f>
        <v>#N/A</v>
      </c>
      <c r="P6" s="88" t="e">
        <f>P4*N3</f>
        <v>#N/A</v>
      </c>
      <c r="Q6" s="88" t="e">
        <f>Q4*Q3</f>
        <v>#N/A</v>
      </c>
      <c r="R6" s="88" t="e">
        <f>R4*Q3</f>
        <v>#N/A</v>
      </c>
      <c r="S6" s="88" t="e">
        <f>S4*S3</f>
        <v>#N/A</v>
      </c>
      <c r="T6" s="88" t="e">
        <f>T4*S3</f>
        <v>#N/A</v>
      </c>
      <c r="U6" s="88" t="e">
        <f>U4*S3</f>
        <v>#N/A</v>
      </c>
      <c r="W6" s="89"/>
    </row>
    <row r="7" spans="1:24" ht="15.75" thickBot="1" x14ac:dyDescent="0.3">
      <c r="E7" s="21"/>
      <c r="F7" s="22"/>
      <c r="G7" s="22"/>
      <c r="H7" s="22"/>
      <c r="I7" s="22"/>
      <c r="N7" s="146" t="s">
        <v>80</v>
      </c>
      <c r="O7" s="147"/>
      <c r="P7" s="147"/>
      <c r="Q7" s="147"/>
      <c r="R7" s="147"/>
      <c r="S7" s="147"/>
      <c r="T7" s="147"/>
      <c r="U7" s="148"/>
    </row>
    <row r="8" spans="1:24" ht="15.75" thickBot="1" x14ac:dyDescent="0.3">
      <c r="B8" s="160"/>
      <c r="C8" s="160"/>
      <c r="D8" s="23"/>
      <c r="G8" t="e">
        <f>SUM('Topsis LP Auto'!$G$10:$G$109)</f>
        <v>#DIV/0!</v>
      </c>
      <c r="H8" t="e">
        <f>SUM('Topsis LP Auto'!$H$10:$H$109)</f>
        <v>#DIV/0!</v>
      </c>
      <c r="I8" s="161" t="s">
        <v>78</v>
      </c>
      <c r="J8" s="161"/>
      <c r="K8" s="24" t="s">
        <v>79</v>
      </c>
      <c r="M8" s="5" t="s">
        <v>95</v>
      </c>
      <c r="N8" s="27">
        <v>1</v>
      </c>
      <c r="O8" s="28">
        <v>2</v>
      </c>
      <c r="P8" s="28">
        <v>3</v>
      </c>
      <c r="Q8" s="28">
        <v>4</v>
      </c>
      <c r="R8" s="28">
        <v>5</v>
      </c>
      <c r="S8" s="28">
        <v>6</v>
      </c>
      <c r="T8" s="28">
        <v>7</v>
      </c>
      <c r="U8" s="29">
        <v>8</v>
      </c>
    </row>
    <row r="9" spans="1:24" ht="45.75" thickBot="1" x14ac:dyDescent="0.3">
      <c r="A9" s="74" t="s">
        <v>63</v>
      </c>
      <c r="B9" s="75" t="s">
        <v>232</v>
      </c>
      <c r="C9" s="75" t="s">
        <v>81</v>
      </c>
      <c r="D9" s="75" t="s">
        <v>82</v>
      </c>
      <c r="E9" s="75" t="s">
        <v>83</v>
      </c>
      <c r="F9" s="75" t="s">
        <v>84</v>
      </c>
      <c r="G9" s="75" t="s">
        <v>85</v>
      </c>
      <c r="H9" s="75" t="s">
        <v>86</v>
      </c>
      <c r="I9" s="75" t="s">
        <v>87</v>
      </c>
      <c r="J9" s="75" t="s">
        <v>88</v>
      </c>
      <c r="K9" s="75" t="s">
        <v>89</v>
      </c>
      <c r="M9" s="80" t="s">
        <v>63</v>
      </c>
      <c r="N9" s="81" t="s">
        <v>90</v>
      </c>
      <c r="O9" s="81" t="s">
        <v>91</v>
      </c>
      <c r="P9" s="81" t="s">
        <v>65</v>
      </c>
      <c r="Q9" s="81" t="s">
        <v>92</v>
      </c>
      <c r="R9" s="81" t="s">
        <v>64</v>
      </c>
      <c r="S9" s="81" t="s">
        <v>0</v>
      </c>
      <c r="T9" s="81" t="s">
        <v>1</v>
      </c>
      <c r="U9" s="81" t="s">
        <v>2</v>
      </c>
      <c r="V9" s="82" t="s">
        <v>93</v>
      </c>
      <c r="W9" s="82" t="s">
        <v>94</v>
      </c>
      <c r="X9" s="83" t="s">
        <v>89</v>
      </c>
    </row>
    <row r="10" spans="1:24" ht="16.5" thickBot="1" x14ac:dyDescent="0.3">
      <c r="A10" s="76" t="str">
        <f>'Topsis LP Auto'!$M10</f>
        <v>ACAD</v>
      </c>
      <c r="B10" s="77">
        <v>17448635</v>
      </c>
      <c r="C10" s="77">
        <v>0</v>
      </c>
      <c r="D10" s="77">
        <f>SUM('Topsis LP Auto'!$B10:$C10)</f>
        <v>17448635</v>
      </c>
      <c r="E10" s="77">
        <f>IF('Topsis LP Auto'!$J10 = 0, 0, (B10/J10))</f>
        <v>1</v>
      </c>
      <c r="F10" s="77">
        <f>IF(I10 = 0, 0, ('Topsis LP Auto'!$D10)/I10)</f>
        <v>0.29149998565774699</v>
      </c>
      <c r="G10" s="77" t="e">
        <f t="shared" ref="G10:G69" si="0">B10*K10</f>
        <v>#DIV/0!</v>
      </c>
      <c r="H10" s="77" t="e">
        <f>'Topsis LP Auto'!$D10*K10</f>
        <v>#DIV/0!</v>
      </c>
      <c r="I10" s="77">
        <f>_xlfn.IFNA(VLOOKUP($A10, 'Input Screen'!$C$7:$M$101, 10, FALSE), 0)</f>
        <v>59858099</v>
      </c>
      <c r="J10" s="77">
        <f>_xlfn.IFNA(VLOOKUP($A10, 'Input Screen'!$C$7:$M$101, 11, FALSE), 0)</f>
        <v>17448635</v>
      </c>
      <c r="K10" s="77" t="e">
        <f>VLOOKUP('Topsis LP Auto'!$A10, 'Topsis LP Auto'!$M$10:$X$109, 12, FALSE)</f>
        <v>#DIV/0!</v>
      </c>
      <c r="M10" s="84" t="str">
        <f>'Input Screen'!C7</f>
        <v>ACAD</v>
      </c>
      <c r="N10" s="85">
        <f>_xlfn.IFNA((VLOOKUP($M10,'Input Screen'!$C$7:$K$101, (N$8+1), 0)/SQRT(SUMSQ('Input Screen'!D$7:D$101)))*N$6, 0)</f>
        <v>0</v>
      </c>
      <c r="O10" s="85">
        <f>_xlfn.IFNA((VLOOKUP($M10,'Input Screen'!$C$7:$K$101, (O$8+1), 0)/SQRT(SUMSQ('Input Screen'!E$7:E$101)))*O$6, 0)</f>
        <v>0</v>
      </c>
      <c r="P10" s="85">
        <f>_xlfn.IFNA((VLOOKUP($M10,'Input Screen'!$C$7:$K$101, (P$8+1), 0)/SQRT(SUMSQ('Input Screen'!F$7:F$101)))*P$6, 0)</f>
        <v>0</v>
      </c>
      <c r="Q10" s="85">
        <f>_xlfn.IFNA((VLOOKUP($M10,'Input Screen'!$C$7:$K$101, (Q$8+1), 0)/SQRT(SUMSQ('Input Screen'!G$7:G$101)))*Q$6, 0)</f>
        <v>0</v>
      </c>
      <c r="R10" s="85">
        <f>_xlfn.IFNA((VLOOKUP($M10,'Input Screen'!$C$7:$K$101, (R$8+1), 0)/SQRT(SUMSQ('Input Screen'!H$7:H$101)))*R$6, 0)</f>
        <v>0</v>
      </c>
      <c r="S10" s="85">
        <f>_xlfn.IFNA((VLOOKUP($M10,'Input Screen'!$C$7:$K$101, (S$8+1), 0)/SQRT(SUMSQ('Input Screen'!I$7:I$101)))*S$6, 0)</f>
        <v>0</v>
      </c>
      <c r="T10" s="85">
        <f>_xlfn.IFNA((VLOOKUP($M10,'Input Screen'!$C$7:$K$101, (T$8+1), 0)/SQRT(SUMSQ('Input Screen'!J$7:J$101)))*T$6, 0)</f>
        <v>0</v>
      </c>
      <c r="U10" s="85">
        <f>_xlfn.IFNA((VLOOKUP($M10,'Input Screen'!$C$7:$K$101, (U$8+1), 0)/SQRT(SUMSQ('Input Screen'!K$7:K$101)))*U$6, 0)</f>
        <v>0</v>
      </c>
      <c r="V10" s="86">
        <f>IF('Topsis LP Auto'!$M10 = 0, 0, SQRT((N10-MAX(N$10:N$109))^2 + (O10-MAX(O$10:O$109))^2 + (P10-MAX(P$10:P$109))^2 + (Q10-MAX(Q$10:Q$109))^2 + (R10-MAX(R$10:R$109))^2 + (S10-MAX(S$10:S$109))^2 + (T10-MAX(T$10:T$109))^2 +(U10-MAX(U$10:U$109))^2))</f>
        <v>0</v>
      </c>
      <c r="W10" s="85">
        <f>IF('Topsis LP Auto'!$M10=0, 0, SQRT((N10-MIN(N$10:N$109))^2 + (O10-MIN(O$10:O$109))^2 + (P10-MIN(P$10:P$109))^2 + (Q10-MIN(Q$10:Q$109))^2 + (R10-MIN(R$10:R$109))^2 + (S10-MIN(S$10:S$109))^2 + (T10-MIN(T$10:T$109))^2 +(U10-MIN(U$10:U$109))^2))</f>
        <v>0</v>
      </c>
      <c r="X10" s="87" t="e">
        <f>IF('Topsis LP Auto'!$M10 = 0, 0, W10/(V10+W10))</f>
        <v>#DIV/0!</v>
      </c>
    </row>
    <row r="11" spans="1:24" ht="16.5" thickBot="1" x14ac:dyDescent="0.3">
      <c r="A11" s="78" t="str">
        <f>'Topsis LP Auto'!$M11</f>
        <v>ARCH</v>
      </c>
      <c r="B11" s="34">
        <v>2331452</v>
      </c>
      <c r="C11" s="34">
        <v>0</v>
      </c>
      <c r="D11" s="34">
        <f>SUM('Topsis LP Auto'!$B11:$C11)</f>
        <v>2331452</v>
      </c>
      <c r="E11" s="34">
        <f>IF('Topsis LP Auto'!$J11 = 0, 0, (B11/J11))</f>
        <v>1</v>
      </c>
      <c r="F11" s="34">
        <f>IF(I11 = 0, 0, ('Topsis LP Auto'!$D11)/I11)</f>
        <v>9.0899978217086244E-2</v>
      </c>
      <c r="G11" s="34" t="e">
        <f t="shared" si="0"/>
        <v>#DIV/0!</v>
      </c>
      <c r="H11" s="34" t="e">
        <f>'Topsis LP Auto'!$D11*K11</f>
        <v>#DIV/0!</v>
      </c>
      <c r="I11" s="34">
        <f>_xlfn.IFNA(VLOOKUP($A11, 'Input Screen'!$C$7:$M$101, 10, FALSE), 0)</f>
        <v>25648543</v>
      </c>
      <c r="J11" s="34">
        <f>_xlfn.IFNA(VLOOKUP($A11, 'Input Screen'!$C$7:$M$101, 11, FALSE), 0)</f>
        <v>2331452</v>
      </c>
      <c r="K11" s="34" t="e">
        <f>VLOOKUP('Topsis LP Auto'!$A11, 'Topsis LP Auto'!$M$10:$X$109, 12, FALSE)</f>
        <v>#DIV/0!</v>
      </c>
      <c r="M11" s="26" t="str">
        <f>'Input Screen'!C8</f>
        <v>ARCH</v>
      </c>
      <c r="N11" s="35">
        <f>_xlfn.IFNA((VLOOKUP($M11,'Input Screen'!$C$7:$K$101, (N$8+1), 0)/SQRT(SUMSQ('Input Screen'!D$7:D$101)))*N$6, 0)</f>
        <v>0</v>
      </c>
      <c r="O11" s="35">
        <f>_xlfn.IFNA((VLOOKUP($M11,'Input Screen'!$C$7:$K$101, (O$8+1), 0)/SQRT(SUMSQ('Input Screen'!E$7:E$101)))*O$6, 0)</f>
        <v>0</v>
      </c>
      <c r="P11" s="35">
        <f>_xlfn.IFNA((VLOOKUP($M11,'Input Screen'!$C$7:$K$101, (P$8+1), 0)/SQRT(SUMSQ('Input Screen'!F$7:F$101)))*P$6, 0)</f>
        <v>0</v>
      </c>
      <c r="Q11" s="35">
        <f>_xlfn.IFNA((VLOOKUP($M11,'Input Screen'!$C$7:$K$101, (Q$8+1), 0)/SQRT(SUMSQ('Input Screen'!G$7:G$101)))*Q$6, 0)</f>
        <v>0</v>
      </c>
      <c r="R11" s="35">
        <f>_xlfn.IFNA((VLOOKUP($M11,'Input Screen'!$C$7:$K$101, (R$8+1), 0)/SQRT(SUMSQ('Input Screen'!H$7:H$101)))*R$6, 0)</f>
        <v>0</v>
      </c>
      <c r="S11" s="35">
        <f>_xlfn.IFNA((VLOOKUP($M11,'Input Screen'!$C$7:$K$101, (S$8+1), 0)/SQRT(SUMSQ('Input Screen'!I$7:I$101)))*S$6, 0)</f>
        <v>0</v>
      </c>
      <c r="T11" s="35">
        <f>_xlfn.IFNA((VLOOKUP($M11,'Input Screen'!$C$7:$K$101, (T$8+1), 0)/SQRT(SUMSQ('Input Screen'!J$7:J$101)))*T$6, 0)</f>
        <v>0</v>
      </c>
      <c r="U11" s="35">
        <f>_xlfn.IFNA((VLOOKUP($M11,'Input Screen'!$C$7:$K$101, (U$8+1), 0)/SQRT(SUMSQ('Input Screen'!K$7:K$101)))*U$6, 0)</f>
        <v>0</v>
      </c>
      <c r="V11" s="37">
        <f>IF('Topsis LP Auto'!$M11 = 0, 0, SQRT((N11-MAX(N$10:N$109))^2 + (O11-MAX(O$10:O$109))^2 + (P11-MAX(P$10:P$109))^2 + (Q11-MAX(Q$10:Q$109))^2 + (R11-MAX(R$10:R$109))^2 + (S11-MAX(S$10:S$109))^2 + (T11-MAX(T$10:T$109))^2 +(U11-MAX(U$10:U$109))^2))</f>
        <v>0</v>
      </c>
      <c r="W11" s="35">
        <f>IF('Topsis LP Auto'!$M11=0, 0, SQRT((N11-MIN(N$10:N$109))^2 + (O11-MIN(O$10:O$109))^2 + (P11-MIN(P$10:P$109))^2 + (Q11-MIN(Q$10:Q$109))^2 + (R11-MIN(R$10:R$109))^2 + (S11-MIN(S$10:S$109))^2 + (T11-MIN(T$10:T$109))^2 +(U11-MIN(U$10:U$109))^2))</f>
        <v>0</v>
      </c>
      <c r="X11" s="34" t="e">
        <f>IF('Topsis LP Auto'!$M11 = 0, 0, W11/(V11+W11))</f>
        <v>#DIV/0!</v>
      </c>
    </row>
    <row r="12" spans="1:24" ht="16.5" thickBot="1" x14ac:dyDescent="0.3">
      <c r="A12" s="76" t="str">
        <f>'Topsis LP Auto'!$M12</f>
        <v>BADL</v>
      </c>
      <c r="B12" s="31">
        <v>2495014</v>
      </c>
      <c r="C12" s="31">
        <v>0</v>
      </c>
      <c r="D12" s="31">
        <f>SUM('Topsis LP Auto'!$B12:$C12)</f>
        <v>2495014</v>
      </c>
      <c r="E12" s="31">
        <f>IF('Topsis LP Auto'!$J12 = 0, 0, (B12/J12))</f>
        <v>1</v>
      </c>
      <c r="F12" s="31">
        <f>IF(I12 = 0, 0, ('Topsis LP Auto'!$D12)/I12)</f>
        <v>9.4099979479153689E-2</v>
      </c>
      <c r="G12" s="31" t="e">
        <f t="shared" si="0"/>
        <v>#DIV/0!</v>
      </c>
      <c r="H12" s="31" t="e">
        <f>'Topsis LP Auto'!$D12*K12</f>
        <v>#DIV/0!</v>
      </c>
      <c r="I12" s="31">
        <f>_xlfn.IFNA(VLOOKUP($A12, 'Input Screen'!$C$7:$M$101, 10, FALSE), 0)</f>
        <v>26514501</v>
      </c>
      <c r="J12" s="31">
        <f>_xlfn.IFNA(VLOOKUP($A12, 'Input Screen'!$C$7:$M$101, 11, FALSE), 0)</f>
        <v>2495014</v>
      </c>
      <c r="K12" s="31" t="e">
        <f>VLOOKUP('Topsis LP Auto'!$A12, 'Topsis LP Auto'!$M$10:$X$109, 12, FALSE)</f>
        <v>#DIV/0!</v>
      </c>
      <c r="M12" s="32" t="str">
        <f>'Input Screen'!C9</f>
        <v>BADL</v>
      </c>
      <c r="N12" s="33">
        <f>_xlfn.IFNA((VLOOKUP($M12,'Input Screen'!$C$7:$K$101, (N$8+1), 0)/SQRT(SUMSQ('Input Screen'!D$7:D$101)))*N$6, 0)</f>
        <v>0</v>
      </c>
      <c r="O12" s="33">
        <f>_xlfn.IFNA((VLOOKUP($M12,'Input Screen'!$C$7:$K$101, (O$8+1), 0)/SQRT(SUMSQ('Input Screen'!E$7:E$101)))*O$6, 0)</f>
        <v>0</v>
      </c>
      <c r="P12" s="33">
        <f>_xlfn.IFNA((VLOOKUP($M12,'Input Screen'!$C$7:$K$101, (P$8+1), 0)/SQRT(SUMSQ('Input Screen'!F$7:F$101)))*P$6, 0)</f>
        <v>0</v>
      </c>
      <c r="Q12" s="33">
        <f>_xlfn.IFNA((VLOOKUP($M12,'Input Screen'!$C$7:$K$101, (Q$8+1), 0)/SQRT(SUMSQ('Input Screen'!G$7:G$101)))*Q$6, 0)</f>
        <v>0</v>
      </c>
      <c r="R12" s="33">
        <f>_xlfn.IFNA((VLOOKUP($M12,'Input Screen'!$C$7:$K$101, (R$8+1), 0)/SQRT(SUMSQ('Input Screen'!H$7:H$101)))*R$6, 0)</f>
        <v>0</v>
      </c>
      <c r="S12" s="33">
        <f>_xlfn.IFNA((VLOOKUP($M12,'Input Screen'!$C$7:$K$101, (S$8+1), 0)/SQRT(SUMSQ('Input Screen'!I$7:I$101)))*S$6, 0)</f>
        <v>0</v>
      </c>
      <c r="T12" s="33">
        <f>_xlfn.IFNA((VLOOKUP($M12,'Input Screen'!$C$7:$K$101, (T$8+1), 0)/SQRT(SUMSQ('Input Screen'!J$7:J$101)))*T$6, 0)</f>
        <v>0</v>
      </c>
      <c r="U12" s="33">
        <f>_xlfn.IFNA((VLOOKUP($M12,'Input Screen'!$C$7:$K$101, (U$8+1), 0)/SQRT(SUMSQ('Input Screen'!K$7:K$101)))*U$6, 0)</f>
        <v>0</v>
      </c>
      <c r="V12" s="36">
        <f>IF('Topsis LP Auto'!$M12 = 0, 0, SQRT((N12-MAX(N$10:N$109))^2 + (O12-MAX(O$10:O$109))^2 + (P12-MAX(P$10:P$109))^2 + (Q12-MAX(Q$10:Q$109))^2 + (R12-MAX(R$10:R$109))^2 + (S12-MAX(S$10:S$109))^2 + (T12-MAX(T$10:T$109))^2 +(U12-MAX(U$10:U$109))^2))</f>
        <v>0</v>
      </c>
      <c r="W12" s="33">
        <f>IF('Topsis LP Auto'!$M12=0, 0, SQRT((N12-MIN(N$10:N$109))^2 + (O12-MIN(O$10:O$109))^2 + (P12-MIN(P$10:P$109))^2 + (Q12-MIN(Q$10:Q$109))^2 + (R12-MIN(R$10:R$109))^2 + (S12-MIN(S$10:S$109))^2 + (T12-MIN(T$10:T$109))^2 +(U12-MIN(U$10:U$109))^2))</f>
        <v>0</v>
      </c>
      <c r="X12" s="31" t="e">
        <f>IF('Topsis LP Auto'!$M12 = 0, 0, W12/(V12+W12))</f>
        <v>#DIV/0!</v>
      </c>
    </row>
    <row r="13" spans="1:24" ht="16.5" thickBot="1" x14ac:dyDescent="0.3">
      <c r="A13" s="78" t="str">
        <f>'Topsis LP Auto'!$M13</f>
        <v>BIBE</v>
      </c>
      <c r="B13" s="34">
        <v>0</v>
      </c>
      <c r="C13" s="34">
        <v>0</v>
      </c>
      <c r="D13" s="34">
        <f>SUM('Topsis LP Auto'!$B13:$C13)</f>
        <v>0</v>
      </c>
      <c r="E13" s="34">
        <f>IF('Topsis LP Auto'!$J13 = 0, 0, (B13/J13))</f>
        <v>0</v>
      </c>
      <c r="F13" s="34">
        <f>IF(I13 = 0, 0, ('Topsis LP Auto'!$D13)/I13)</f>
        <v>0</v>
      </c>
      <c r="G13" s="34" t="e">
        <f t="shared" si="0"/>
        <v>#DIV/0!</v>
      </c>
      <c r="H13" s="34" t="e">
        <f>'Topsis LP Auto'!$D13*K13</f>
        <v>#DIV/0!</v>
      </c>
      <c r="I13" s="34">
        <f>_xlfn.IFNA(VLOOKUP($A13, 'Input Screen'!$C$7:$M$101, 10, FALSE), 0)</f>
        <v>100421335.00000001</v>
      </c>
      <c r="J13" s="34">
        <f>_xlfn.IFNA(VLOOKUP($A13, 'Input Screen'!$C$7:$M$101, 11, FALSE), 0)</f>
        <v>11377737</v>
      </c>
      <c r="K13" s="34" t="e">
        <f>VLOOKUP('Topsis LP Auto'!$A13, 'Topsis LP Auto'!$M$10:$X$109, 12, FALSE)</f>
        <v>#DIV/0!</v>
      </c>
      <c r="M13" s="26" t="str">
        <f>'Input Screen'!C10</f>
        <v>BIBE</v>
      </c>
      <c r="N13" s="35">
        <f>_xlfn.IFNA((VLOOKUP($M13,'Input Screen'!$C$7:$K$101, (N$8+1), 0)/SQRT(SUMSQ('Input Screen'!D$7:D$101)))*N$6, 0)</f>
        <v>0</v>
      </c>
      <c r="O13" s="35">
        <f>_xlfn.IFNA((VLOOKUP($M13,'Input Screen'!$C$7:$K$101, (O$8+1), 0)/SQRT(SUMSQ('Input Screen'!E$7:E$101)))*O$6, 0)</f>
        <v>0</v>
      </c>
      <c r="P13" s="35">
        <f>_xlfn.IFNA((VLOOKUP($M13,'Input Screen'!$C$7:$K$101, (P$8+1), 0)/SQRT(SUMSQ('Input Screen'!F$7:F$101)))*P$6, 0)</f>
        <v>0</v>
      </c>
      <c r="Q13" s="35">
        <f>_xlfn.IFNA((VLOOKUP($M13,'Input Screen'!$C$7:$K$101, (Q$8+1), 0)/SQRT(SUMSQ('Input Screen'!G$7:G$101)))*Q$6, 0)</f>
        <v>0</v>
      </c>
      <c r="R13" s="35">
        <f>_xlfn.IFNA((VLOOKUP($M13,'Input Screen'!$C$7:$K$101, (R$8+1), 0)/SQRT(SUMSQ('Input Screen'!H$7:H$101)))*R$6, 0)</f>
        <v>0</v>
      </c>
      <c r="S13" s="35">
        <f>_xlfn.IFNA((VLOOKUP($M13,'Input Screen'!$C$7:$K$101, (S$8+1), 0)/SQRT(SUMSQ('Input Screen'!I$7:I$101)))*S$6, 0)</f>
        <v>0</v>
      </c>
      <c r="T13" s="35">
        <f>_xlfn.IFNA((VLOOKUP($M13,'Input Screen'!$C$7:$K$101, (T$8+1), 0)/SQRT(SUMSQ('Input Screen'!J$7:J$101)))*T$6, 0)</f>
        <v>0</v>
      </c>
      <c r="U13" s="35">
        <f>_xlfn.IFNA((VLOOKUP($M13,'Input Screen'!$C$7:$K$101, (U$8+1), 0)/SQRT(SUMSQ('Input Screen'!K$7:K$101)))*U$6, 0)</f>
        <v>0</v>
      </c>
      <c r="V13" s="37">
        <f>IF('Topsis LP Auto'!$M13 = 0, 0, SQRT((N13-MAX(N$10:N$109))^2 + (O13-MAX(O$10:O$109))^2 + (P13-MAX(P$10:P$109))^2 + (Q13-MAX(Q$10:Q$109))^2 + (R13-MAX(R$10:R$109))^2 + (S13-MAX(S$10:S$109))^2 + (T13-MAX(T$10:T$109))^2 +(U13-MAX(U$10:U$109))^2))</f>
        <v>0</v>
      </c>
      <c r="W13" s="35">
        <f>IF('Topsis LP Auto'!$M13=0, 0, SQRT((N13-MIN(N$10:N$109))^2 + (O13-MIN(O$10:O$109))^2 + (P13-MIN(P$10:P$109))^2 + (Q13-MIN(Q$10:Q$109))^2 + (R13-MIN(R$10:R$109))^2 + (S13-MIN(S$10:S$109))^2 + (T13-MIN(T$10:T$109))^2 +(U13-MIN(U$10:U$109))^2))</f>
        <v>0</v>
      </c>
      <c r="X13" s="34" t="e">
        <f>IF('Topsis LP Auto'!$M13 = 0, 0, W13/(V13+W13))</f>
        <v>#DIV/0!</v>
      </c>
    </row>
    <row r="14" spans="1:24" ht="16.5" thickBot="1" x14ac:dyDescent="0.3">
      <c r="A14" s="76" t="str">
        <f>'Topsis LP Auto'!$M14</f>
        <v>BISC</v>
      </c>
      <c r="B14" s="31">
        <v>2658387</v>
      </c>
      <c r="C14" s="31">
        <v>0</v>
      </c>
      <c r="D14" s="31">
        <f>SUM('Topsis LP Auto'!$B14:$C14)</f>
        <v>2658387</v>
      </c>
      <c r="E14" s="31">
        <f>IF('Topsis LP Auto'!$J14 = 0, 0, (B14/J14))</f>
        <v>1</v>
      </c>
      <c r="F14" s="31">
        <f>IF(I14 = 0, 0, ('Topsis LP Auto'!$D14)/I14)</f>
        <v>0.21219994402823938</v>
      </c>
      <c r="G14" s="31" t="e">
        <f t="shared" si="0"/>
        <v>#DIV/0!</v>
      </c>
      <c r="H14" s="31" t="e">
        <f>'Topsis LP Auto'!$D14*K14</f>
        <v>#DIV/0!</v>
      </c>
      <c r="I14" s="31">
        <f>_xlfn.IFNA(VLOOKUP($A14, 'Input Screen'!$C$7:$M$101, 10, FALSE), 0)</f>
        <v>12527746</v>
      </c>
      <c r="J14" s="31">
        <f>_xlfn.IFNA(VLOOKUP($A14, 'Input Screen'!$C$7:$M$101, 11, FALSE), 0)</f>
        <v>2658387</v>
      </c>
      <c r="K14" s="31" t="e">
        <f>VLOOKUP('Topsis LP Auto'!$A14, 'Topsis LP Auto'!$M$10:$X$109, 12, FALSE)</f>
        <v>#DIV/0!</v>
      </c>
      <c r="M14" s="32" t="str">
        <f>'Input Screen'!C11</f>
        <v>BISC</v>
      </c>
      <c r="N14" s="33">
        <f>_xlfn.IFNA((VLOOKUP($M14,'Input Screen'!$C$7:$K$101, (N$8+1), 0)/SQRT(SUMSQ('Input Screen'!D$7:D$101)))*N$6, 0)</f>
        <v>0</v>
      </c>
      <c r="O14" s="33">
        <f>_xlfn.IFNA((VLOOKUP($M14,'Input Screen'!$C$7:$K$101, (O$8+1), 0)/SQRT(SUMSQ('Input Screen'!E$7:E$101)))*O$6, 0)</f>
        <v>0</v>
      </c>
      <c r="P14" s="33">
        <f>_xlfn.IFNA((VLOOKUP($M14,'Input Screen'!$C$7:$K$101, (P$8+1), 0)/SQRT(SUMSQ('Input Screen'!F$7:F$101)))*P$6, 0)</f>
        <v>0</v>
      </c>
      <c r="Q14" s="33">
        <f>_xlfn.IFNA((VLOOKUP($M14,'Input Screen'!$C$7:$K$101, (Q$8+1), 0)/SQRT(SUMSQ('Input Screen'!G$7:G$101)))*Q$6, 0)</f>
        <v>0</v>
      </c>
      <c r="R14" s="33">
        <f>_xlfn.IFNA((VLOOKUP($M14,'Input Screen'!$C$7:$K$101, (R$8+1), 0)/SQRT(SUMSQ('Input Screen'!H$7:H$101)))*R$6, 0)</f>
        <v>0</v>
      </c>
      <c r="S14" s="33">
        <f>_xlfn.IFNA((VLOOKUP($M14,'Input Screen'!$C$7:$K$101, (S$8+1), 0)/SQRT(SUMSQ('Input Screen'!I$7:I$101)))*S$6, 0)</f>
        <v>0</v>
      </c>
      <c r="T14" s="33">
        <f>_xlfn.IFNA((VLOOKUP($M14,'Input Screen'!$C$7:$K$101, (T$8+1), 0)/SQRT(SUMSQ('Input Screen'!J$7:J$101)))*T$6, 0)</f>
        <v>0</v>
      </c>
      <c r="U14" s="33">
        <f>_xlfn.IFNA((VLOOKUP($M14,'Input Screen'!$C$7:$K$101, (U$8+1), 0)/SQRT(SUMSQ('Input Screen'!K$7:K$101)))*U$6, 0)</f>
        <v>0</v>
      </c>
      <c r="V14" s="36">
        <f>IF('Topsis LP Auto'!$M14 = 0, 0, SQRT((N14-MAX(N$10:N$109))^2 + (O14-MAX(O$10:O$109))^2 + (P14-MAX(P$10:P$109))^2 + (Q14-MAX(Q$10:Q$109))^2 + (R14-MAX(R$10:R$109))^2 + (S14-MAX(S$10:S$109))^2 + (T14-MAX(T$10:T$109))^2 +(U14-MAX(U$10:U$109))^2))</f>
        <v>0</v>
      </c>
      <c r="W14" s="33">
        <f>IF('Topsis LP Auto'!$M14=0, 0, SQRT((N14-MIN(N$10:N$109))^2 + (O14-MIN(O$10:O$109))^2 + (P14-MIN(P$10:P$109))^2 + (Q14-MIN(Q$10:Q$109))^2 + (R14-MIN(R$10:R$109))^2 + (S14-MIN(S$10:S$109))^2 + (T14-MIN(T$10:T$109))^2 +(U14-MIN(U$10:U$109))^2))</f>
        <v>0</v>
      </c>
      <c r="X14" s="31" t="e">
        <f>IF('Topsis LP Auto'!$M14 = 0, 0, W14/(V14+W14))</f>
        <v>#DIV/0!</v>
      </c>
    </row>
    <row r="15" spans="1:24" ht="16.5" thickBot="1" x14ac:dyDescent="0.3">
      <c r="A15" s="78" t="str">
        <f>'Topsis LP Auto'!$M15</f>
        <v>BLCA</v>
      </c>
      <c r="B15" s="34">
        <v>714037</v>
      </c>
      <c r="C15" s="34">
        <v>0</v>
      </c>
      <c r="D15" s="34">
        <f>SUM('Topsis LP Auto'!$B15:$C15)</f>
        <v>714037</v>
      </c>
      <c r="E15" s="34">
        <f>IF('Topsis LP Auto'!$J15 = 0, 0, (B15/J15))</f>
        <v>1</v>
      </c>
      <c r="F15" s="34">
        <f>IF(I15 = 0, 0, ('Topsis LP Auto'!$D15)/I15)</f>
        <v>0.10969997076355366</v>
      </c>
      <c r="G15" s="34" t="e">
        <f t="shared" si="0"/>
        <v>#DIV/0!</v>
      </c>
      <c r="H15" s="34" t="e">
        <f>'Topsis LP Auto'!$D15*K15</f>
        <v>#DIV/0!</v>
      </c>
      <c r="I15" s="34">
        <f>_xlfn.IFNA(VLOOKUP($A15, 'Input Screen'!$C$7:$M$101, 10, FALSE), 0)</f>
        <v>6508999</v>
      </c>
      <c r="J15" s="34">
        <f>_xlfn.IFNA(VLOOKUP($A15, 'Input Screen'!$C$7:$M$101, 11, FALSE), 0)</f>
        <v>714037</v>
      </c>
      <c r="K15" s="34" t="e">
        <f>VLOOKUP('Topsis LP Auto'!$A15, 'Topsis LP Auto'!$M$10:$X$109, 12, FALSE)</f>
        <v>#DIV/0!</v>
      </c>
      <c r="M15" s="26" t="str">
        <f>'Input Screen'!C12</f>
        <v>BLCA</v>
      </c>
      <c r="N15" s="35">
        <f>_xlfn.IFNA((VLOOKUP($M15,'Input Screen'!$C$7:$K$101, (N$8+1), 0)/SQRT(SUMSQ('Input Screen'!D$7:D$101)))*N$6, 0)</f>
        <v>0</v>
      </c>
      <c r="O15" s="35">
        <f>_xlfn.IFNA((VLOOKUP($M15,'Input Screen'!$C$7:$K$101, (O$8+1), 0)/SQRT(SUMSQ('Input Screen'!E$7:E$101)))*O$6, 0)</f>
        <v>0</v>
      </c>
      <c r="P15" s="35">
        <f>_xlfn.IFNA((VLOOKUP($M15,'Input Screen'!$C$7:$K$101, (P$8+1), 0)/SQRT(SUMSQ('Input Screen'!F$7:F$101)))*P$6, 0)</f>
        <v>0</v>
      </c>
      <c r="Q15" s="35">
        <f>_xlfn.IFNA((VLOOKUP($M15,'Input Screen'!$C$7:$K$101, (Q$8+1), 0)/SQRT(SUMSQ('Input Screen'!G$7:G$101)))*Q$6, 0)</f>
        <v>0</v>
      </c>
      <c r="R15" s="35">
        <f>_xlfn.IFNA((VLOOKUP($M15,'Input Screen'!$C$7:$K$101, (R$8+1), 0)/SQRT(SUMSQ('Input Screen'!H$7:H$101)))*R$6, 0)</f>
        <v>0</v>
      </c>
      <c r="S15" s="35">
        <f>_xlfn.IFNA((VLOOKUP($M15,'Input Screen'!$C$7:$K$101, (S$8+1), 0)/SQRT(SUMSQ('Input Screen'!I$7:I$101)))*S$6, 0)</f>
        <v>0</v>
      </c>
      <c r="T15" s="35">
        <f>_xlfn.IFNA((VLOOKUP($M15,'Input Screen'!$C$7:$K$101, (T$8+1), 0)/SQRT(SUMSQ('Input Screen'!J$7:J$101)))*T$6, 0)</f>
        <v>0</v>
      </c>
      <c r="U15" s="35">
        <f>_xlfn.IFNA((VLOOKUP($M15,'Input Screen'!$C$7:$K$101, (U$8+1), 0)/SQRT(SUMSQ('Input Screen'!K$7:K$101)))*U$6, 0)</f>
        <v>0</v>
      </c>
      <c r="V15" s="37">
        <f>IF('Topsis LP Auto'!$M15 = 0, 0, SQRT((N15-MAX(N$10:N$109))^2 + (O15-MAX(O$10:O$109))^2 + (P15-MAX(P$10:P$109))^2 + (Q15-MAX(Q$10:Q$109))^2 + (R15-MAX(R$10:R$109))^2 + (S15-MAX(S$10:S$109))^2 + (T15-MAX(T$10:T$109))^2 +(U15-MAX(U$10:U$109))^2))</f>
        <v>0</v>
      </c>
      <c r="W15" s="35">
        <f>IF('Topsis LP Auto'!$M15=0, 0, SQRT((N15-MIN(N$10:N$109))^2 + (O15-MIN(O$10:O$109))^2 + (P15-MIN(P$10:P$109))^2 + (Q15-MIN(Q$10:Q$109))^2 + (R15-MIN(R$10:R$109))^2 + (S15-MIN(S$10:S$109))^2 + (T15-MIN(T$10:T$109))^2 +(U15-MIN(U$10:U$109))^2))</f>
        <v>0</v>
      </c>
      <c r="X15" s="34" t="e">
        <f>IF('Topsis LP Auto'!$M15 = 0, 0, W15/(V15+W15))</f>
        <v>#DIV/0!</v>
      </c>
    </row>
    <row r="16" spans="1:24" ht="16.5" thickBot="1" x14ac:dyDescent="0.3">
      <c r="A16" s="76" t="str">
        <f>'Topsis LP Auto'!$M16</f>
        <v>BRCA</v>
      </c>
      <c r="B16" s="31">
        <v>2468544</v>
      </c>
      <c r="C16" s="31">
        <v>0</v>
      </c>
      <c r="D16" s="31">
        <f>SUM('Topsis LP Auto'!$B16:$C16)</f>
        <v>2468544</v>
      </c>
      <c r="E16" s="31">
        <f>IF('Topsis LP Auto'!$J16 = 0, 0, (B16/J16))</f>
        <v>1</v>
      </c>
      <c r="F16" s="31">
        <f>IF(I16 = 0, 0, ('Topsis LP Auto'!$D16)/I16)</f>
        <v>9.0999966933151544E-2</v>
      </c>
      <c r="G16" s="31" t="e">
        <f t="shared" si="0"/>
        <v>#DIV/0!</v>
      </c>
      <c r="H16" s="31" t="e">
        <f>'Topsis LP Auto'!$D16*K16</f>
        <v>#DIV/0!</v>
      </c>
      <c r="I16" s="31">
        <f>_xlfn.IFNA(VLOOKUP($A16, 'Input Screen'!$C$7:$M$101, 10, FALSE), 0)</f>
        <v>27126867</v>
      </c>
      <c r="J16" s="31">
        <f>_xlfn.IFNA(VLOOKUP($A16, 'Input Screen'!$C$7:$M$101, 11, FALSE), 0)</f>
        <v>2468544</v>
      </c>
      <c r="K16" s="31" t="e">
        <f>VLOOKUP('Topsis LP Auto'!$A16, 'Topsis LP Auto'!$M$10:$X$109, 12, FALSE)</f>
        <v>#DIV/0!</v>
      </c>
      <c r="M16" s="32" t="str">
        <f>'Input Screen'!C13</f>
        <v>BRCA</v>
      </c>
      <c r="N16" s="33">
        <f>_xlfn.IFNA((VLOOKUP($M16,'Input Screen'!$C$7:$K$101, (N$8+1), 0)/SQRT(SUMSQ('Input Screen'!D$7:D$101)))*N$6, 0)</f>
        <v>0</v>
      </c>
      <c r="O16" s="33">
        <f>_xlfn.IFNA((VLOOKUP($M16,'Input Screen'!$C$7:$K$101, (O$8+1), 0)/SQRT(SUMSQ('Input Screen'!E$7:E$101)))*O$6, 0)</f>
        <v>0</v>
      </c>
      <c r="P16" s="33">
        <f>_xlfn.IFNA((VLOOKUP($M16,'Input Screen'!$C$7:$K$101, (P$8+1), 0)/SQRT(SUMSQ('Input Screen'!F$7:F$101)))*P$6, 0)</f>
        <v>0</v>
      </c>
      <c r="Q16" s="33">
        <f>_xlfn.IFNA((VLOOKUP($M16,'Input Screen'!$C$7:$K$101, (Q$8+1), 0)/SQRT(SUMSQ('Input Screen'!G$7:G$101)))*Q$6, 0)</f>
        <v>0</v>
      </c>
      <c r="R16" s="33">
        <f>_xlfn.IFNA((VLOOKUP($M16,'Input Screen'!$C$7:$K$101, (R$8+1), 0)/SQRT(SUMSQ('Input Screen'!H$7:H$101)))*R$6, 0)</f>
        <v>0</v>
      </c>
      <c r="S16" s="33">
        <f>_xlfn.IFNA((VLOOKUP($M16,'Input Screen'!$C$7:$K$101, (S$8+1), 0)/SQRT(SUMSQ('Input Screen'!I$7:I$101)))*S$6, 0)</f>
        <v>0</v>
      </c>
      <c r="T16" s="33">
        <f>_xlfn.IFNA((VLOOKUP($M16,'Input Screen'!$C$7:$K$101, (T$8+1), 0)/SQRT(SUMSQ('Input Screen'!J$7:J$101)))*T$6, 0)</f>
        <v>0</v>
      </c>
      <c r="U16" s="33">
        <f>_xlfn.IFNA((VLOOKUP($M16,'Input Screen'!$C$7:$K$101, (U$8+1), 0)/SQRT(SUMSQ('Input Screen'!K$7:K$101)))*U$6, 0)</f>
        <v>0</v>
      </c>
      <c r="V16" s="36">
        <f>IF('Topsis LP Auto'!$M16 = 0, 0, SQRT((N16-MAX(N$10:N$109))^2 + (O16-MAX(O$10:O$109))^2 + (P16-MAX(P$10:P$109))^2 + (Q16-MAX(Q$10:Q$109))^2 + (R16-MAX(R$10:R$109))^2 + (S16-MAX(S$10:S$109))^2 + (T16-MAX(T$10:T$109))^2 +(U16-MAX(U$10:U$109))^2))</f>
        <v>0</v>
      </c>
      <c r="W16" s="33">
        <f>IF('Topsis LP Auto'!$M16=0, 0, SQRT((N16-MIN(N$10:N$109))^2 + (O16-MIN(O$10:O$109))^2 + (P16-MIN(P$10:P$109))^2 + (Q16-MIN(Q$10:Q$109))^2 + (R16-MIN(R$10:R$109))^2 + (S16-MIN(S$10:S$109))^2 + (T16-MIN(T$10:T$109))^2 +(U16-MIN(U$10:U$109))^2))</f>
        <v>0</v>
      </c>
      <c r="X16" s="31" t="e">
        <f>IF('Topsis LP Auto'!$M16 = 0, 0, W16/(V16+W16))</f>
        <v>#DIV/0!</v>
      </c>
    </row>
    <row r="17" spans="1:24" ht="16.5" thickBot="1" x14ac:dyDescent="0.3">
      <c r="A17" s="78" t="str">
        <f>'Topsis LP Auto'!$M17</f>
        <v>CANY</v>
      </c>
      <c r="B17" s="34">
        <v>4229819</v>
      </c>
      <c r="C17" s="34">
        <v>0</v>
      </c>
      <c r="D17" s="34">
        <f>SUM('Topsis LP Auto'!$B17:$C17)</f>
        <v>4229819</v>
      </c>
      <c r="E17" s="34">
        <f>IF('Topsis LP Auto'!$J17 = 0, 0, (B17/J17))</f>
        <v>1</v>
      </c>
      <c r="F17" s="34">
        <f>IF(I17 = 0, 0, ('Topsis LP Auto'!$D17)/I17)</f>
        <v>0.10399998092022728</v>
      </c>
      <c r="G17" s="34" t="e">
        <f t="shared" si="0"/>
        <v>#DIV/0!</v>
      </c>
      <c r="H17" s="34" t="e">
        <f>'Topsis LP Auto'!$D17*K17</f>
        <v>#DIV/0!</v>
      </c>
      <c r="I17" s="34">
        <f>_xlfn.IFNA(VLOOKUP($A17, 'Input Screen'!$C$7:$M$101, 10, FALSE), 0)</f>
        <v>40671344</v>
      </c>
      <c r="J17" s="34">
        <f>_xlfn.IFNA(VLOOKUP($A17, 'Input Screen'!$C$7:$M$101, 11, FALSE), 0)</f>
        <v>4229819</v>
      </c>
      <c r="K17" s="34" t="e">
        <f>VLOOKUP('Topsis LP Auto'!$A17, 'Topsis LP Auto'!$M$10:$X$109, 12, FALSE)</f>
        <v>#DIV/0!</v>
      </c>
      <c r="M17" s="26" t="str">
        <f>'Input Screen'!C14</f>
        <v>CANY</v>
      </c>
      <c r="N17" s="35">
        <f>_xlfn.IFNA((VLOOKUP($M17,'Input Screen'!$C$7:$K$101, (N$8+1), 0)/SQRT(SUMSQ('Input Screen'!D$7:D$101)))*N$6, 0)</f>
        <v>0</v>
      </c>
      <c r="O17" s="35">
        <f>_xlfn.IFNA((VLOOKUP($M17,'Input Screen'!$C$7:$K$101, (O$8+1), 0)/SQRT(SUMSQ('Input Screen'!E$7:E$101)))*O$6, 0)</f>
        <v>0</v>
      </c>
      <c r="P17" s="35">
        <f>_xlfn.IFNA((VLOOKUP($M17,'Input Screen'!$C$7:$K$101, (P$8+1), 0)/SQRT(SUMSQ('Input Screen'!F$7:F$101)))*P$6, 0)</f>
        <v>0</v>
      </c>
      <c r="Q17" s="35">
        <f>_xlfn.IFNA((VLOOKUP($M17,'Input Screen'!$C$7:$K$101, (Q$8+1), 0)/SQRT(SUMSQ('Input Screen'!G$7:G$101)))*Q$6, 0)</f>
        <v>0</v>
      </c>
      <c r="R17" s="35">
        <f>_xlfn.IFNA((VLOOKUP($M17,'Input Screen'!$C$7:$K$101, (R$8+1), 0)/SQRT(SUMSQ('Input Screen'!H$7:H$101)))*R$6, 0)</f>
        <v>0</v>
      </c>
      <c r="S17" s="35">
        <f>_xlfn.IFNA((VLOOKUP($M17,'Input Screen'!$C$7:$K$101, (S$8+1), 0)/SQRT(SUMSQ('Input Screen'!I$7:I$101)))*S$6, 0)</f>
        <v>0</v>
      </c>
      <c r="T17" s="35">
        <f>_xlfn.IFNA((VLOOKUP($M17,'Input Screen'!$C$7:$K$101, (T$8+1), 0)/SQRT(SUMSQ('Input Screen'!J$7:J$101)))*T$6, 0)</f>
        <v>0</v>
      </c>
      <c r="U17" s="35">
        <f>_xlfn.IFNA((VLOOKUP($M17,'Input Screen'!$C$7:$K$101, (U$8+1), 0)/SQRT(SUMSQ('Input Screen'!K$7:K$101)))*U$6, 0)</f>
        <v>0</v>
      </c>
      <c r="V17" s="37">
        <f>IF('Topsis LP Auto'!$M17 = 0, 0, SQRT((N17-MAX(N$10:N$109))^2 + (O17-MAX(O$10:O$109))^2 + (P17-MAX(P$10:P$109))^2 + (Q17-MAX(Q$10:Q$109))^2 + (R17-MAX(R$10:R$109))^2 + (S17-MAX(S$10:S$109))^2 + (T17-MAX(T$10:T$109))^2 +(U17-MAX(U$10:U$109))^2))</f>
        <v>0</v>
      </c>
      <c r="W17" s="35">
        <f>IF('Topsis LP Auto'!$M17=0, 0, SQRT((N17-MIN(N$10:N$109))^2 + (O17-MIN(O$10:O$109))^2 + (P17-MIN(P$10:P$109))^2 + (Q17-MIN(Q$10:Q$109))^2 + (R17-MIN(R$10:R$109))^2 + (S17-MIN(S$10:S$109))^2 + (T17-MIN(T$10:T$109))^2 +(U17-MIN(U$10:U$109))^2))</f>
        <v>0</v>
      </c>
      <c r="X17" s="34" t="e">
        <f>IF('Topsis LP Auto'!$M17 = 0, 0, W17/(V17+W17))</f>
        <v>#DIV/0!</v>
      </c>
    </row>
    <row r="18" spans="1:24" ht="16.5" thickBot="1" x14ac:dyDescent="0.3">
      <c r="A18" s="76" t="str">
        <f>'Topsis LP Auto'!$M18</f>
        <v>CARE</v>
      </c>
      <c r="B18" s="31">
        <v>1088538</v>
      </c>
      <c r="C18" s="31">
        <v>0</v>
      </c>
      <c r="D18" s="31">
        <f>SUM('Topsis LP Auto'!$B18:$C18)</f>
        <v>1088538</v>
      </c>
      <c r="E18" s="31">
        <f>IF('Topsis LP Auto'!$J18 = 0, 0, (B18/J18))</f>
        <v>1</v>
      </c>
      <c r="F18" s="31">
        <f>IF(I18 = 0, 0, ('Topsis LP Auto'!$D18)/I18)</f>
        <v>0.12989998825749874</v>
      </c>
      <c r="G18" s="31" t="e">
        <f t="shared" si="0"/>
        <v>#DIV/0!</v>
      </c>
      <c r="H18" s="31" t="e">
        <f>'Topsis LP Auto'!$D18*K18</f>
        <v>#DIV/0!</v>
      </c>
      <c r="I18" s="31">
        <f>_xlfn.IFNA(VLOOKUP($A18, 'Input Screen'!$C$7:$M$101, 10, FALSE), 0)</f>
        <v>8379815.9999999991</v>
      </c>
      <c r="J18" s="31">
        <f>_xlfn.IFNA(VLOOKUP($A18, 'Input Screen'!$C$7:$M$101, 11, FALSE), 0)</f>
        <v>1088538</v>
      </c>
      <c r="K18" s="31" t="e">
        <f>VLOOKUP('Topsis LP Auto'!$A18, 'Topsis LP Auto'!$M$10:$X$109, 12, FALSE)</f>
        <v>#DIV/0!</v>
      </c>
      <c r="M18" s="32" t="str">
        <f>'Input Screen'!C15</f>
        <v>CARE</v>
      </c>
      <c r="N18" s="33">
        <f>_xlfn.IFNA((VLOOKUP($M18,'Input Screen'!$C$7:$K$101, (N$8+1), 0)/SQRT(SUMSQ('Input Screen'!D$7:D$101)))*N$6, 0)</f>
        <v>0</v>
      </c>
      <c r="O18" s="33">
        <f>_xlfn.IFNA((VLOOKUP($M18,'Input Screen'!$C$7:$K$101, (O$8+1), 0)/SQRT(SUMSQ('Input Screen'!E$7:E$101)))*O$6, 0)</f>
        <v>0</v>
      </c>
      <c r="P18" s="33">
        <f>_xlfn.IFNA((VLOOKUP($M18,'Input Screen'!$C$7:$K$101, (P$8+1), 0)/SQRT(SUMSQ('Input Screen'!F$7:F$101)))*P$6, 0)</f>
        <v>0</v>
      </c>
      <c r="Q18" s="33">
        <f>_xlfn.IFNA((VLOOKUP($M18,'Input Screen'!$C$7:$K$101, (Q$8+1), 0)/SQRT(SUMSQ('Input Screen'!G$7:G$101)))*Q$6, 0)</f>
        <v>0</v>
      </c>
      <c r="R18" s="33">
        <f>_xlfn.IFNA((VLOOKUP($M18,'Input Screen'!$C$7:$K$101, (R$8+1), 0)/SQRT(SUMSQ('Input Screen'!H$7:H$101)))*R$6, 0)</f>
        <v>0</v>
      </c>
      <c r="S18" s="33">
        <f>_xlfn.IFNA((VLOOKUP($M18,'Input Screen'!$C$7:$K$101, (S$8+1), 0)/SQRT(SUMSQ('Input Screen'!I$7:I$101)))*S$6, 0)</f>
        <v>0</v>
      </c>
      <c r="T18" s="33">
        <f>_xlfn.IFNA((VLOOKUP($M18,'Input Screen'!$C$7:$K$101, (T$8+1), 0)/SQRT(SUMSQ('Input Screen'!J$7:J$101)))*T$6, 0)</f>
        <v>0</v>
      </c>
      <c r="U18" s="33">
        <f>_xlfn.IFNA((VLOOKUP($M18,'Input Screen'!$C$7:$K$101, (U$8+1), 0)/SQRT(SUMSQ('Input Screen'!K$7:K$101)))*U$6, 0)</f>
        <v>0</v>
      </c>
      <c r="V18" s="36">
        <f>IF('Topsis LP Auto'!$M18 = 0, 0, SQRT((N18-MAX(N$10:N$109))^2 + (O18-MAX(O$10:O$109))^2 + (P18-MAX(P$10:P$109))^2 + (Q18-MAX(Q$10:Q$109))^2 + (R18-MAX(R$10:R$109))^2 + (S18-MAX(S$10:S$109))^2 + (T18-MAX(T$10:T$109))^2 +(U18-MAX(U$10:U$109))^2))</f>
        <v>0</v>
      </c>
      <c r="W18" s="33">
        <f>IF('Topsis LP Auto'!$M18=0, 0, SQRT((N18-MIN(N$10:N$109))^2 + (O18-MIN(O$10:O$109))^2 + (P18-MIN(P$10:P$109))^2 + (Q18-MIN(Q$10:Q$109))^2 + (R18-MIN(R$10:R$109))^2 + (S18-MIN(S$10:S$109))^2 + (T18-MIN(T$10:T$109))^2 +(U18-MIN(U$10:U$109))^2))</f>
        <v>0</v>
      </c>
      <c r="X18" s="31" t="e">
        <f>IF('Topsis LP Auto'!$M18 = 0, 0, W18/(V18+W18))</f>
        <v>#DIV/0!</v>
      </c>
    </row>
    <row r="19" spans="1:24" ht="16.5" thickBot="1" x14ac:dyDescent="0.3">
      <c r="A19" s="78" t="str">
        <f>'Topsis LP Auto'!$M19</f>
        <v>CAVE</v>
      </c>
      <c r="B19" s="34">
        <v>0</v>
      </c>
      <c r="C19" s="34">
        <v>0</v>
      </c>
      <c r="D19" s="34">
        <f>SUM('Topsis LP Auto'!$B19:$C19)</f>
        <v>0</v>
      </c>
      <c r="E19" s="34">
        <f>IF('Topsis LP Auto'!$J19 = 0, 0, (B19/J19))</f>
        <v>0</v>
      </c>
      <c r="F19" s="34">
        <f>IF(I19 = 0, 0, ('Topsis LP Auto'!$D19)/I19)</f>
        <v>0</v>
      </c>
      <c r="G19" s="34" t="e">
        <f t="shared" si="0"/>
        <v>#DIV/0!</v>
      </c>
      <c r="H19" s="34" t="e">
        <f>'Topsis LP Auto'!$D19*K19</f>
        <v>#DIV/0!</v>
      </c>
      <c r="I19" s="34">
        <f>_xlfn.IFNA(VLOOKUP($A19, 'Input Screen'!$C$7:$M$101, 10, FALSE), 0)</f>
        <v>46819348</v>
      </c>
      <c r="J19" s="34">
        <f>_xlfn.IFNA(VLOOKUP($A19, 'Input Screen'!$C$7:$M$101, 11, FALSE), 0)</f>
        <v>18474914</v>
      </c>
      <c r="K19" s="34" t="e">
        <f>VLOOKUP('Topsis LP Auto'!$A19, 'Topsis LP Auto'!$M$10:$X$109, 12, FALSE)</f>
        <v>#DIV/0!</v>
      </c>
      <c r="M19" s="26" t="str">
        <f>'Input Screen'!C16</f>
        <v>CAVE</v>
      </c>
      <c r="N19" s="35">
        <f>_xlfn.IFNA((VLOOKUP($M19,'Input Screen'!$C$7:$K$101, (N$8+1), 0)/SQRT(SUMSQ('Input Screen'!D$7:D$101)))*N$6, 0)</f>
        <v>0</v>
      </c>
      <c r="O19" s="35">
        <f>_xlfn.IFNA((VLOOKUP($M19,'Input Screen'!$C$7:$K$101, (O$8+1), 0)/SQRT(SUMSQ('Input Screen'!E$7:E$101)))*O$6, 0)</f>
        <v>0</v>
      </c>
      <c r="P19" s="35">
        <f>_xlfn.IFNA((VLOOKUP($M19,'Input Screen'!$C$7:$K$101, (P$8+1), 0)/SQRT(SUMSQ('Input Screen'!F$7:F$101)))*P$6, 0)</f>
        <v>0</v>
      </c>
      <c r="Q19" s="35">
        <f>_xlfn.IFNA((VLOOKUP($M19,'Input Screen'!$C$7:$K$101, (Q$8+1), 0)/SQRT(SUMSQ('Input Screen'!G$7:G$101)))*Q$6, 0)</f>
        <v>0</v>
      </c>
      <c r="R19" s="35">
        <f>_xlfn.IFNA((VLOOKUP($M19,'Input Screen'!$C$7:$K$101, (R$8+1), 0)/SQRT(SUMSQ('Input Screen'!H$7:H$101)))*R$6, 0)</f>
        <v>0</v>
      </c>
      <c r="S19" s="35">
        <f>_xlfn.IFNA((VLOOKUP($M19,'Input Screen'!$C$7:$K$101, (S$8+1), 0)/SQRT(SUMSQ('Input Screen'!I$7:I$101)))*S$6, 0)</f>
        <v>0</v>
      </c>
      <c r="T19" s="35">
        <f>_xlfn.IFNA((VLOOKUP($M19,'Input Screen'!$C$7:$K$101, (T$8+1), 0)/SQRT(SUMSQ('Input Screen'!J$7:J$101)))*T$6, 0)</f>
        <v>0</v>
      </c>
      <c r="U19" s="35">
        <f>_xlfn.IFNA((VLOOKUP($M19,'Input Screen'!$C$7:$K$101, (U$8+1), 0)/SQRT(SUMSQ('Input Screen'!K$7:K$101)))*U$6, 0)</f>
        <v>0</v>
      </c>
      <c r="V19" s="37">
        <f>IF('Topsis LP Auto'!$M19 = 0, 0, SQRT((N19-MAX(N$10:N$109))^2 + (O19-MAX(O$10:O$109))^2 + (P19-MAX(P$10:P$109))^2 + (Q19-MAX(Q$10:Q$109))^2 + (R19-MAX(R$10:R$109))^2 + (S19-MAX(S$10:S$109))^2 + (T19-MAX(T$10:T$109))^2 +(U19-MAX(U$10:U$109))^2))</f>
        <v>0</v>
      </c>
      <c r="W19" s="35">
        <f>IF('Topsis LP Auto'!$M19=0, 0, SQRT((N19-MIN(N$10:N$109))^2 + (O19-MIN(O$10:O$109))^2 + (P19-MIN(P$10:P$109))^2 + (Q19-MIN(Q$10:Q$109))^2 + (R19-MIN(R$10:R$109))^2 + (S19-MIN(S$10:S$109))^2 + (T19-MIN(T$10:T$109))^2 +(U19-MIN(U$10:U$109))^2))</f>
        <v>0</v>
      </c>
      <c r="X19" s="34" t="e">
        <f>IF('Topsis LP Auto'!$M19 = 0, 0, W19/(V19+W19))</f>
        <v>#DIV/0!</v>
      </c>
    </row>
    <row r="20" spans="1:24" ht="16.5" thickBot="1" x14ac:dyDescent="0.3">
      <c r="A20" s="76" t="str">
        <f>'Topsis LP Auto'!$M20</f>
        <v>CHIS</v>
      </c>
      <c r="B20" s="31">
        <v>6112271</v>
      </c>
      <c r="C20" s="31">
        <v>0</v>
      </c>
      <c r="D20" s="31">
        <f>SUM('Topsis LP Auto'!$B20:$C20)</f>
        <v>6112271</v>
      </c>
      <c r="E20" s="31">
        <f>IF('Topsis LP Auto'!$J20 = 0, 0, (B20/J20))</f>
        <v>1</v>
      </c>
      <c r="F20" s="31">
        <f>IF(I20 = 0, 0, ('Topsis LP Auto'!$D20)/I20)</f>
        <v>0.4463999788495252</v>
      </c>
      <c r="G20" s="31" t="e">
        <f t="shared" si="0"/>
        <v>#DIV/0!</v>
      </c>
      <c r="H20" s="31" t="e">
        <f>'Topsis LP Auto'!$D20*K20</f>
        <v>#DIV/0!</v>
      </c>
      <c r="I20" s="31">
        <f>_xlfn.IFNA(VLOOKUP($A20, 'Input Screen'!$C$7:$M$101, 10, FALSE), 0)</f>
        <v>13692364</v>
      </c>
      <c r="J20" s="31">
        <f>_xlfn.IFNA(VLOOKUP($A20, 'Input Screen'!$C$7:$M$101, 11, FALSE), 0)</f>
        <v>6112271</v>
      </c>
      <c r="K20" s="31" t="e">
        <f>VLOOKUP('Topsis LP Auto'!$A20, 'Topsis LP Auto'!$M$10:$X$109, 12, FALSE)</f>
        <v>#DIV/0!</v>
      </c>
      <c r="M20" s="32" t="str">
        <f>'Input Screen'!C17</f>
        <v>CHIS</v>
      </c>
      <c r="N20" s="33">
        <f>_xlfn.IFNA((VLOOKUP($M20,'Input Screen'!$C$7:$K$101, (N$8+1), 0)/SQRT(SUMSQ('Input Screen'!D$7:D$101)))*N$6, 0)</f>
        <v>0</v>
      </c>
      <c r="O20" s="33">
        <f>_xlfn.IFNA((VLOOKUP($M20,'Input Screen'!$C$7:$K$101, (O$8+1), 0)/SQRT(SUMSQ('Input Screen'!E$7:E$101)))*O$6, 0)</f>
        <v>0</v>
      </c>
      <c r="P20" s="33">
        <f>_xlfn.IFNA((VLOOKUP($M20,'Input Screen'!$C$7:$K$101, (P$8+1), 0)/SQRT(SUMSQ('Input Screen'!F$7:F$101)))*P$6, 0)</f>
        <v>0</v>
      </c>
      <c r="Q20" s="33">
        <f>_xlfn.IFNA((VLOOKUP($M20,'Input Screen'!$C$7:$K$101, (Q$8+1), 0)/SQRT(SUMSQ('Input Screen'!G$7:G$101)))*Q$6, 0)</f>
        <v>0</v>
      </c>
      <c r="R20" s="33">
        <f>_xlfn.IFNA((VLOOKUP($M20,'Input Screen'!$C$7:$K$101, (R$8+1), 0)/SQRT(SUMSQ('Input Screen'!H$7:H$101)))*R$6, 0)</f>
        <v>0</v>
      </c>
      <c r="S20" s="33">
        <f>_xlfn.IFNA((VLOOKUP($M20,'Input Screen'!$C$7:$K$101, (S$8+1), 0)/SQRT(SUMSQ('Input Screen'!I$7:I$101)))*S$6, 0)</f>
        <v>0</v>
      </c>
      <c r="T20" s="33">
        <f>_xlfn.IFNA((VLOOKUP($M20,'Input Screen'!$C$7:$K$101, (T$8+1), 0)/SQRT(SUMSQ('Input Screen'!J$7:J$101)))*T$6, 0)</f>
        <v>0</v>
      </c>
      <c r="U20" s="33">
        <f>_xlfn.IFNA((VLOOKUP($M20,'Input Screen'!$C$7:$K$101, (U$8+1), 0)/SQRT(SUMSQ('Input Screen'!K$7:K$101)))*U$6, 0)</f>
        <v>0</v>
      </c>
      <c r="V20" s="36">
        <f>IF('Topsis LP Auto'!$M20 = 0, 0, SQRT((N20-MAX(N$10:N$109))^2 + (O20-MAX(O$10:O$109))^2 + (P20-MAX(P$10:P$109))^2 + (Q20-MAX(Q$10:Q$109))^2 + (R20-MAX(R$10:R$109))^2 + (S20-MAX(S$10:S$109))^2 + (T20-MAX(T$10:T$109))^2 +(U20-MAX(U$10:U$109))^2))</f>
        <v>0</v>
      </c>
      <c r="W20" s="33">
        <f>IF('Topsis LP Auto'!$M20=0, 0, SQRT((N20-MIN(N$10:N$109))^2 + (O20-MIN(O$10:O$109))^2 + (P20-MIN(P$10:P$109))^2 + (Q20-MIN(Q$10:Q$109))^2 + (R20-MIN(R$10:R$109))^2 + (S20-MIN(S$10:S$109))^2 + (T20-MIN(T$10:T$109))^2 +(U20-MIN(U$10:U$109))^2))</f>
        <v>0</v>
      </c>
      <c r="X20" s="31" t="e">
        <f>IF('Topsis LP Auto'!$M20 = 0, 0, W20/(V20+W20))</f>
        <v>#DIV/0!</v>
      </c>
    </row>
    <row r="21" spans="1:24" ht="16.5" thickBot="1" x14ac:dyDescent="0.3">
      <c r="A21" s="78" t="str">
        <f>'Topsis LP Auto'!$M21</f>
        <v>CONG</v>
      </c>
      <c r="B21" s="34">
        <v>1269732</v>
      </c>
      <c r="C21" s="34">
        <v>2534141</v>
      </c>
      <c r="D21" s="34">
        <f>SUM('Topsis LP Auto'!$B21:$C21)</f>
        <v>3803873</v>
      </c>
      <c r="E21" s="34">
        <f>IF('Topsis LP Auto'!$J21 = 0, 0, (B21/J21))</f>
        <v>1</v>
      </c>
      <c r="F21" s="34">
        <f>IF(I21 = 0, 0, ('Topsis LP Auto'!$D21)/I21)</f>
        <v>1</v>
      </c>
      <c r="G21" s="34" t="e">
        <f t="shared" si="0"/>
        <v>#DIV/0!</v>
      </c>
      <c r="H21" s="34" t="e">
        <f>'Topsis LP Auto'!$D21*K21</f>
        <v>#DIV/0!</v>
      </c>
      <c r="I21" s="34">
        <f>_xlfn.IFNA(VLOOKUP($A21, 'Input Screen'!$C$7:$M$101, 10, FALSE), 0)</f>
        <v>3803873</v>
      </c>
      <c r="J21" s="34">
        <f>_xlfn.IFNA(VLOOKUP($A21, 'Input Screen'!$C$7:$M$101, 11, FALSE), 0)</f>
        <v>1269732</v>
      </c>
      <c r="K21" s="34" t="e">
        <f>VLOOKUP('Topsis LP Auto'!$A21, 'Topsis LP Auto'!$M$10:$X$109, 12, FALSE)</f>
        <v>#DIV/0!</v>
      </c>
      <c r="M21" s="26" t="str">
        <f>'Input Screen'!C18</f>
        <v>CONG</v>
      </c>
      <c r="N21" s="35">
        <f>_xlfn.IFNA((VLOOKUP($M21,'Input Screen'!$C$7:$K$101, (N$8+1), 0)/SQRT(SUMSQ('Input Screen'!D$7:D$101)))*N$6, 0)</f>
        <v>0</v>
      </c>
      <c r="O21" s="35">
        <f>_xlfn.IFNA((VLOOKUP($M21,'Input Screen'!$C$7:$K$101, (O$8+1), 0)/SQRT(SUMSQ('Input Screen'!E$7:E$101)))*O$6, 0)</f>
        <v>0</v>
      </c>
      <c r="P21" s="35">
        <f>_xlfn.IFNA((VLOOKUP($M21,'Input Screen'!$C$7:$K$101, (P$8+1), 0)/SQRT(SUMSQ('Input Screen'!F$7:F$101)))*P$6, 0)</f>
        <v>0</v>
      </c>
      <c r="Q21" s="35">
        <f>_xlfn.IFNA((VLOOKUP($M21,'Input Screen'!$C$7:$K$101, (Q$8+1), 0)/SQRT(SUMSQ('Input Screen'!G$7:G$101)))*Q$6, 0)</f>
        <v>0</v>
      </c>
      <c r="R21" s="35">
        <f>_xlfn.IFNA((VLOOKUP($M21,'Input Screen'!$C$7:$K$101, (R$8+1), 0)/SQRT(SUMSQ('Input Screen'!H$7:H$101)))*R$6, 0)</f>
        <v>0</v>
      </c>
      <c r="S21" s="35">
        <f>_xlfn.IFNA((VLOOKUP($M21,'Input Screen'!$C$7:$K$101, (S$8+1), 0)/SQRT(SUMSQ('Input Screen'!I$7:I$101)))*S$6, 0)</f>
        <v>0</v>
      </c>
      <c r="T21" s="35">
        <f>_xlfn.IFNA((VLOOKUP($M21,'Input Screen'!$C$7:$K$101, (T$8+1), 0)/SQRT(SUMSQ('Input Screen'!J$7:J$101)))*T$6, 0)</f>
        <v>0</v>
      </c>
      <c r="U21" s="35">
        <f>_xlfn.IFNA((VLOOKUP($M21,'Input Screen'!$C$7:$K$101, (U$8+1), 0)/SQRT(SUMSQ('Input Screen'!K$7:K$101)))*U$6, 0)</f>
        <v>0</v>
      </c>
      <c r="V21" s="37">
        <f>IF('Topsis LP Auto'!$M21 = 0, 0, SQRT((N21-MAX(N$10:N$109))^2 + (O21-MAX(O$10:O$109))^2 + (P21-MAX(P$10:P$109))^2 + (Q21-MAX(Q$10:Q$109))^2 + (R21-MAX(R$10:R$109))^2 + (S21-MAX(S$10:S$109))^2 + (T21-MAX(T$10:T$109))^2 +(U21-MAX(U$10:U$109))^2))</f>
        <v>0</v>
      </c>
      <c r="W21" s="35">
        <f>IF('Topsis LP Auto'!$M21=0, 0, SQRT((N21-MIN(N$10:N$109))^2 + (O21-MIN(O$10:O$109))^2 + (P21-MIN(P$10:P$109))^2 + (Q21-MIN(Q$10:Q$109))^2 + (R21-MIN(R$10:R$109))^2 + (S21-MIN(S$10:S$109))^2 + (T21-MIN(T$10:T$109))^2 +(U21-MIN(U$10:U$109))^2))</f>
        <v>0</v>
      </c>
      <c r="X21" s="34" t="e">
        <f>IF('Topsis LP Auto'!$M21 = 0, 0, W21/(V21+W21))</f>
        <v>#DIV/0!</v>
      </c>
    </row>
    <row r="22" spans="1:24" ht="16.5" thickBot="1" x14ac:dyDescent="0.3">
      <c r="A22" s="76" t="str">
        <f>'Topsis LP Auto'!$M22</f>
        <v>CRLA</v>
      </c>
      <c r="B22" s="31">
        <v>0</v>
      </c>
      <c r="C22" s="31">
        <v>0</v>
      </c>
      <c r="D22" s="31">
        <f>SUM('Topsis LP Auto'!$B22:$C22)</f>
        <v>0</v>
      </c>
      <c r="E22" s="31">
        <f>IF('Topsis LP Auto'!$J22 = 0, 0, (B22/J22))</f>
        <v>0</v>
      </c>
      <c r="F22" s="31">
        <f>IF(I22 = 0, 0, ('Topsis LP Auto'!$D22)/I22)</f>
        <v>0</v>
      </c>
      <c r="G22" s="31" t="e">
        <f t="shared" si="0"/>
        <v>#DIV/0!</v>
      </c>
      <c r="H22" s="31" t="e">
        <f>'Topsis LP Auto'!$D22*K22</f>
        <v>#DIV/0!</v>
      </c>
      <c r="I22" s="31">
        <f>_xlfn.IFNA(VLOOKUP($A22, 'Input Screen'!$C$7:$M$101, 10, FALSE), 0)</f>
        <v>94080988</v>
      </c>
      <c r="J22" s="31">
        <f>_xlfn.IFNA(VLOOKUP($A22, 'Input Screen'!$C$7:$M$101, 11, FALSE), 0)</f>
        <v>12465730</v>
      </c>
      <c r="K22" s="31" t="e">
        <f>VLOOKUP('Topsis LP Auto'!$A22, 'Topsis LP Auto'!$M$10:$X$109, 12, FALSE)</f>
        <v>#DIV/0!</v>
      </c>
      <c r="M22" s="32" t="str">
        <f>'Input Screen'!C19</f>
        <v>CRLA</v>
      </c>
      <c r="N22" s="33">
        <f>_xlfn.IFNA((VLOOKUP($M22,'Input Screen'!$C$7:$K$101, (N$8+1), 0)/SQRT(SUMSQ('Input Screen'!D$7:D$101)))*N$6, 0)</f>
        <v>0</v>
      </c>
      <c r="O22" s="33">
        <f>_xlfn.IFNA((VLOOKUP($M22,'Input Screen'!$C$7:$K$101, (O$8+1), 0)/SQRT(SUMSQ('Input Screen'!E$7:E$101)))*O$6, 0)</f>
        <v>0</v>
      </c>
      <c r="P22" s="33">
        <f>_xlfn.IFNA((VLOOKUP($M22,'Input Screen'!$C$7:$K$101, (P$8+1), 0)/SQRT(SUMSQ('Input Screen'!F$7:F$101)))*P$6, 0)</f>
        <v>0</v>
      </c>
      <c r="Q22" s="33">
        <f>_xlfn.IFNA((VLOOKUP($M22,'Input Screen'!$C$7:$K$101, (Q$8+1), 0)/SQRT(SUMSQ('Input Screen'!G$7:G$101)))*Q$6, 0)</f>
        <v>0</v>
      </c>
      <c r="R22" s="33">
        <f>_xlfn.IFNA((VLOOKUP($M22,'Input Screen'!$C$7:$K$101, (R$8+1), 0)/SQRT(SUMSQ('Input Screen'!H$7:H$101)))*R$6, 0)</f>
        <v>0</v>
      </c>
      <c r="S22" s="33">
        <f>_xlfn.IFNA((VLOOKUP($M22,'Input Screen'!$C$7:$K$101, (S$8+1), 0)/SQRT(SUMSQ('Input Screen'!I$7:I$101)))*S$6, 0)</f>
        <v>0</v>
      </c>
      <c r="T22" s="33">
        <f>_xlfn.IFNA((VLOOKUP($M22,'Input Screen'!$C$7:$K$101, (T$8+1), 0)/SQRT(SUMSQ('Input Screen'!J$7:J$101)))*T$6, 0)</f>
        <v>0</v>
      </c>
      <c r="U22" s="33">
        <f>_xlfn.IFNA((VLOOKUP($M22,'Input Screen'!$C$7:$K$101, (U$8+1), 0)/SQRT(SUMSQ('Input Screen'!K$7:K$101)))*U$6, 0)</f>
        <v>0</v>
      </c>
      <c r="V22" s="36">
        <f>IF('Topsis LP Auto'!$M22 = 0, 0, SQRT((N22-MAX(N$10:N$109))^2 + (O22-MAX(O$10:O$109))^2 + (P22-MAX(P$10:P$109))^2 + (Q22-MAX(Q$10:Q$109))^2 + (R22-MAX(R$10:R$109))^2 + (S22-MAX(S$10:S$109))^2 + (T22-MAX(T$10:T$109))^2 +(U22-MAX(U$10:U$109))^2))</f>
        <v>0</v>
      </c>
      <c r="W22" s="33">
        <f>IF('Topsis LP Auto'!$M22=0, 0, SQRT((N22-MIN(N$10:N$109))^2 + (O22-MIN(O$10:O$109))^2 + (P22-MIN(P$10:P$109))^2 + (Q22-MIN(Q$10:Q$109))^2 + (R22-MIN(R$10:R$109))^2 + (S22-MIN(S$10:S$109))^2 + (T22-MIN(T$10:T$109))^2 +(U22-MIN(U$10:U$109))^2))</f>
        <v>0</v>
      </c>
      <c r="X22" s="31" t="e">
        <f>IF('Topsis LP Auto'!$M22 = 0, 0, W22/(V22+W22))</f>
        <v>#DIV/0!</v>
      </c>
    </row>
    <row r="23" spans="1:24" ht="16.5" thickBot="1" x14ac:dyDescent="0.3">
      <c r="A23" s="78" t="str">
        <f>'Topsis LP Auto'!$M23</f>
        <v>CUVA</v>
      </c>
      <c r="B23" s="34">
        <v>0</v>
      </c>
      <c r="C23" s="34">
        <v>0</v>
      </c>
      <c r="D23" s="34">
        <f>SUM('Topsis LP Auto'!$B23:$C23)</f>
        <v>0</v>
      </c>
      <c r="E23" s="34">
        <f>IF('Topsis LP Auto'!$J23 = 0, 0, (B23/J23))</f>
        <v>0</v>
      </c>
      <c r="F23" s="34">
        <f>IF(I23 = 0, 0, ('Topsis LP Auto'!$D23)/I23)</f>
        <v>0</v>
      </c>
      <c r="G23" s="34" t="e">
        <f t="shared" si="0"/>
        <v>#DIV/0!</v>
      </c>
      <c r="H23" s="34" t="e">
        <f>'Topsis LP Auto'!$D23*K23</f>
        <v>#DIV/0!</v>
      </c>
      <c r="I23" s="34">
        <f>_xlfn.IFNA(VLOOKUP($A23, 'Input Screen'!$C$7:$M$101, 10, FALSE), 0)</f>
        <v>45813356</v>
      </c>
      <c r="J23" s="34">
        <f>_xlfn.IFNA(VLOOKUP($A23, 'Input Screen'!$C$7:$M$101, 11, FALSE), 0)</f>
        <v>24959116</v>
      </c>
      <c r="K23" s="34" t="e">
        <f>VLOOKUP('Topsis LP Auto'!$A23, 'Topsis LP Auto'!$M$10:$X$109, 12, FALSE)</f>
        <v>#DIV/0!</v>
      </c>
      <c r="M23" s="26" t="str">
        <f>'Input Screen'!C20</f>
        <v>CUVA</v>
      </c>
      <c r="N23" s="35">
        <f>_xlfn.IFNA((VLOOKUP($M23,'Input Screen'!$C$7:$K$101, (N$8+1), 0)/SQRT(SUMSQ('Input Screen'!D$7:D$101)))*N$6, 0)</f>
        <v>0</v>
      </c>
      <c r="O23" s="35">
        <f>_xlfn.IFNA((VLOOKUP($M23,'Input Screen'!$C$7:$K$101, (O$8+1), 0)/SQRT(SUMSQ('Input Screen'!E$7:E$101)))*O$6, 0)</f>
        <v>0</v>
      </c>
      <c r="P23" s="35">
        <f>_xlfn.IFNA((VLOOKUP($M23,'Input Screen'!$C$7:$K$101, (P$8+1), 0)/SQRT(SUMSQ('Input Screen'!F$7:F$101)))*P$6, 0)</f>
        <v>0</v>
      </c>
      <c r="Q23" s="35">
        <f>_xlfn.IFNA((VLOOKUP($M23,'Input Screen'!$C$7:$K$101, (Q$8+1), 0)/SQRT(SUMSQ('Input Screen'!G$7:G$101)))*Q$6, 0)</f>
        <v>0</v>
      </c>
      <c r="R23" s="35">
        <f>_xlfn.IFNA((VLOOKUP($M23,'Input Screen'!$C$7:$K$101, (R$8+1), 0)/SQRT(SUMSQ('Input Screen'!H$7:H$101)))*R$6, 0)</f>
        <v>0</v>
      </c>
      <c r="S23" s="35">
        <f>_xlfn.IFNA((VLOOKUP($M23,'Input Screen'!$C$7:$K$101, (S$8+1), 0)/SQRT(SUMSQ('Input Screen'!I$7:I$101)))*S$6, 0)</f>
        <v>0</v>
      </c>
      <c r="T23" s="35">
        <f>_xlfn.IFNA((VLOOKUP($M23,'Input Screen'!$C$7:$K$101, (T$8+1), 0)/SQRT(SUMSQ('Input Screen'!J$7:J$101)))*T$6, 0)</f>
        <v>0</v>
      </c>
      <c r="U23" s="35">
        <f>_xlfn.IFNA((VLOOKUP($M23,'Input Screen'!$C$7:$K$101, (U$8+1), 0)/SQRT(SUMSQ('Input Screen'!K$7:K$101)))*U$6, 0)</f>
        <v>0</v>
      </c>
      <c r="V23" s="37">
        <f>IF('Topsis LP Auto'!$M23 = 0, 0, SQRT((N23-MAX(N$10:N$109))^2 + (O23-MAX(O$10:O$109))^2 + (P23-MAX(P$10:P$109))^2 + (Q23-MAX(Q$10:Q$109))^2 + (R23-MAX(R$10:R$109))^2 + (S23-MAX(S$10:S$109))^2 + (T23-MAX(T$10:T$109))^2 +(U23-MAX(U$10:U$109))^2))</f>
        <v>0</v>
      </c>
      <c r="W23" s="35">
        <f>IF('Topsis LP Auto'!$M23=0, 0, SQRT((N23-MIN(N$10:N$109))^2 + (O23-MIN(O$10:O$109))^2 + (P23-MIN(P$10:P$109))^2 + (Q23-MIN(Q$10:Q$109))^2 + (R23-MIN(R$10:R$109))^2 + (S23-MIN(S$10:S$109))^2 + (T23-MIN(T$10:T$109))^2 +(U23-MIN(U$10:U$109))^2))</f>
        <v>0</v>
      </c>
      <c r="X23" s="34" t="e">
        <f>IF('Topsis LP Auto'!$M23 = 0, 0, W23/(V23+W23))</f>
        <v>#DIV/0!</v>
      </c>
    </row>
    <row r="24" spans="1:24" ht="16.5" thickBot="1" x14ac:dyDescent="0.3">
      <c r="A24" s="76" t="str">
        <f>'Topsis LP Auto'!$M24</f>
        <v>DENA</v>
      </c>
      <c r="B24" s="31">
        <v>17848520</v>
      </c>
      <c r="C24" s="31">
        <v>0</v>
      </c>
      <c r="D24" s="31">
        <f>SUM('Topsis LP Auto'!$B24:$C24)</f>
        <v>17848520</v>
      </c>
      <c r="E24" s="31">
        <f>IF('Topsis LP Auto'!$J24 = 0, 0, (B24/J24))</f>
        <v>1</v>
      </c>
      <c r="F24" s="31">
        <f>IF(I24 = 0, 0, ('Topsis LP Auto'!$D24)/I24)</f>
        <v>0.32609998214066305</v>
      </c>
      <c r="G24" s="31" t="e">
        <f t="shared" si="0"/>
        <v>#DIV/0!</v>
      </c>
      <c r="H24" s="31" t="e">
        <f>'Topsis LP Auto'!$D24*K24</f>
        <v>#DIV/0!</v>
      </c>
      <c r="I24" s="31">
        <f>_xlfn.IFNA(VLOOKUP($A24, 'Input Screen'!$C$7:$M$101, 10, FALSE), 0)</f>
        <v>54733275</v>
      </c>
      <c r="J24" s="31">
        <f>_xlfn.IFNA(VLOOKUP($A24, 'Input Screen'!$C$7:$M$101, 11, FALSE), 0)</f>
        <v>17848520</v>
      </c>
      <c r="K24" s="31" t="e">
        <f>VLOOKUP('Topsis LP Auto'!$A24, 'Topsis LP Auto'!$M$10:$X$109, 12, FALSE)</f>
        <v>#DIV/0!</v>
      </c>
      <c r="M24" s="32" t="str">
        <f>'Input Screen'!C21</f>
        <v>DENA</v>
      </c>
      <c r="N24" s="33">
        <f>_xlfn.IFNA((VLOOKUP($M24,'Input Screen'!$C$7:$K$101, (N$8+1), 0)/SQRT(SUMSQ('Input Screen'!D$7:D$101)))*N$6, 0)</f>
        <v>0</v>
      </c>
      <c r="O24" s="33">
        <f>_xlfn.IFNA((VLOOKUP($M24,'Input Screen'!$C$7:$K$101, (O$8+1), 0)/SQRT(SUMSQ('Input Screen'!E$7:E$101)))*O$6, 0)</f>
        <v>0</v>
      </c>
      <c r="P24" s="33">
        <f>_xlfn.IFNA((VLOOKUP($M24,'Input Screen'!$C$7:$K$101, (P$8+1), 0)/SQRT(SUMSQ('Input Screen'!F$7:F$101)))*P$6, 0)</f>
        <v>0</v>
      </c>
      <c r="Q24" s="33">
        <f>_xlfn.IFNA((VLOOKUP($M24,'Input Screen'!$C$7:$K$101, (Q$8+1), 0)/SQRT(SUMSQ('Input Screen'!G$7:G$101)))*Q$6, 0)</f>
        <v>0</v>
      </c>
      <c r="R24" s="33">
        <f>_xlfn.IFNA((VLOOKUP($M24,'Input Screen'!$C$7:$K$101, (R$8+1), 0)/SQRT(SUMSQ('Input Screen'!H$7:H$101)))*R$6, 0)</f>
        <v>0</v>
      </c>
      <c r="S24" s="33">
        <f>_xlfn.IFNA((VLOOKUP($M24,'Input Screen'!$C$7:$K$101, (S$8+1), 0)/SQRT(SUMSQ('Input Screen'!I$7:I$101)))*S$6, 0)</f>
        <v>0</v>
      </c>
      <c r="T24" s="33">
        <f>_xlfn.IFNA((VLOOKUP($M24,'Input Screen'!$C$7:$K$101, (T$8+1), 0)/SQRT(SUMSQ('Input Screen'!J$7:J$101)))*T$6, 0)</f>
        <v>0</v>
      </c>
      <c r="U24" s="33">
        <f>_xlfn.IFNA((VLOOKUP($M24,'Input Screen'!$C$7:$K$101, (U$8+1), 0)/SQRT(SUMSQ('Input Screen'!K$7:K$101)))*U$6, 0)</f>
        <v>0</v>
      </c>
      <c r="V24" s="36">
        <f>IF('Topsis LP Auto'!$M24 = 0, 0, SQRT((N24-MAX(N$10:N$109))^2 + (O24-MAX(O$10:O$109))^2 + (P24-MAX(P$10:P$109))^2 + (Q24-MAX(Q$10:Q$109))^2 + (R24-MAX(R$10:R$109))^2 + (S24-MAX(S$10:S$109))^2 + (T24-MAX(T$10:T$109))^2 +(U24-MAX(U$10:U$109))^2))</f>
        <v>0</v>
      </c>
      <c r="W24" s="33">
        <f>IF('Topsis LP Auto'!$M24=0, 0, SQRT((N24-MIN(N$10:N$109))^2 + (O24-MIN(O$10:O$109))^2 + (P24-MIN(P$10:P$109))^2 + (Q24-MIN(Q$10:Q$109))^2 + (R24-MIN(R$10:R$109))^2 + (S24-MIN(S$10:S$109))^2 + (T24-MIN(T$10:T$109))^2 +(U24-MIN(U$10:U$109))^2))</f>
        <v>0</v>
      </c>
      <c r="X24" s="31" t="e">
        <f>IF('Topsis LP Auto'!$M24 = 0, 0, W24/(V24+W24))</f>
        <v>#DIV/0!</v>
      </c>
    </row>
    <row r="25" spans="1:24" ht="16.5" thickBot="1" x14ac:dyDescent="0.3">
      <c r="A25" s="78" t="str">
        <f>'Topsis LP Auto'!$M25</f>
        <v>DEVA</v>
      </c>
      <c r="B25" s="34">
        <v>0</v>
      </c>
      <c r="C25" s="34">
        <v>0</v>
      </c>
      <c r="D25" s="34">
        <f>SUM('Topsis LP Auto'!$B25:$C25)</f>
        <v>0</v>
      </c>
      <c r="E25" s="34">
        <f>IF('Topsis LP Auto'!$J25 = 0, 0, (B25/J25))</f>
        <v>0</v>
      </c>
      <c r="F25" s="34">
        <f>IF(I25 = 0, 0, ('Topsis LP Auto'!$D25)/I25)</f>
        <v>0</v>
      </c>
      <c r="G25" s="34" t="e">
        <f t="shared" si="0"/>
        <v>#DIV/0!</v>
      </c>
      <c r="H25" s="34" t="e">
        <f>'Topsis LP Auto'!$D25*K25</f>
        <v>#DIV/0!</v>
      </c>
      <c r="I25" s="34">
        <f>_xlfn.IFNA(VLOOKUP($A25, 'Input Screen'!$C$7:$M$101, 10, FALSE), 0)</f>
        <v>139335915</v>
      </c>
      <c r="J25" s="34">
        <f>_xlfn.IFNA(VLOOKUP($A25, 'Input Screen'!$C$7:$M$101, 11, FALSE), 0)</f>
        <v>12582033</v>
      </c>
      <c r="K25" s="34" t="e">
        <f>VLOOKUP('Topsis LP Auto'!$A25, 'Topsis LP Auto'!$M$10:$X$109, 12, FALSE)</f>
        <v>#DIV/0!</v>
      </c>
      <c r="M25" s="26" t="str">
        <f>'Input Screen'!C22</f>
        <v>DEVA</v>
      </c>
      <c r="N25" s="35">
        <f>_xlfn.IFNA((VLOOKUP($M25,'Input Screen'!$C$7:$K$101, (N$8+1), 0)/SQRT(SUMSQ('Input Screen'!D$7:D$101)))*N$6, 0)</f>
        <v>0</v>
      </c>
      <c r="O25" s="35">
        <f>_xlfn.IFNA((VLOOKUP($M25,'Input Screen'!$C$7:$K$101, (O$8+1), 0)/SQRT(SUMSQ('Input Screen'!E$7:E$101)))*O$6, 0)</f>
        <v>0</v>
      </c>
      <c r="P25" s="35">
        <f>_xlfn.IFNA((VLOOKUP($M25,'Input Screen'!$C$7:$K$101, (P$8+1), 0)/SQRT(SUMSQ('Input Screen'!F$7:F$101)))*P$6, 0)</f>
        <v>0</v>
      </c>
      <c r="Q25" s="35">
        <f>_xlfn.IFNA((VLOOKUP($M25,'Input Screen'!$C$7:$K$101, (Q$8+1), 0)/SQRT(SUMSQ('Input Screen'!G$7:G$101)))*Q$6, 0)</f>
        <v>0</v>
      </c>
      <c r="R25" s="35">
        <f>_xlfn.IFNA((VLOOKUP($M25,'Input Screen'!$C$7:$K$101, (R$8+1), 0)/SQRT(SUMSQ('Input Screen'!H$7:H$101)))*R$6, 0)</f>
        <v>0</v>
      </c>
      <c r="S25" s="35">
        <f>_xlfn.IFNA((VLOOKUP($M25,'Input Screen'!$C$7:$K$101, (S$8+1), 0)/SQRT(SUMSQ('Input Screen'!I$7:I$101)))*S$6, 0)</f>
        <v>0</v>
      </c>
      <c r="T25" s="35">
        <f>_xlfn.IFNA((VLOOKUP($M25,'Input Screen'!$C$7:$K$101, (T$8+1), 0)/SQRT(SUMSQ('Input Screen'!J$7:J$101)))*T$6, 0)</f>
        <v>0</v>
      </c>
      <c r="U25" s="35">
        <f>_xlfn.IFNA((VLOOKUP($M25,'Input Screen'!$C$7:$K$101, (U$8+1), 0)/SQRT(SUMSQ('Input Screen'!K$7:K$101)))*U$6, 0)</f>
        <v>0</v>
      </c>
      <c r="V25" s="37">
        <f>IF('Topsis LP Auto'!$M25 = 0, 0, SQRT((N25-MAX(N$10:N$109))^2 + (O25-MAX(O$10:O$109))^2 + (P25-MAX(P$10:P$109))^2 + (Q25-MAX(Q$10:Q$109))^2 + (R25-MAX(R$10:R$109))^2 + (S25-MAX(S$10:S$109))^2 + (T25-MAX(T$10:T$109))^2 +(U25-MAX(U$10:U$109))^2))</f>
        <v>0</v>
      </c>
      <c r="W25" s="35">
        <f>IF('Topsis LP Auto'!$M25=0, 0, SQRT((N25-MIN(N$10:N$109))^2 + (O25-MIN(O$10:O$109))^2 + (P25-MIN(P$10:P$109))^2 + (Q25-MIN(Q$10:Q$109))^2 + (R25-MIN(R$10:R$109))^2 + (S25-MIN(S$10:S$109))^2 + (T25-MIN(T$10:T$109))^2 +(U25-MIN(U$10:U$109))^2))</f>
        <v>0</v>
      </c>
      <c r="X25" s="34" t="e">
        <f>IF('Topsis LP Auto'!$M25 = 0, 0, W25/(V25+W25))</f>
        <v>#DIV/0!</v>
      </c>
    </row>
    <row r="26" spans="1:24" ht="16.5" thickBot="1" x14ac:dyDescent="0.3">
      <c r="A26" s="76" t="str">
        <f>'Topsis LP Auto'!$M26</f>
        <v>DRTO</v>
      </c>
      <c r="B26" s="31">
        <v>30171870</v>
      </c>
      <c r="C26" s="31">
        <v>0</v>
      </c>
      <c r="D26" s="31">
        <f>SUM('Topsis LP Auto'!$B26:$C26)</f>
        <v>30171870</v>
      </c>
      <c r="E26" s="31">
        <f>IF('Topsis LP Auto'!$J26 = 0, 0, (B26/J26))</f>
        <v>1</v>
      </c>
      <c r="F26" s="31">
        <f>IF(I26 = 0, 0, ('Topsis LP Auto'!$D26)/I26)</f>
        <v>0.50069999893958417</v>
      </c>
      <c r="G26" s="31" t="e">
        <f t="shared" si="0"/>
        <v>#DIV/0!</v>
      </c>
      <c r="H26" s="31" t="e">
        <f>'Topsis LP Auto'!$D26*K26</f>
        <v>#DIV/0!</v>
      </c>
      <c r="I26" s="31">
        <f>_xlfn.IFNA(VLOOKUP($A26, 'Input Screen'!$C$7:$M$101, 10, FALSE), 0)</f>
        <v>60259377</v>
      </c>
      <c r="J26" s="31">
        <f>_xlfn.IFNA(VLOOKUP($A26, 'Input Screen'!$C$7:$M$101, 11, FALSE), 0)</f>
        <v>30171870</v>
      </c>
      <c r="K26" s="31" t="e">
        <f>VLOOKUP('Topsis LP Auto'!$A26, 'Topsis LP Auto'!$M$10:$X$109, 12, FALSE)</f>
        <v>#DIV/0!</v>
      </c>
      <c r="M26" s="32" t="str">
        <f>'Input Screen'!C23</f>
        <v>DRTO</v>
      </c>
      <c r="N26" s="33">
        <f>_xlfn.IFNA((VLOOKUP($M26,'Input Screen'!$C$7:$K$101, (N$8+1), 0)/SQRT(SUMSQ('Input Screen'!D$7:D$101)))*N$6, 0)</f>
        <v>0</v>
      </c>
      <c r="O26" s="33">
        <f>_xlfn.IFNA((VLOOKUP($M26,'Input Screen'!$C$7:$K$101, (O$8+1), 0)/SQRT(SUMSQ('Input Screen'!E$7:E$101)))*O$6, 0)</f>
        <v>0</v>
      </c>
      <c r="P26" s="33">
        <f>_xlfn.IFNA((VLOOKUP($M26,'Input Screen'!$C$7:$K$101, (P$8+1), 0)/SQRT(SUMSQ('Input Screen'!F$7:F$101)))*P$6, 0)</f>
        <v>0</v>
      </c>
      <c r="Q26" s="33">
        <f>_xlfn.IFNA((VLOOKUP($M26,'Input Screen'!$C$7:$K$101, (Q$8+1), 0)/SQRT(SUMSQ('Input Screen'!G$7:G$101)))*Q$6, 0)</f>
        <v>0</v>
      </c>
      <c r="R26" s="33">
        <f>_xlfn.IFNA((VLOOKUP($M26,'Input Screen'!$C$7:$K$101, (R$8+1), 0)/SQRT(SUMSQ('Input Screen'!H$7:H$101)))*R$6, 0)</f>
        <v>0</v>
      </c>
      <c r="S26" s="33">
        <f>_xlfn.IFNA((VLOOKUP($M26,'Input Screen'!$C$7:$K$101, (S$8+1), 0)/SQRT(SUMSQ('Input Screen'!I$7:I$101)))*S$6, 0)</f>
        <v>0</v>
      </c>
      <c r="T26" s="33">
        <f>_xlfn.IFNA((VLOOKUP($M26,'Input Screen'!$C$7:$K$101, (T$8+1), 0)/SQRT(SUMSQ('Input Screen'!J$7:J$101)))*T$6, 0)</f>
        <v>0</v>
      </c>
      <c r="U26" s="33">
        <f>_xlfn.IFNA((VLOOKUP($M26,'Input Screen'!$C$7:$K$101, (U$8+1), 0)/SQRT(SUMSQ('Input Screen'!K$7:K$101)))*U$6, 0)</f>
        <v>0</v>
      </c>
      <c r="V26" s="36">
        <f>IF('Topsis LP Auto'!$M26 = 0, 0, SQRT((N26-MAX(N$10:N$109))^2 + (O26-MAX(O$10:O$109))^2 + (P26-MAX(P$10:P$109))^2 + (Q26-MAX(Q$10:Q$109))^2 + (R26-MAX(R$10:R$109))^2 + (S26-MAX(S$10:S$109))^2 + (T26-MAX(T$10:T$109))^2 +(U26-MAX(U$10:U$109))^2))</f>
        <v>0</v>
      </c>
      <c r="W26" s="33">
        <f>IF('Topsis LP Auto'!$M26=0, 0, SQRT((N26-MIN(N$10:N$109))^2 + (O26-MIN(O$10:O$109))^2 + (P26-MIN(P$10:P$109))^2 + (Q26-MIN(Q$10:Q$109))^2 + (R26-MIN(R$10:R$109))^2 + (S26-MIN(S$10:S$109))^2 + (T26-MIN(T$10:T$109))^2 +(U26-MIN(U$10:U$109))^2))</f>
        <v>0</v>
      </c>
      <c r="X26" s="31" t="e">
        <f>IF('Topsis LP Auto'!$M26 = 0, 0, W26/(V26+W26))</f>
        <v>#DIV/0!</v>
      </c>
    </row>
    <row r="27" spans="1:24" ht="16.5" thickBot="1" x14ac:dyDescent="0.3">
      <c r="A27" s="78" t="str">
        <f>'Topsis LP Auto'!$M27</f>
        <v>EVER</v>
      </c>
      <c r="B27" s="34">
        <v>0</v>
      </c>
      <c r="C27" s="34">
        <v>0</v>
      </c>
      <c r="D27" s="34">
        <f>SUM('Topsis LP Auto'!$B27:$C27)</f>
        <v>0</v>
      </c>
      <c r="E27" s="34">
        <f>IF('Topsis LP Auto'!$J27 = 0, 0, (B27/J27))</f>
        <v>0</v>
      </c>
      <c r="F27" s="34">
        <f>IF(I27 = 0, 0, ('Topsis LP Auto'!$D27)/I27)</f>
        <v>0</v>
      </c>
      <c r="G27" s="34" t="e">
        <f t="shared" si="0"/>
        <v>#DIV/0!</v>
      </c>
      <c r="H27" s="34" t="e">
        <f>'Topsis LP Auto'!$D27*K27</f>
        <v>#DIV/0!</v>
      </c>
      <c r="I27" s="34">
        <f>_xlfn.IFNA(VLOOKUP($A27, 'Input Screen'!$C$7:$M$101, 10, FALSE), 0)</f>
        <v>90906802.000000015</v>
      </c>
      <c r="J27" s="34">
        <f>_xlfn.IFNA(VLOOKUP($A27, 'Input Screen'!$C$7:$M$101, 11, FALSE), 0)</f>
        <v>16781395</v>
      </c>
      <c r="K27" s="34" t="e">
        <f>VLOOKUP('Topsis LP Auto'!$A27, 'Topsis LP Auto'!$M$10:$X$109, 12, FALSE)</f>
        <v>#DIV/0!</v>
      </c>
      <c r="M27" s="26" t="str">
        <f>'Input Screen'!C24</f>
        <v>EVER</v>
      </c>
      <c r="N27" s="35">
        <f>_xlfn.IFNA((VLOOKUP($M27,'Input Screen'!$C$7:$K$101, (N$8+1), 0)/SQRT(SUMSQ('Input Screen'!D$7:D$101)))*N$6, 0)</f>
        <v>0</v>
      </c>
      <c r="O27" s="35">
        <f>_xlfn.IFNA((VLOOKUP($M27,'Input Screen'!$C$7:$K$101, (O$8+1), 0)/SQRT(SUMSQ('Input Screen'!E$7:E$101)))*O$6, 0)</f>
        <v>0</v>
      </c>
      <c r="P27" s="35">
        <f>_xlfn.IFNA((VLOOKUP($M27,'Input Screen'!$C$7:$K$101, (P$8+1), 0)/SQRT(SUMSQ('Input Screen'!F$7:F$101)))*P$6, 0)</f>
        <v>0</v>
      </c>
      <c r="Q27" s="35">
        <f>_xlfn.IFNA((VLOOKUP($M27,'Input Screen'!$C$7:$K$101, (Q$8+1), 0)/SQRT(SUMSQ('Input Screen'!G$7:G$101)))*Q$6, 0)</f>
        <v>0</v>
      </c>
      <c r="R27" s="35">
        <f>_xlfn.IFNA((VLOOKUP($M27,'Input Screen'!$C$7:$K$101, (R$8+1), 0)/SQRT(SUMSQ('Input Screen'!H$7:H$101)))*R$6, 0)</f>
        <v>0</v>
      </c>
      <c r="S27" s="35">
        <f>_xlfn.IFNA((VLOOKUP($M27,'Input Screen'!$C$7:$K$101, (S$8+1), 0)/SQRT(SUMSQ('Input Screen'!I$7:I$101)))*S$6, 0)</f>
        <v>0</v>
      </c>
      <c r="T27" s="35">
        <f>_xlfn.IFNA((VLOOKUP($M27,'Input Screen'!$C$7:$K$101, (T$8+1), 0)/SQRT(SUMSQ('Input Screen'!J$7:J$101)))*T$6, 0)</f>
        <v>0</v>
      </c>
      <c r="U27" s="35">
        <f>_xlfn.IFNA((VLOOKUP($M27,'Input Screen'!$C$7:$K$101, (U$8+1), 0)/SQRT(SUMSQ('Input Screen'!K$7:K$101)))*U$6, 0)</f>
        <v>0</v>
      </c>
      <c r="V27" s="37">
        <f>IF('Topsis LP Auto'!$M27 = 0, 0, SQRT((N27-MAX(N$10:N$109))^2 + (O27-MAX(O$10:O$109))^2 + (P27-MAX(P$10:P$109))^2 + (Q27-MAX(Q$10:Q$109))^2 + (R27-MAX(R$10:R$109))^2 + (S27-MAX(S$10:S$109))^2 + (T27-MAX(T$10:T$109))^2 +(U27-MAX(U$10:U$109))^2))</f>
        <v>0</v>
      </c>
      <c r="W27" s="35">
        <f>IF('Topsis LP Auto'!$M27=0, 0, SQRT((N27-MIN(N$10:N$109))^2 + (O27-MIN(O$10:O$109))^2 + (P27-MIN(P$10:P$109))^2 + (Q27-MIN(Q$10:Q$109))^2 + (R27-MIN(R$10:R$109))^2 + (S27-MIN(S$10:S$109))^2 + (T27-MIN(T$10:T$109))^2 +(U27-MIN(U$10:U$109))^2))</f>
        <v>0</v>
      </c>
      <c r="X27" s="34" t="e">
        <f>IF('Topsis LP Auto'!$M27 = 0, 0, W27/(V27+W27))</f>
        <v>#DIV/0!</v>
      </c>
    </row>
    <row r="28" spans="1:24" ht="16.5" thickBot="1" x14ac:dyDescent="0.3">
      <c r="A28" s="76" t="str">
        <f>'Topsis LP Auto'!$M28</f>
        <v>GAAR</v>
      </c>
      <c r="B28" s="31">
        <v>97459</v>
      </c>
      <c r="C28" s="31">
        <v>846913</v>
      </c>
      <c r="D28" s="31">
        <f>SUM('Topsis LP Auto'!$B28:$C28)</f>
        <v>944372</v>
      </c>
      <c r="E28" s="31">
        <f>IF('Topsis LP Auto'!$J28 = 0, 0, (B28/J28))</f>
        <v>1</v>
      </c>
      <c r="F28" s="31">
        <f>IF(I28 = 0, 0, ('Topsis LP Auto'!$D28)/I28)</f>
        <v>1</v>
      </c>
      <c r="G28" s="31" t="e">
        <f t="shared" si="0"/>
        <v>#DIV/0!</v>
      </c>
      <c r="H28" s="31" t="e">
        <f>'Topsis LP Auto'!$D28*K28</f>
        <v>#DIV/0!</v>
      </c>
      <c r="I28" s="31">
        <f>_xlfn.IFNA(VLOOKUP($A28, 'Input Screen'!$C$7:$M$101, 10, FALSE), 0)</f>
        <v>944372</v>
      </c>
      <c r="J28" s="31">
        <f>_xlfn.IFNA(VLOOKUP($A28, 'Input Screen'!$C$7:$M$101, 11, FALSE), 0)</f>
        <v>97459</v>
      </c>
      <c r="K28" s="31" t="e">
        <f>VLOOKUP('Topsis LP Auto'!$A28, 'Topsis LP Auto'!$M$10:$X$109, 12, FALSE)</f>
        <v>#DIV/0!</v>
      </c>
      <c r="M28" s="32" t="str">
        <f>'Input Screen'!C25</f>
        <v>GAAR</v>
      </c>
      <c r="N28" s="33">
        <f>_xlfn.IFNA((VLOOKUP($M28,'Input Screen'!$C$7:$K$101, (N$8+1), 0)/SQRT(SUMSQ('Input Screen'!D$7:D$101)))*N$6, 0)</f>
        <v>0</v>
      </c>
      <c r="O28" s="33">
        <f>_xlfn.IFNA((VLOOKUP($M28,'Input Screen'!$C$7:$K$101, (O$8+1), 0)/SQRT(SUMSQ('Input Screen'!E$7:E$101)))*O$6, 0)</f>
        <v>0</v>
      </c>
      <c r="P28" s="33">
        <f>_xlfn.IFNA((VLOOKUP($M28,'Input Screen'!$C$7:$K$101, (P$8+1), 0)/SQRT(SUMSQ('Input Screen'!F$7:F$101)))*P$6, 0)</f>
        <v>0</v>
      </c>
      <c r="Q28" s="33">
        <f>_xlfn.IFNA((VLOOKUP($M28,'Input Screen'!$C$7:$K$101, (Q$8+1), 0)/SQRT(SUMSQ('Input Screen'!G$7:G$101)))*Q$6, 0)</f>
        <v>0</v>
      </c>
      <c r="R28" s="33">
        <f>_xlfn.IFNA((VLOOKUP($M28,'Input Screen'!$C$7:$K$101, (R$8+1), 0)/SQRT(SUMSQ('Input Screen'!H$7:H$101)))*R$6, 0)</f>
        <v>0</v>
      </c>
      <c r="S28" s="33">
        <f>_xlfn.IFNA((VLOOKUP($M28,'Input Screen'!$C$7:$K$101, (S$8+1), 0)/SQRT(SUMSQ('Input Screen'!I$7:I$101)))*S$6, 0)</f>
        <v>0</v>
      </c>
      <c r="T28" s="33">
        <f>_xlfn.IFNA((VLOOKUP($M28,'Input Screen'!$C$7:$K$101, (T$8+1), 0)/SQRT(SUMSQ('Input Screen'!J$7:J$101)))*T$6, 0)</f>
        <v>0</v>
      </c>
      <c r="U28" s="33">
        <f>_xlfn.IFNA((VLOOKUP($M28,'Input Screen'!$C$7:$K$101, (U$8+1), 0)/SQRT(SUMSQ('Input Screen'!K$7:K$101)))*U$6, 0)</f>
        <v>0</v>
      </c>
      <c r="V28" s="36">
        <f>IF('Topsis LP Auto'!$M28 = 0, 0, SQRT((N28-MAX(N$10:N$109))^2 + (O28-MAX(O$10:O$109))^2 + (P28-MAX(P$10:P$109))^2 + (Q28-MAX(Q$10:Q$109))^2 + (R28-MAX(R$10:R$109))^2 + (S28-MAX(S$10:S$109))^2 + (T28-MAX(T$10:T$109))^2 +(U28-MAX(U$10:U$109))^2))</f>
        <v>0</v>
      </c>
      <c r="W28" s="33">
        <f>IF('Topsis LP Auto'!$M28=0, 0, SQRT((N28-MIN(N$10:N$109))^2 + (O28-MIN(O$10:O$109))^2 + (P28-MIN(P$10:P$109))^2 + (Q28-MIN(Q$10:Q$109))^2 + (R28-MIN(R$10:R$109))^2 + (S28-MIN(S$10:S$109))^2 + (T28-MIN(T$10:T$109))^2 +(U28-MIN(U$10:U$109))^2))</f>
        <v>0</v>
      </c>
      <c r="X28" s="31" t="e">
        <f>IF('Topsis LP Auto'!$M28 = 0, 0, W28/(V28+W28))</f>
        <v>#DIV/0!</v>
      </c>
    </row>
    <row r="29" spans="1:24" ht="16.5" thickBot="1" x14ac:dyDescent="0.3">
      <c r="A29" s="78" t="str">
        <f>'Topsis LP Auto'!$M29</f>
        <v>GLAC</v>
      </c>
      <c r="B29" s="34">
        <v>0</v>
      </c>
      <c r="C29" s="34">
        <v>0</v>
      </c>
      <c r="D29" s="34">
        <f>SUM('Topsis LP Auto'!$B29:$C29)</f>
        <v>0</v>
      </c>
      <c r="E29" s="34">
        <f>IF('Topsis LP Auto'!$J29 = 0, 0, (B29/J29))</f>
        <v>0</v>
      </c>
      <c r="F29" s="34">
        <f>IF(I29 = 0, 0, ('Topsis LP Auto'!$D29)/I29)</f>
        <v>0</v>
      </c>
      <c r="G29" s="34" t="e">
        <f t="shared" si="0"/>
        <v>#DIV/0!</v>
      </c>
      <c r="H29" s="34" t="e">
        <f>'Topsis LP Auto'!$D29*K29</f>
        <v>#DIV/0!</v>
      </c>
      <c r="I29" s="34">
        <f>_xlfn.IFNA(VLOOKUP($A29, 'Input Screen'!$C$7:$M$101, 10, FALSE), 0)</f>
        <v>153838276</v>
      </c>
      <c r="J29" s="34">
        <f>_xlfn.IFNA(VLOOKUP($A29, 'Input Screen'!$C$7:$M$101, 11, FALSE), 0)</f>
        <v>35198197</v>
      </c>
      <c r="K29" s="34" t="e">
        <f>VLOOKUP('Topsis LP Auto'!$A29, 'Topsis LP Auto'!$M$10:$X$109, 12, FALSE)</f>
        <v>#DIV/0!</v>
      </c>
      <c r="M29" s="26" t="str">
        <f>'Input Screen'!C26</f>
        <v>GLAC</v>
      </c>
      <c r="N29" s="35">
        <f>_xlfn.IFNA((VLOOKUP($M29,'Input Screen'!$C$7:$K$101, (N$8+1), 0)/SQRT(SUMSQ('Input Screen'!D$7:D$101)))*N$6, 0)</f>
        <v>0</v>
      </c>
      <c r="O29" s="35">
        <f>_xlfn.IFNA((VLOOKUP($M29,'Input Screen'!$C$7:$K$101, (O$8+1), 0)/SQRT(SUMSQ('Input Screen'!E$7:E$101)))*O$6, 0)</f>
        <v>0</v>
      </c>
      <c r="P29" s="35">
        <f>_xlfn.IFNA((VLOOKUP($M29,'Input Screen'!$C$7:$K$101, (P$8+1), 0)/SQRT(SUMSQ('Input Screen'!F$7:F$101)))*P$6, 0)</f>
        <v>0</v>
      </c>
      <c r="Q29" s="35">
        <f>_xlfn.IFNA((VLOOKUP($M29,'Input Screen'!$C$7:$K$101, (Q$8+1), 0)/SQRT(SUMSQ('Input Screen'!G$7:G$101)))*Q$6, 0)</f>
        <v>0</v>
      </c>
      <c r="R29" s="35">
        <f>_xlfn.IFNA((VLOOKUP($M29,'Input Screen'!$C$7:$K$101, (R$8+1), 0)/SQRT(SUMSQ('Input Screen'!H$7:H$101)))*R$6, 0)</f>
        <v>0</v>
      </c>
      <c r="S29" s="35">
        <f>_xlfn.IFNA((VLOOKUP($M29,'Input Screen'!$C$7:$K$101, (S$8+1), 0)/SQRT(SUMSQ('Input Screen'!I$7:I$101)))*S$6, 0)</f>
        <v>0</v>
      </c>
      <c r="T29" s="35">
        <f>_xlfn.IFNA((VLOOKUP($M29,'Input Screen'!$C$7:$K$101, (T$8+1), 0)/SQRT(SUMSQ('Input Screen'!J$7:J$101)))*T$6, 0)</f>
        <v>0</v>
      </c>
      <c r="U29" s="35">
        <f>_xlfn.IFNA((VLOOKUP($M29,'Input Screen'!$C$7:$K$101, (U$8+1), 0)/SQRT(SUMSQ('Input Screen'!K$7:K$101)))*U$6, 0)</f>
        <v>0</v>
      </c>
      <c r="V29" s="37">
        <f>IF('Topsis LP Auto'!$M29 = 0, 0, SQRT((N29-MAX(N$10:N$109))^2 + (O29-MAX(O$10:O$109))^2 + (P29-MAX(P$10:P$109))^2 + (Q29-MAX(Q$10:Q$109))^2 + (R29-MAX(R$10:R$109))^2 + (S29-MAX(S$10:S$109))^2 + (T29-MAX(T$10:T$109))^2 +(U29-MAX(U$10:U$109))^2))</f>
        <v>0</v>
      </c>
      <c r="W29" s="35">
        <f>IF('Topsis LP Auto'!$M29=0, 0, SQRT((N29-MIN(N$10:N$109))^2 + (O29-MIN(O$10:O$109))^2 + (P29-MIN(P$10:P$109))^2 + (Q29-MIN(Q$10:Q$109))^2 + (R29-MIN(R$10:R$109))^2 + (S29-MIN(S$10:S$109))^2 + (T29-MIN(T$10:T$109))^2 +(U29-MIN(U$10:U$109))^2))</f>
        <v>0</v>
      </c>
      <c r="X29" s="34" t="e">
        <f>IF('Topsis LP Auto'!$M29 = 0, 0, W29/(V29+W29))</f>
        <v>#DIV/0!</v>
      </c>
    </row>
    <row r="30" spans="1:24" ht="16.5" thickBot="1" x14ac:dyDescent="0.3">
      <c r="A30" s="76" t="str">
        <f>'Topsis LP Auto'!$M30</f>
        <v>GLBA</v>
      </c>
      <c r="B30" s="31">
        <v>2907354</v>
      </c>
      <c r="C30" s="31">
        <v>0</v>
      </c>
      <c r="D30" s="31">
        <f>SUM('Topsis LP Auto'!$B30:$C30)</f>
        <v>2907354</v>
      </c>
      <c r="E30" s="31">
        <f>IF('Topsis LP Auto'!$J30 = 0, 0, (B30/J30))</f>
        <v>1</v>
      </c>
      <c r="F30" s="31">
        <f>IF(I30 = 0, 0, ('Topsis LP Auto'!$D30)/I30)</f>
        <v>0.30789996068849357</v>
      </c>
      <c r="G30" s="31" t="e">
        <f t="shared" si="0"/>
        <v>#DIV/0!</v>
      </c>
      <c r="H30" s="31" t="e">
        <f>'Topsis LP Auto'!$D30*K30</f>
        <v>#DIV/0!</v>
      </c>
      <c r="I30" s="31">
        <f>_xlfn.IFNA(VLOOKUP($A30, 'Input Screen'!$C$7:$M$101, 10, FALSE), 0)</f>
        <v>9442528</v>
      </c>
      <c r="J30" s="31">
        <f>_xlfn.IFNA(VLOOKUP($A30, 'Input Screen'!$C$7:$M$101, 11, FALSE), 0)</f>
        <v>2907354</v>
      </c>
      <c r="K30" s="31" t="e">
        <f>VLOOKUP('Topsis LP Auto'!$A30, 'Topsis LP Auto'!$M$10:$X$109, 12, FALSE)</f>
        <v>#DIV/0!</v>
      </c>
      <c r="M30" s="32" t="str">
        <f>'Input Screen'!C27</f>
        <v>GLBA</v>
      </c>
      <c r="N30" s="33">
        <f>_xlfn.IFNA((VLOOKUP($M30,'Input Screen'!$C$7:$K$101, (N$8+1), 0)/SQRT(SUMSQ('Input Screen'!D$7:D$101)))*N$6, 0)</f>
        <v>0</v>
      </c>
      <c r="O30" s="33">
        <f>_xlfn.IFNA((VLOOKUP($M30,'Input Screen'!$C$7:$K$101, (O$8+1), 0)/SQRT(SUMSQ('Input Screen'!E$7:E$101)))*O$6, 0)</f>
        <v>0</v>
      </c>
      <c r="P30" s="33">
        <f>_xlfn.IFNA((VLOOKUP($M30,'Input Screen'!$C$7:$K$101, (P$8+1), 0)/SQRT(SUMSQ('Input Screen'!F$7:F$101)))*P$6, 0)</f>
        <v>0</v>
      </c>
      <c r="Q30" s="33">
        <f>_xlfn.IFNA((VLOOKUP($M30,'Input Screen'!$C$7:$K$101, (Q$8+1), 0)/SQRT(SUMSQ('Input Screen'!G$7:G$101)))*Q$6, 0)</f>
        <v>0</v>
      </c>
      <c r="R30" s="33">
        <f>_xlfn.IFNA((VLOOKUP($M30,'Input Screen'!$C$7:$K$101, (R$8+1), 0)/SQRT(SUMSQ('Input Screen'!H$7:H$101)))*R$6, 0)</f>
        <v>0</v>
      </c>
      <c r="S30" s="33">
        <f>_xlfn.IFNA((VLOOKUP($M30,'Input Screen'!$C$7:$K$101, (S$8+1), 0)/SQRT(SUMSQ('Input Screen'!I$7:I$101)))*S$6, 0)</f>
        <v>0</v>
      </c>
      <c r="T30" s="33">
        <f>_xlfn.IFNA((VLOOKUP($M30,'Input Screen'!$C$7:$K$101, (T$8+1), 0)/SQRT(SUMSQ('Input Screen'!J$7:J$101)))*T$6, 0)</f>
        <v>0</v>
      </c>
      <c r="U30" s="33">
        <f>_xlfn.IFNA((VLOOKUP($M30,'Input Screen'!$C$7:$K$101, (U$8+1), 0)/SQRT(SUMSQ('Input Screen'!K$7:K$101)))*U$6, 0)</f>
        <v>0</v>
      </c>
      <c r="V30" s="36">
        <f>IF('Topsis LP Auto'!$M30 = 0, 0, SQRT((N30-MAX(N$10:N$109))^2 + (O30-MAX(O$10:O$109))^2 + (P30-MAX(P$10:P$109))^2 + (Q30-MAX(Q$10:Q$109))^2 + (R30-MAX(R$10:R$109))^2 + (S30-MAX(S$10:S$109))^2 + (T30-MAX(T$10:T$109))^2 +(U30-MAX(U$10:U$109))^2))</f>
        <v>0</v>
      </c>
      <c r="W30" s="33">
        <f>IF('Topsis LP Auto'!$M30=0, 0, SQRT((N30-MIN(N$10:N$109))^2 + (O30-MIN(O$10:O$109))^2 + (P30-MIN(P$10:P$109))^2 + (Q30-MIN(Q$10:Q$109))^2 + (R30-MIN(R$10:R$109))^2 + (S30-MIN(S$10:S$109))^2 + (T30-MIN(T$10:T$109))^2 +(U30-MIN(U$10:U$109))^2))</f>
        <v>0</v>
      </c>
      <c r="X30" s="31" t="e">
        <f>IF('Topsis LP Auto'!$M30 = 0, 0, W30/(V30+W30))</f>
        <v>#DIV/0!</v>
      </c>
    </row>
    <row r="31" spans="1:24" ht="16.5" thickBot="1" x14ac:dyDescent="0.3">
      <c r="A31" s="78" t="str">
        <f>'Topsis LP Auto'!$M31</f>
        <v>GRBA</v>
      </c>
      <c r="B31" s="34">
        <v>1844543</v>
      </c>
      <c r="C31" s="34">
        <v>0</v>
      </c>
      <c r="D31" s="34">
        <f>SUM('Topsis LP Auto'!$B31:$C31)</f>
        <v>1844543</v>
      </c>
      <c r="E31" s="34">
        <f>IF('Topsis LP Auto'!$J31 = 0, 0, (B31/J31))</f>
        <v>1</v>
      </c>
      <c r="F31" s="34">
        <f>IF(I31 = 0, 0, ('Topsis LP Auto'!$D31)/I31)</f>
        <v>0.10569998145064442</v>
      </c>
      <c r="G31" s="34" t="e">
        <f t="shared" si="0"/>
        <v>#DIV/0!</v>
      </c>
      <c r="H31" s="34" t="e">
        <f>'Topsis LP Auto'!$D31*K31</f>
        <v>#DIV/0!</v>
      </c>
      <c r="I31" s="34">
        <f>_xlfn.IFNA(VLOOKUP($A31, 'Input Screen'!$C$7:$M$101, 10, FALSE), 0)</f>
        <v>17450741</v>
      </c>
      <c r="J31" s="34">
        <f>_xlfn.IFNA(VLOOKUP($A31, 'Input Screen'!$C$7:$M$101, 11, FALSE), 0)</f>
        <v>1844543</v>
      </c>
      <c r="K31" s="34" t="e">
        <f>VLOOKUP('Topsis LP Auto'!$A31, 'Topsis LP Auto'!$M$10:$X$109, 12, FALSE)</f>
        <v>#DIV/0!</v>
      </c>
      <c r="M31" s="26" t="str">
        <f>'Input Screen'!C28</f>
        <v>GRBA</v>
      </c>
      <c r="N31" s="35">
        <f>_xlfn.IFNA((VLOOKUP($M31,'Input Screen'!$C$7:$K$101, (N$8+1), 0)/SQRT(SUMSQ('Input Screen'!D$7:D$101)))*N$6, 0)</f>
        <v>0</v>
      </c>
      <c r="O31" s="35">
        <f>_xlfn.IFNA((VLOOKUP($M31,'Input Screen'!$C$7:$K$101, (O$8+1), 0)/SQRT(SUMSQ('Input Screen'!E$7:E$101)))*O$6, 0)</f>
        <v>0</v>
      </c>
      <c r="P31" s="35">
        <f>_xlfn.IFNA((VLOOKUP($M31,'Input Screen'!$C$7:$K$101, (P$8+1), 0)/SQRT(SUMSQ('Input Screen'!F$7:F$101)))*P$6, 0)</f>
        <v>0</v>
      </c>
      <c r="Q31" s="35">
        <f>_xlfn.IFNA((VLOOKUP($M31,'Input Screen'!$C$7:$K$101, (Q$8+1), 0)/SQRT(SUMSQ('Input Screen'!G$7:G$101)))*Q$6, 0)</f>
        <v>0</v>
      </c>
      <c r="R31" s="35">
        <f>_xlfn.IFNA((VLOOKUP($M31,'Input Screen'!$C$7:$K$101, (R$8+1), 0)/SQRT(SUMSQ('Input Screen'!H$7:H$101)))*R$6, 0)</f>
        <v>0</v>
      </c>
      <c r="S31" s="35">
        <f>_xlfn.IFNA((VLOOKUP($M31,'Input Screen'!$C$7:$K$101, (S$8+1), 0)/SQRT(SUMSQ('Input Screen'!I$7:I$101)))*S$6, 0)</f>
        <v>0</v>
      </c>
      <c r="T31" s="35">
        <f>_xlfn.IFNA((VLOOKUP($M31,'Input Screen'!$C$7:$K$101, (T$8+1), 0)/SQRT(SUMSQ('Input Screen'!J$7:J$101)))*T$6, 0)</f>
        <v>0</v>
      </c>
      <c r="U31" s="35">
        <f>_xlfn.IFNA((VLOOKUP($M31,'Input Screen'!$C$7:$K$101, (U$8+1), 0)/SQRT(SUMSQ('Input Screen'!K$7:K$101)))*U$6, 0)</f>
        <v>0</v>
      </c>
      <c r="V31" s="37">
        <f>IF('Topsis LP Auto'!$M31 = 0, 0, SQRT((N31-MAX(N$10:N$109))^2 + (O31-MAX(O$10:O$109))^2 + (P31-MAX(P$10:P$109))^2 + (Q31-MAX(Q$10:Q$109))^2 + (R31-MAX(R$10:R$109))^2 + (S31-MAX(S$10:S$109))^2 + (T31-MAX(T$10:T$109))^2 +(U31-MAX(U$10:U$109))^2))</f>
        <v>0</v>
      </c>
      <c r="W31" s="35">
        <f>IF('Topsis LP Auto'!$M31=0, 0, SQRT((N31-MIN(N$10:N$109))^2 + (O31-MIN(O$10:O$109))^2 + (P31-MIN(P$10:P$109))^2 + (Q31-MIN(Q$10:Q$109))^2 + (R31-MIN(R$10:R$109))^2 + (S31-MIN(S$10:S$109))^2 + (T31-MIN(T$10:T$109))^2 +(U31-MIN(U$10:U$109))^2))</f>
        <v>0</v>
      </c>
      <c r="X31" s="34" t="e">
        <f>IF('Topsis LP Auto'!$M31 = 0, 0, W31/(V31+W31))</f>
        <v>#DIV/0!</v>
      </c>
    </row>
    <row r="32" spans="1:24" ht="16.5" thickBot="1" x14ac:dyDescent="0.3">
      <c r="A32" s="76" t="str">
        <f>'Topsis LP Auto'!$M32</f>
        <v>GRCA</v>
      </c>
      <c r="B32" s="31">
        <v>116126561</v>
      </c>
      <c r="C32" s="31">
        <v>0</v>
      </c>
      <c r="D32" s="31">
        <f>SUM('Topsis LP Auto'!$B32:$C32)</f>
        <v>116126561</v>
      </c>
      <c r="E32" s="31">
        <f>IF('Topsis LP Auto'!$J32 = 0, 0, (B32/J32))</f>
        <v>1</v>
      </c>
      <c r="F32" s="31">
        <f>IF(I32 = 0, 0, ('Topsis LP Auto'!$D32)/I32)</f>
        <v>0.35249999837601753</v>
      </c>
      <c r="G32" s="31" t="e">
        <f t="shared" si="0"/>
        <v>#DIV/0!</v>
      </c>
      <c r="H32" s="31" t="e">
        <f>'Topsis LP Auto'!$D32*K32</f>
        <v>#DIV/0!</v>
      </c>
      <c r="I32" s="31">
        <f>_xlfn.IFNA(VLOOKUP($A32, 'Input Screen'!$C$7:$M$101, 10, FALSE), 0)</f>
        <v>329437054</v>
      </c>
      <c r="J32" s="31">
        <f>_xlfn.IFNA(VLOOKUP($A32, 'Input Screen'!$C$7:$M$101, 11, FALSE), 0)</f>
        <v>116126561</v>
      </c>
      <c r="K32" s="31" t="e">
        <f>VLOOKUP('Topsis LP Auto'!$A32, 'Topsis LP Auto'!$M$10:$X$109, 12, FALSE)</f>
        <v>#DIV/0!</v>
      </c>
      <c r="M32" s="32" t="str">
        <f>'Input Screen'!C29</f>
        <v>GRCA</v>
      </c>
      <c r="N32" s="33">
        <f>_xlfn.IFNA((VLOOKUP($M32,'Input Screen'!$C$7:$K$101, (N$8+1), 0)/SQRT(SUMSQ('Input Screen'!D$7:D$101)))*N$6, 0)</f>
        <v>0</v>
      </c>
      <c r="O32" s="33">
        <f>_xlfn.IFNA((VLOOKUP($M32,'Input Screen'!$C$7:$K$101, (O$8+1), 0)/SQRT(SUMSQ('Input Screen'!E$7:E$101)))*O$6, 0)</f>
        <v>0</v>
      </c>
      <c r="P32" s="33">
        <f>_xlfn.IFNA((VLOOKUP($M32,'Input Screen'!$C$7:$K$101, (P$8+1), 0)/SQRT(SUMSQ('Input Screen'!F$7:F$101)))*P$6, 0)</f>
        <v>0</v>
      </c>
      <c r="Q32" s="33">
        <f>_xlfn.IFNA((VLOOKUP($M32,'Input Screen'!$C$7:$K$101, (Q$8+1), 0)/SQRT(SUMSQ('Input Screen'!G$7:G$101)))*Q$6, 0)</f>
        <v>0</v>
      </c>
      <c r="R32" s="33">
        <f>_xlfn.IFNA((VLOOKUP($M32,'Input Screen'!$C$7:$K$101, (R$8+1), 0)/SQRT(SUMSQ('Input Screen'!H$7:H$101)))*R$6, 0)</f>
        <v>0</v>
      </c>
      <c r="S32" s="33">
        <f>_xlfn.IFNA((VLOOKUP($M32,'Input Screen'!$C$7:$K$101, (S$8+1), 0)/SQRT(SUMSQ('Input Screen'!I$7:I$101)))*S$6, 0)</f>
        <v>0</v>
      </c>
      <c r="T32" s="33">
        <f>_xlfn.IFNA((VLOOKUP($M32,'Input Screen'!$C$7:$K$101, (T$8+1), 0)/SQRT(SUMSQ('Input Screen'!J$7:J$101)))*T$6, 0)</f>
        <v>0</v>
      </c>
      <c r="U32" s="33">
        <f>_xlfn.IFNA((VLOOKUP($M32,'Input Screen'!$C$7:$K$101, (U$8+1), 0)/SQRT(SUMSQ('Input Screen'!K$7:K$101)))*U$6, 0)</f>
        <v>0</v>
      </c>
      <c r="V32" s="36">
        <f>IF('Topsis LP Auto'!$M32 = 0, 0, SQRT((N32-MAX(N$10:N$109))^2 + (O32-MAX(O$10:O$109))^2 + (P32-MAX(P$10:P$109))^2 + (Q32-MAX(Q$10:Q$109))^2 + (R32-MAX(R$10:R$109))^2 + (S32-MAX(S$10:S$109))^2 + (T32-MAX(T$10:T$109))^2 +(U32-MAX(U$10:U$109))^2))</f>
        <v>0</v>
      </c>
      <c r="W32" s="33">
        <f>IF('Topsis LP Auto'!$M32=0, 0, SQRT((N32-MIN(N$10:N$109))^2 + (O32-MIN(O$10:O$109))^2 + (P32-MIN(P$10:P$109))^2 + (Q32-MIN(Q$10:Q$109))^2 + (R32-MIN(R$10:R$109))^2 + (S32-MIN(S$10:S$109))^2 + (T32-MIN(T$10:T$109))^2 +(U32-MIN(U$10:U$109))^2))</f>
        <v>0</v>
      </c>
      <c r="X32" s="31" t="e">
        <f>IF('Topsis LP Auto'!$M32 = 0, 0, W32/(V32+W32))</f>
        <v>#DIV/0!</v>
      </c>
    </row>
    <row r="33" spans="1:24" ht="16.5" thickBot="1" x14ac:dyDescent="0.3">
      <c r="A33" s="78" t="str">
        <f>'Topsis LP Auto'!$M33</f>
        <v>GRSA</v>
      </c>
      <c r="B33" s="34">
        <v>2195832</v>
      </c>
      <c r="C33" s="34">
        <v>0</v>
      </c>
      <c r="D33" s="34">
        <f>SUM('Topsis LP Auto'!$B33:$C33)</f>
        <v>2195832</v>
      </c>
      <c r="E33" s="34">
        <f>IF('Topsis LP Auto'!$J33 = 0, 0, (B33/J33))</f>
        <v>1</v>
      </c>
      <c r="F33" s="34">
        <f>IF(I33 = 0, 0, ('Topsis LP Auto'!$D33)/I33)</f>
        <v>0.21119995567924163</v>
      </c>
      <c r="G33" s="34" t="e">
        <f t="shared" si="0"/>
        <v>#DIV/0!</v>
      </c>
      <c r="H33" s="34" t="e">
        <f>'Topsis LP Auto'!$D33*K33</f>
        <v>#DIV/0!</v>
      </c>
      <c r="I33" s="34">
        <f>_xlfn.IFNA(VLOOKUP($A33, 'Input Screen'!$C$7:$M$101, 10, FALSE), 0)</f>
        <v>10396933.999999998</v>
      </c>
      <c r="J33" s="34">
        <f>_xlfn.IFNA(VLOOKUP($A33, 'Input Screen'!$C$7:$M$101, 11, FALSE), 0)</f>
        <v>2195832</v>
      </c>
      <c r="K33" s="34" t="e">
        <f>VLOOKUP('Topsis LP Auto'!$A33, 'Topsis LP Auto'!$M$10:$X$109, 12, FALSE)</f>
        <v>#DIV/0!</v>
      </c>
      <c r="M33" s="26" t="str">
        <f>'Input Screen'!C30</f>
        <v>GRSA</v>
      </c>
      <c r="N33" s="35">
        <f>_xlfn.IFNA((VLOOKUP($M33,'Input Screen'!$C$7:$K$101, (N$8+1), 0)/SQRT(SUMSQ('Input Screen'!D$7:D$101)))*N$6, 0)</f>
        <v>0</v>
      </c>
      <c r="O33" s="35">
        <f>_xlfn.IFNA((VLOOKUP($M33,'Input Screen'!$C$7:$K$101, (O$8+1), 0)/SQRT(SUMSQ('Input Screen'!E$7:E$101)))*O$6, 0)</f>
        <v>0</v>
      </c>
      <c r="P33" s="35">
        <f>_xlfn.IFNA((VLOOKUP($M33,'Input Screen'!$C$7:$K$101, (P$8+1), 0)/SQRT(SUMSQ('Input Screen'!F$7:F$101)))*P$6, 0)</f>
        <v>0</v>
      </c>
      <c r="Q33" s="35">
        <f>_xlfn.IFNA((VLOOKUP($M33,'Input Screen'!$C$7:$K$101, (Q$8+1), 0)/SQRT(SUMSQ('Input Screen'!G$7:G$101)))*Q$6, 0)</f>
        <v>0</v>
      </c>
      <c r="R33" s="35">
        <f>_xlfn.IFNA((VLOOKUP($M33,'Input Screen'!$C$7:$K$101, (R$8+1), 0)/SQRT(SUMSQ('Input Screen'!H$7:H$101)))*R$6, 0)</f>
        <v>0</v>
      </c>
      <c r="S33" s="35">
        <f>_xlfn.IFNA((VLOOKUP($M33,'Input Screen'!$C$7:$K$101, (S$8+1), 0)/SQRT(SUMSQ('Input Screen'!I$7:I$101)))*S$6, 0)</f>
        <v>0</v>
      </c>
      <c r="T33" s="35">
        <f>_xlfn.IFNA((VLOOKUP($M33,'Input Screen'!$C$7:$K$101, (T$8+1), 0)/SQRT(SUMSQ('Input Screen'!J$7:J$101)))*T$6, 0)</f>
        <v>0</v>
      </c>
      <c r="U33" s="35">
        <f>_xlfn.IFNA((VLOOKUP($M33,'Input Screen'!$C$7:$K$101, (U$8+1), 0)/SQRT(SUMSQ('Input Screen'!K$7:K$101)))*U$6, 0)</f>
        <v>0</v>
      </c>
      <c r="V33" s="37">
        <f>IF('Topsis LP Auto'!$M33 = 0, 0, SQRT((N33-MAX(N$10:N$109))^2 + (O33-MAX(O$10:O$109))^2 + (P33-MAX(P$10:P$109))^2 + (Q33-MAX(Q$10:Q$109))^2 + (R33-MAX(R$10:R$109))^2 + (S33-MAX(S$10:S$109))^2 + (T33-MAX(T$10:T$109))^2 +(U33-MAX(U$10:U$109))^2))</f>
        <v>0</v>
      </c>
      <c r="W33" s="35">
        <f>IF('Topsis LP Auto'!$M33=0, 0, SQRT((N33-MIN(N$10:N$109))^2 + (O33-MIN(O$10:O$109))^2 + (P33-MIN(P$10:P$109))^2 + (Q33-MIN(Q$10:Q$109))^2 + (R33-MIN(R$10:R$109))^2 + (S33-MIN(S$10:S$109))^2 + (T33-MIN(T$10:T$109))^2 +(U33-MIN(U$10:U$109))^2))</f>
        <v>0</v>
      </c>
      <c r="X33" s="34" t="e">
        <f>IF('Topsis LP Auto'!$M33 = 0, 0, W33/(V33+W33))</f>
        <v>#DIV/0!</v>
      </c>
    </row>
    <row r="34" spans="1:24" ht="16.5" thickBot="1" x14ac:dyDescent="0.3">
      <c r="A34" s="76" t="str">
        <f>'Topsis LP Auto'!$M34</f>
        <v>GRSM</v>
      </c>
      <c r="B34" s="31">
        <v>25617231</v>
      </c>
      <c r="C34" s="31">
        <v>0</v>
      </c>
      <c r="D34" s="31">
        <f>SUM('Topsis LP Auto'!$B34:$C34)</f>
        <v>25617231</v>
      </c>
      <c r="E34" s="31">
        <f>IF('Topsis LP Auto'!$J34 = 0, 0, (B34/J34))</f>
        <v>1</v>
      </c>
      <c r="F34" s="31">
        <f>IF(I34 = 0, 0, ('Topsis LP Auto'!$D34)/I34)</f>
        <v>0.11889999931400003</v>
      </c>
      <c r="G34" s="31" t="e">
        <f t="shared" si="0"/>
        <v>#DIV/0!</v>
      </c>
      <c r="H34" s="31" t="e">
        <f>'Topsis LP Auto'!$D34*K34</f>
        <v>#DIV/0!</v>
      </c>
      <c r="I34" s="31">
        <f>_xlfn.IFNA(VLOOKUP($A34, 'Input Screen'!$C$7:$M$101, 10, FALSE), 0)</f>
        <v>215451902</v>
      </c>
      <c r="J34" s="31">
        <f>_xlfn.IFNA(VLOOKUP($A34, 'Input Screen'!$C$7:$M$101, 11, FALSE), 0)</f>
        <v>25617231</v>
      </c>
      <c r="K34" s="31" t="e">
        <f>VLOOKUP('Topsis LP Auto'!$A34, 'Topsis LP Auto'!$M$10:$X$109, 12, FALSE)</f>
        <v>#DIV/0!</v>
      </c>
      <c r="M34" s="32" t="str">
        <f>'Input Screen'!C31</f>
        <v>GRSM</v>
      </c>
      <c r="N34" s="33">
        <f>_xlfn.IFNA((VLOOKUP($M34,'Input Screen'!$C$7:$K$101, (N$8+1), 0)/SQRT(SUMSQ('Input Screen'!D$7:D$101)))*N$6, 0)</f>
        <v>0</v>
      </c>
      <c r="O34" s="33">
        <f>_xlfn.IFNA((VLOOKUP($M34,'Input Screen'!$C$7:$K$101, (O$8+1), 0)/SQRT(SUMSQ('Input Screen'!E$7:E$101)))*O$6, 0)</f>
        <v>0</v>
      </c>
      <c r="P34" s="33">
        <f>_xlfn.IFNA((VLOOKUP($M34,'Input Screen'!$C$7:$K$101, (P$8+1), 0)/SQRT(SUMSQ('Input Screen'!F$7:F$101)))*P$6, 0)</f>
        <v>0</v>
      </c>
      <c r="Q34" s="33">
        <f>_xlfn.IFNA((VLOOKUP($M34,'Input Screen'!$C$7:$K$101, (Q$8+1), 0)/SQRT(SUMSQ('Input Screen'!G$7:G$101)))*Q$6, 0)</f>
        <v>0</v>
      </c>
      <c r="R34" s="33">
        <f>_xlfn.IFNA((VLOOKUP($M34,'Input Screen'!$C$7:$K$101, (R$8+1), 0)/SQRT(SUMSQ('Input Screen'!H$7:H$101)))*R$6, 0)</f>
        <v>0</v>
      </c>
      <c r="S34" s="33">
        <f>_xlfn.IFNA((VLOOKUP($M34,'Input Screen'!$C$7:$K$101, (S$8+1), 0)/SQRT(SUMSQ('Input Screen'!I$7:I$101)))*S$6, 0)</f>
        <v>0</v>
      </c>
      <c r="T34" s="33">
        <f>_xlfn.IFNA((VLOOKUP($M34,'Input Screen'!$C$7:$K$101, (T$8+1), 0)/SQRT(SUMSQ('Input Screen'!J$7:J$101)))*T$6, 0)</f>
        <v>0</v>
      </c>
      <c r="U34" s="33">
        <f>_xlfn.IFNA((VLOOKUP($M34,'Input Screen'!$C$7:$K$101, (U$8+1), 0)/SQRT(SUMSQ('Input Screen'!K$7:K$101)))*U$6, 0)</f>
        <v>0</v>
      </c>
      <c r="V34" s="36">
        <f>IF('Topsis LP Auto'!$M34 = 0, 0, SQRT((N34-MAX(N$10:N$109))^2 + (O34-MAX(O$10:O$109))^2 + (P34-MAX(P$10:P$109))^2 + (Q34-MAX(Q$10:Q$109))^2 + (R34-MAX(R$10:R$109))^2 + (S34-MAX(S$10:S$109))^2 + (T34-MAX(T$10:T$109))^2 +(U34-MAX(U$10:U$109))^2))</f>
        <v>0</v>
      </c>
      <c r="W34" s="33">
        <f>IF('Topsis LP Auto'!$M34=0, 0, SQRT((N34-MIN(N$10:N$109))^2 + (O34-MIN(O$10:O$109))^2 + (P34-MIN(P$10:P$109))^2 + (Q34-MIN(Q$10:Q$109))^2 + (R34-MIN(R$10:R$109))^2 + (S34-MIN(S$10:S$109))^2 + (T34-MIN(T$10:T$109))^2 +(U34-MIN(U$10:U$109))^2))</f>
        <v>0</v>
      </c>
      <c r="X34" s="31" t="e">
        <f>IF('Topsis LP Auto'!$M34 = 0, 0, W34/(V34+W34))</f>
        <v>#DIV/0!</v>
      </c>
    </row>
    <row r="35" spans="1:24" ht="16.5" thickBot="1" x14ac:dyDescent="0.3">
      <c r="A35" s="78" t="str">
        <f>'Topsis LP Auto'!$M35</f>
        <v>GRTE</v>
      </c>
      <c r="B35" s="34">
        <v>39388030</v>
      </c>
      <c r="C35" s="34">
        <v>0</v>
      </c>
      <c r="D35" s="34">
        <f>SUM('Topsis LP Auto'!$B35:$C35)</f>
        <v>39388030</v>
      </c>
      <c r="E35" s="34">
        <f>IF('Topsis LP Auto'!$J35 = 0, 0, (B35/J35))</f>
        <v>1</v>
      </c>
      <c r="F35" s="34">
        <f>IF(I35 = 0, 0, ('Topsis LP Auto'!$D35)/I35)</f>
        <v>0.22049999573141268</v>
      </c>
      <c r="G35" s="34" t="e">
        <f t="shared" si="0"/>
        <v>#DIV/0!</v>
      </c>
      <c r="H35" s="34" t="e">
        <f>'Topsis LP Auto'!$D35*K35</f>
        <v>#DIV/0!</v>
      </c>
      <c r="I35" s="34">
        <f>_xlfn.IFNA(VLOOKUP($A35, 'Input Screen'!$C$7:$M$101, 10, FALSE), 0)</f>
        <v>178630524.99999997</v>
      </c>
      <c r="J35" s="34">
        <f>_xlfn.IFNA(VLOOKUP($A35, 'Input Screen'!$C$7:$M$101, 11, FALSE), 0)</f>
        <v>39388030</v>
      </c>
      <c r="K35" s="34" t="e">
        <f>VLOOKUP('Topsis LP Auto'!$A35, 'Topsis LP Auto'!$M$10:$X$109, 12, FALSE)</f>
        <v>#DIV/0!</v>
      </c>
      <c r="M35" s="26" t="str">
        <f>'Input Screen'!C32</f>
        <v>GRTE</v>
      </c>
      <c r="N35" s="35">
        <f>_xlfn.IFNA((VLOOKUP($M35,'Input Screen'!$C$7:$K$101, (N$8+1), 0)/SQRT(SUMSQ('Input Screen'!D$7:D$101)))*N$6, 0)</f>
        <v>0</v>
      </c>
      <c r="O35" s="35">
        <f>_xlfn.IFNA((VLOOKUP($M35,'Input Screen'!$C$7:$K$101, (O$8+1), 0)/SQRT(SUMSQ('Input Screen'!E$7:E$101)))*O$6, 0)</f>
        <v>0</v>
      </c>
      <c r="P35" s="35">
        <f>_xlfn.IFNA((VLOOKUP($M35,'Input Screen'!$C$7:$K$101, (P$8+1), 0)/SQRT(SUMSQ('Input Screen'!F$7:F$101)))*P$6, 0)</f>
        <v>0</v>
      </c>
      <c r="Q35" s="35">
        <f>_xlfn.IFNA((VLOOKUP($M35,'Input Screen'!$C$7:$K$101, (Q$8+1), 0)/SQRT(SUMSQ('Input Screen'!G$7:G$101)))*Q$6, 0)</f>
        <v>0</v>
      </c>
      <c r="R35" s="35">
        <f>_xlfn.IFNA((VLOOKUP($M35,'Input Screen'!$C$7:$K$101, (R$8+1), 0)/SQRT(SUMSQ('Input Screen'!H$7:H$101)))*R$6, 0)</f>
        <v>0</v>
      </c>
      <c r="S35" s="35">
        <f>_xlfn.IFNA((VLOOKUP($M35,'Input Screen'!$C$7:$K$101, (S$8+1), 0)/SQRT(SUMSQ('Input Screen'!I$7:I$101)))*S$6, 0)</f>
        <v>0</v>
      </c>
      <c r="T35" s="35">
        <f>_xlfn.IFNA((VLOOKUP($M35,'Input Screen'!$C$7:$K$101, (T$8+1), 0)/SQRT(SUMSQ('Input Screen'!J$7:J$101)))*T$6, 0)</f>
        <v>0</v>
      </c>
      <c r="U35" s="35">
        <f>_xlfn.IFNA((VLOOKUP($M35,'Input Screen'!$C$7:$K$101, (U$8+1), 0)/SQRT(SUMSQ('Input Screen'!K$7:K$101)))*U$6, 0)</f>
        <v>0</v>
      </c>
      <c r="V35" s="37">
        <f>IF('Topsis LP Auto'!$M35 = 0, 0, SQRT((N35-MAX(N$10:N$109))^2 + (O35-MAX(O$10:O$109))^2 + (P35-MAX(P$10:P$109))^2 + (Q35-MAX(Q$10:Q$109))^2 + (R35-MAX(R$10:R$109))^2 + (S35-MAX(S$10:S$109))^2 + (T35-MAX(T$10:T$109))^2 +(U35-MAX(U$10:U$109))^2))</f>
        <v>0</v>
      </c>
      <c r="W35" s="35">
        <f>IF('Topsis LP Auto'!$M35=0, 0, SQRT((N35-MIN(N$10:N$109))^2 + (O35-MIN(O$10:O$109))^2 + (P35-MIN(P$10:P$109))^2 + (Q35-MIN(Q$10:Q$109))^2 + (R35-MIN(R$10:R$109))^2 + (S35-MIN(S$10:S$109))^2 + (T35-MIN(T$10:T$109))^2 +(U35-MIN(U$10:U$109))^2))</f>
        <v>0</v>
      </c>
      <c r="X35" s="34" t="e">
        <f>IF('Topsis LP Auto'!$M35 = 0, 0, W35/(V35+W35))</f>
        <v>#DIV/0!</v>
      </c>
    </row>
    <row r="36" spans="1:24" ht="16.5" thickBot="1" x14ac:dyDescent="0.3">
      <c r="A36" s="76" t="str">
        <f>'Topsis LP Auto'!$M36</f>
        <v>GUMO</v>
      </c>
      <c r="B36" s="31">
        <v>930266</v>
      </c>
      <c r="C36" s="31">
        <v>0</v>
      </c>
      <c r="D36" s="31">
        <f>SUM('Topsis LP Auto'!$B36:$C36)</f>
        <v>930266</v>
      </c>
      <c r="E36" s="31">
        <f>IF('Topsis LP Auto'!$J36 = 0, 0, (B36/J36))</f>
        <v>1</v>
      </c>
      <c r="F36" s="31">
        <f>IF(I36 = 0, 0, ('Topsis LP Auto'!$D36)/I36)</f>
        <v>0.14509995620170174</v>
      </c>
      <c r="G36" s="31" t="e">
        <f t="shared" si="0"/>
        <v>#DIV/0!</v>
      </c>
      <c r="H36" s="31" t="e">
        <f>'Topsis LP Auto'!$D36*K36</f>
        <v>#DIV/0!</v>
      </c>
      <c r="I36" s="31">
        <f>_xlfn.IFNA(VLOOKUP($A36, 'Input Screen'!$C$7:$M$101, 10, FALSE), 0)</f>
        <v>6411208.0000000009</v>
      </c>
      <c r="J36" s="31">
        <f>_xlfn.IFNA(VLOOKUP($A36, 'Input Screen'!$C$7:$M$101, 11, FALSE), 0)</f>
        <v>930266</v>
      </c>
      <c r="K36" s="31" t="e">
        <f>VLOOKUP('Topsis LP Auto'!$A36, 'Topsis LP Auto'!$M$10:$X$109, 12, FALSE)</f>
        <v>#DIV/0!</v>
      </c>
      <c r="M36" s="32" t="str">
        <f>'Input Screen'!C33</f>
        <v>GUMO</v>
      </c>
      <c r="N36" s="33">
        <f>_xlfn.IFNA((VLOOKUP($M36,'Input Screen'!$C$7:$K$101, (N$8+1), 0)/SQRT(SUMSQ('Input Screen'!D$7:D$101)))*N$6, 0)</f>
        <v>0</v>
      </c>
      <c r="O36" s="33">
        <f>_xlfn.IFNA((VLOOKUP($M36,'Input Screen'!$C$7:$K$101, (O$8+1), 0)/SQRT(SUMSQ('Input Screen'!E$7:E$101)))*O$6, 0)</f>
        <v>0</v>
      </c>
      <c r="P36" s="33">
        <f>_xlfn.IFNA((VLOOKUP($M36,'Input Screen'!$C$7:$K$101, (P$8+1), 0)/SQRT(SUMSQ('Input Screen'!F$7:F$101)))*P$6, 0)</f>
        <v>0</v>
      </c>
      <c r="Q36" s="33">
        <f>_xlfn.IFNA((VLOOKUP($M36,'Input Screen'!$C$7:$K$101, (Q$8+1), 0)/SQRT(SUMSQ('Input Screen'!G$7:G$101)))*Q$6, 0)</f>
        <v>0</v>
      </c>
      <c r="R36" s="33">
        <f>_xlfn.IFNA((VLOOKUP($M36,'Input Screen'!$C$7:$K$101, (R$8+1), 0)/SQRT(SUMSQ('Input Screen'!H$7:H$101)))*R$6, 0)</f>
        <v>0</v>
      </c>
      <c r="S36" s="33">
        <f>_xlfn.IFNA((VLOOKUP($M36,'Input Screen'!$C$7:$K$101, (S$8+1), 0)/SQRT(SUMSQ('Input Screen'!I$7:I$101)))*S$6, 0)</f>
        <v>0</v>
      </c>
      <c r="T36" s="33">
        <f>_xlfn.IFNA((VLOOKUP($M36,'Input Screen'!$C$7:$K$101, (T$8+1), 0)/SQRT(SUMSQ('Input Screen'!J$7:J$101)))*T$6, 0)</f>
        <v>0</v>
      </c>
      <c r="U36" s="33">
        <f>_xlfn.IFNA((VLOOKUP($M36,'Input Screen'!$C$7:$K$101, (U$8+1), 0)/SQRT(SUMSQ('Input Screen'!K$7:K$101)))*U$6, 0)</f>
        <v>0</v>
      </c>
      <c r="V36" s="36">
        <f>IF('Topsis LP Auto'!$M36 = 0, 0, SQRT((N36-MAX(N$10:N$109))^2 + (O36-MAX(O$10:O$109))^2 + (P36-MAX(P$10:P$109))^2 + (Q36-MAX(Q$10:Q$109))^2 + (R36-MAX(R$10:R$109))^2 + (S36-MAX(S$10:S$109))^2 + (T36-MAX(T$10:T$109))^2 +(U36-MAX(U$10:U$109))^2))</f>
        <v>0</v>
      </c>
      <c r="W36" s="33">
        <f>IF('Topsis LP Auto'!$M36=0, 0, SQRT((N36-MIN(N$10:N$109))^2 + (O36-MIN(O$10:O$109))^2 + (P36-MIN(P$10:P$109))^2 + (Q36-MIN(Q$10:Q$109))^2 + (R36-MIN(R$10:R$109))^2 + (S36-MIN(S$10:S$109))^2 + (T36-MIN(T$10:T$109))^2 +(U36-MIN(U$10:U$109))^2))</f>
        <v>0</v>
      </c>
      <c r="X36" s="31" t="e">
        <f>IF('Topsis LP Auto'!$M36 = 0, 0, W36/(V36+W36))</f>
        <v>#DIV/0!</v>
      </c>
    </row>
    <row r="37" spans="1:24" ht="16.5" thickBot="1" x14ac:dyDescent="0.3">
      <c r="A37" s="78" t="str">
        <f>'Topsis LP Auto'!$M37</f>
        <v>HALE</v>
      </c>
      <c r="B37" s="34">
        <v>6055857</v>
      </c>
      <c r="C37" s="34">
        <v>0</v>
      </c>
      <c r="D37" s="34">
        <f>SUM('Topsis LP Auto'!$B37:$C37)</f>
        <v>6055857</v>
      </c>
      <c r="E37" s="34">
        <f>IF('Topsis LP Auto'!$J37 = 0, 0, (B37/J37))</f>
        <v>1</v>
      </c>
      <c r="F37" s="34">
        <f>IF(I37 = 0, 0, ('Topsis LP Auto'!$D37)/I37)</f>
        <v>0.28689999602992283</v>
      </c>
      <c r="G37" s="34" t="e">
        <f t="shared" si="0"/>
        <v>#DIV/0!</v>
      </c>
      <c r="H37" s="34" t="e">
        <f>'Topsis LP Auto'!$D37*K37</f>
        <v>#DIV/0!</v>
      </c>
      <c r="I37" s="34">
        <f>_xlfn.IFNA(VLOOKUP($A37, 'Input Screen'!$C$7:$M$101, 10, FALSE), 0)</f>
        <v>21107902</v>
      </c>
      <c r="J37" s="34">
        <f>_xlfn.IFNA(VLOOKUP($A37, 'Input Screen'!$C$7:$M$101, 11, FALSE), 0)</f>
        <v>6055857</v>
      </c>
      <c r="K37" s="34" t="e">
        <f>VLOOKUP('Topsis LP Auto'!$A37, 'Topsis LP Auto'!$M$10:$X$109, 12, FALSE)</f>
        <v>#DIV/0!</v>
      </c>
      <c r="M37" s="26" t="str">
        <f>'Input Screen'!C34</f>
        <v>HALE</v>
      </c>
      <c r="N37" s="35">
        <f>_xlfn.IFNA((VLOOKUP($M37,'Input Screen'!$C$7:$K$101, (N$8+1), 0)/SQRT(SUMSQ('Input Screen'!D$7:D$101)))*N$6, 0)</f>
        <v>0</v>
      </c>
      <c r="O37" s="35">
        <f>_xlfn.IFNA((VLOOKUP($M37,'Input Screen'!$C$7:$K$101, (O$8+1), 0)/SQRT(SUMSQ('Input Screen'!E$7:E$101)))*O$6, 0)</f>
        <v>0</v>
      </c>
      <c r="P37" s="35">
        <f>_xlfn.IFNA((VLOOKUP($M37,'Input Screen'!$C$7:$K$101, (P$8+1), 0)/SQRT(SUMSQ('Input Screen'!F$7:F$101)))*P$6, 0)</f>
        <v>0</v>
      </c>
      <c r="Q37" s="35">
        <f>_xlfn.IFNA((VLOOKUP($M37,'Input Screen'!$C$7:$K$101, (Q$8+1), 0)/SQRT(SUMSQ('Input Screen'!G$7:G$101)))*Q$6, 0)</f>
        <v>0</v>
      </c>
      <c r="R37" s="35">
        <f>_xlfn.IFNA((VLOOKUP($M37,'Input Screen'!$C$7:$K$101, (R$8+1), 0)/SQRT(SUMSQ('Input Screen'!H$7:H$101)))*R$6, 0)</f>
        <v>0</v>
      </c>
      <c r="S37" s="35">
        <f>_xlfn.IFNA((VLOOKUP($M37,'Input Screen'!$C$7:$K$101, (S$8+1), 0)/SQRT(SUMSQ('Input Screen'!I$7:I$101)))*S$6, 0)</f>
        <v>0</v>
      </c>
      <c r="T37" s="35">
        <f>_xlfn.IFNA((VLOOKUP($M37,'Input Screen'!$C$7:$K$101, (T$8+1), 0)/SQRT(SUMSQ('Input Screen'!J$7:J$101)))*T$6, 0)</f>
        <v>0</v>
      </c>
      <c r="U37" s="35">
        <f>_xlfn.IFNA((VLOOKUP($M37,'Input Screen'!$C$7:$K$101, (U$8+1), 0)/SQRT(SUMSQ('Input Screen'!K$7:K$101)))*U$6, 0)</f>
        <v>0</v>
      </c>
      <c r="V37" s="37">
        <f>IF('Topsis LP Auto'!$M37 = 0, 0, SQRT((N37-MAX(N$10:N$109))^2 + (O37-MAX(O$10:O$109))^2 + (P37-MAX(P$10:P$109))^2 + (Q37-MAX(Q$10:Q$109))^2 + (R37-MAX(R$10:R$109))^2 + (S37-MAX(S$10:S$109))^2 + (T37-MAX(T$10:T$109))^2 +(U37-MAX(U$10:U$109))^2))</f>
        <v>0</v>
      </c>
      <c r="W37" s="35">
        <f>IF('Topsis LP Auto'!$M37=0, 0, SQRT((N37-MIN(N$10:N$109))^2 + (O37-MIN(O$10:O$109))^2 + (P37-MIN(P$10:P$109))^2 + (Q37-MIN(Q$10:Q$109))^2 + (R37-MIN(R$10:R$109))^2 + (S37-MIN(S$10:S$109))^2 + (T37-MIN(T$10:T$109))^2 +(U37-MIN(U$10:U$109))^2))</f>
        <v>0</v>
      </c>
      <c r="X37" s="34" t="e">
        <f>IF('Topsis LP Auto'!$M37 = 0, 0, W37/(V37+W37))</f>
        <v>#DIV/0!</v>
      </c>
    </row>
    <row r="38" spans="1:24" ht="16.5" thickBot="1" x14ac:dyDescent="0.3">
      <c r="A38" s="76" t="str">
        <f>'Topsis LP Auto'!$M38</f>
        <v>HAVO</v>
      </c>
      <c r="B38" s="31">
        <v>6646866</v>
      </c>
      <c r="C38" s="31">
        <v>0</v>
      </c>
      <c r="D38" s="31">
        <f>SUM('Topsis LP Auto'!$B38:$C38)</f>
        <v>6646866</v>
      </c>
      <c r="E38" s="31">
        <f>IF('Topsis LP Auto'!$J38 = 0, 0, (B38/J38))</f>
        <v>1</v>
      </c>
      <c r="F38" s="31">
        <f>IF(I38 = 0, 0, ('Topsis LP Auto'!$D38)/I38)</f>
        <v>7.7699997243564203E-2</v>
      </c>
      <c r="G38" s="31" t="e">
        <f t="shared" si="0"/>
        <v>#DIV/0!</v>
      </c>
      <c r="H38" s="31" t="e">
        <f>'Topsis LP Auto'!$D38*K38</f>
        <v>#DIV/0!</v>
      </c>
      <c r="I38" s="31">
        <f>_xlfn.IFNA(VLOOKUP($A38, 'Input Screen'!$C$7:$M$101, 10, FALSE), 0)</f>
        <v>85545254</v>
      </c>
      <c r="J38" s="31">
        <f>_xlfn.IFNA(VLOOKUP($A38, 'Input Screen'!$C$7:$M$101, 11, FALSE), 0)</f>
        <v>6646866</v>
      </c>
      <c r="K38" s="31" t="e">
        <f>VLOOKUP('Topsis LP Auto'!$A38, 'Topsis LP Auto'!$M$10:$X$109, 12, FALSE)</f>
        <v>#DIV/0!</v>
      </c>
      <c r="M38" s="32" t="str">
        <f>'Input Screen'!C35</f>
        <v>HAVO</v>
      </c>
      <c r="N38" s="33">
        <f>_xlfn.IFNA((VLOOKUP($M38,'Input Screen'!$C$7:$K$101, (N$8+1), 0)/SQRT(SUMSQ('Input Screen'!D$7:D$101)))*N$6, 0)</f>
        <v>0</v>
      </c>
      <c r="O38" s="33">
        <f>_xlfn.IFNA((VLOOKUP($M38,'Input Screen'!$C$7:$K$101, (O$8+1), 0)/SQRT(SUMSQ('Input Screen'!E$7:E$101)))*O$6, 0)</f>
        <v>0</v>
      </c>
      <c r="P38" s="33">
        <f>_xlfn.IFNA((VLOOKUP($M38,'Input Screen'!$C$7:$K$101, (P$8+1), 0)/SQRT(SUMSQ('Input Screen'!F$7:F$101)))*P$6, 0)</f>
        <v>0</v>
      </c>
      <c r="Q38" s="33">
        <f>_xlfn.IFNA((VLOOKUP($M38,'Input Screen'!$C$7:$K$101, (Q$8+1), 0)/SQRT(SUMSQ('Input Screen'!G$7:G$101)))*Q$6, 0)</f>
        <v>0</v>
      </c>
      <c r="R38" s="33">
        <f>_xlfn.IFNA((VLOOKUP($M38,'Input Screen'!$C$7:$K$101, (R$8+1), 0)/SQRT(SUMSQ('Input Screen'!H$7:H$101)))*R$6, 0)</f>
        <v>0</v>
      </c>
      <c r="S38" s="33">
        <f>_xlfn.IFNA((VLOOKUP($M38,'Input Screen'!$C$7:$K$101, (S$8+1), 0)/SQRT(SUMSQ('Input Screen'!I$7:I$101)))*S$6, 0)</f>
        <v>0</v>
      </c>
      <c r="T38" s="33">
        <f>_xlfn.IFNA((VLOOKUP($M38,'Input Screen'!$C$7:$K$101, (T$8+1), 0)/SQRT(SUMSQ('Input Screen'!J$7:J$101)))*T$6, 0)</f>
        <v>0</v>
      </c>
      <c r="U38" s="33">
        <f>_xlfn.IFNA((VLOOKUP($M38,'Input Screen'!$C$7:$K$101, (U$8+1), 0)/SQRT(SUMSQ('Input Screen'!K$7:K$101)))*U$6, 0)</f>
        <v>0</v>
      </c>
      <c r="V38" s="36">
        <f>IF('Topsis LP Auto'!$M38 = 0, 0, SQRT((N38-MAX(N$10:N$109))^2 + (O38-MAX(O$10:O$109))^2 + (P38-MAX(P$10:P$109))^2 + (Q38-MAX(Q$10:Q$109))^2 + (R38-MAX(R$10:R$109))^2 + (S38-MAX(S$10:S$109))^2 + (T38-MAX(T$10:T$109))^2 +(U38-MAX(U$10:U$109))^2))</f>
        <v>0</v>
      </c>
      <c r="W38" s="33">
        <f>IF('Topsis LP Auto'!$M38=0, 0, SQRT((N38-MIN(N$10:N$109))^2 + (O38-MIN(O$10:O$109))^2 + (P38-MIN(P$10:P$109))^2 + (Q38-MIN(Q$10:Q$109))^2 + (R38-MIN(R$10:R$109))^2 + (S38-MIN(S$10:S$109))^2 + (T38-MIN(T$10:T$109))^2 +(U38-MIN(U$10:U$109))^2))</f>
        <v>0</v>
      </c>
      <c r="X38" s="31" t="e">
        <f>IF('Topsis LP Auto'!$M38 = 0, 0, W38/(V38+W38))</f>
        <v>#DIV/0!</v>
      </c>
    </row>
    <row r="39" spans="1:24" ht="16.5" thickBot="1" x14ac:dyDescent="0.3">
      <c r="A39" s="78" t="str">
        <f>'Topsis LP Auto'!$M39</f>
        <v>HOSP</v>
      </c>
      <c r="B39" s="34">
        <v>3875013</v>
      </c>
      <c r="C39" s="34">
        <v>0</v>
      </c>
      <c r="D39" s="34">
        <f>SUM('Topsis LP Auto'!$B39:$C39)</f>
        <v>3875013</v>
      </c>
      <c r="E39" s="34">
        <f>IF('Topsis LP Auto'!$J39 = 0, 0, (B39/J39))</f>
        <v>1</v>
      </c>
      <c r="F39" s="34">
        <f>IF(I39 = 0, 0, ('Topsis LP Auto'!$D39)/I39)</f>
        <v>0.31349992488162481</v>
      </c>
      <c r="G39" s="34" t="e">
        <f t="shared" si="0"/>
        <v>#DIV/0!</v>
      </c>
      <c r="H39" s="34" t="e">
        <f>'Topsis LP Auto'!$D39*K39</f>
        <v>#DIV/0!</v>
      </c>
      <c r="I39" s="34">
        <f>_xlfn.IFNA(VLOOKUP($A39, 'Input Screen'!$C$7:$M$101, 10, FALSE), 0)</f>
        <v>12360491.000000002</v>
      </c>
      <c r="J39" s="34">
        <f>_xlfn.IFNA(VLOOKUP($A39, 'Input Screen'!$C$7:$M$101, 11, FALSE), 0)</f>
        <v>3875013</v>
      </c>
      <c r="K39" s="34" t="e">
        <f>VLOOKUP('Topsis LP Auto'!$A39, 'Topsis LP Auto'!$M$10:$X$109, 12, FALSE)</f>
        <v>#DIV/0!</v>
      </c>
      <c r="M39" s="26" t="str">
        <f>'Input Screen'!C36</f>
        <v>HOSP</v>
      </c>
      <c r="N39" s="35">
        <f>_xlfn.IFNA((VLOOKUP($M39,'Input Screen'!$C$7:$K$101, (N$8+1), 0)/SQRT(SUMSQ('Input Screen'!D$7:D$101)))*N$6, 0)</f>
        <v>0</v>
      </c>
      <c r="O39" s="35">
        <f>_xlfn.IFNA((VLOOKUP($M39,'Input Screen'!$C$7:$K$101, (O$8+1), 0)/SQRT(SUMSQ('Input Screen'!E$7:E$101)))*O$6, 0)</f>
        <v>0</v>
      </c>
      <c r="P39" s="35">
        <f>_xlfn.IFNA((VLOOKUP($M39,'Input Screen'!$C$7:$K$101, (P$8+1), 0)/SQRT(SUMSQ('Input Screen'!F$7:F$101)))*P$6, 0)</f>
        <v>0</v>
      </c>
      <c r="Q39" s="35">
        <f>_xlfn.IFNA((VLOOKUP($M39,'Input Screen'!$C$7:$K$101, (Q$8+1), 0)/SQRT(SUMSQ('Input Screen'!G$7:G$101)))*Q$6, 0)</f>
        <v>0</v>
      </c>
      <c r="R39" s="35">
        <f>_xlfn.IFNA((VLOOKUP($M39,'Input Screen'!$C$7:$K$101, (R$8+1), 0)/SQRT(SUMSQ('Input Screen'!H$7:H$101)))*R$6, 0)</f>
        <v>0</v>
      </c>
      <c r="S39" s="35">
        <f>_xlfn.IFNA((VLOOKUP($M39,'Input Screen'!$C$7:$K$101, (S$8+1), 0)/SQRT(SUMSQ('Input Screen'!I$7:I$101)))*S$6, 0)</f>
        <v>0</v>
      </c>
      <c r="T39" s="35">
        <f>_xlfn.IFNA((VLOOKUP($M39,'Input Screen'!$C$7:$K$101, (T$8+1), 0)/SQRT(SUMSQ('Input Screen'!J$7:J$101)))*T$6, 0)</f>
        <v>0</v>
      </c>
      <c r="U39" s="35">
        <f>_xlfn.IFNA((VLOOKUP($M39,'Input Screen'!$C$7:$K$101, (U$8+1), 0)/SQRT(SUMSQ('Input Screen'!K$7:K$101)))*U$6, 0)</f>
        <v>0</v>
      </c>
      <c r="V39" s="37">
        <f>IF('Topsis LP Auto'!$M39 = 0, 0, SQRT((N39-MAX(N$10:N$109))^2 + (O39-MAX(O$10:O$109))^2 + (P39-MAX(P$10:P$109))^2 + (Q39-MAX(Q$10:Q$109))^2 + (R39-MAX(R$10:R$109))^2 + (S39-MAX(S$10:S$109))^2 + (T39-MAX(T$10:T$109))^2 +(U39-MAX(U$10:U$109))^2))</f>
        <v>0</v>
      </c>
      <c r="W39" s="35">
        <f>IF('Topsis LP Auto'!$M39=0, 0, SQRT((N39-MIN(N$10:N$109))^2 + (O39-MIN(O$10:O$109))^2 + (P39-MIN(P$10:P$109))^2 + (Q39-MIN(Q$10:Q$109))^2 + (R39-MIN(R$10:R$109))^2 + (S39-MIN(S$10:S$109))^2 + (T39-MIN(T$10:T$109))^2 +(U39-MIN(U$10:U$109))^2))</f>
        <v>0</v>
      </c>
      <c r="X39" s="34" t="e">
        <f>IF('Topsis LP Auto'!$M39 = 0, 0, W39/(V39+W39))</f>
        <v>#DIV/0!</v>
      </c>
    </row>
    <row r="40" spans="1:24" ht="16.5" thickBot="1" x14ac:dyDescent="0.3">
      <c r="A40" s="76" t="str">
        <f>'Topsis LP Auto'!$M40</f>
        <v>ISRO</v>
      </c>
      <c r="B40" s="31">
        <v>8436895</v>
      </c>
      <c r="C40" s="31">
        <v>0</v>
      </c>
      <c r="D40" s="31">
        <f>SUM('Topsis LP Auto'!$B40:$C40)</f>
        <v>8436895</v>
      </c>
      <c r="E40" s="31">
        <f>IF('Topsis LP Auto'!$J40 = 0, 0, (B40/J40))</f>
        <v>1</v>
      </c>
      <c r="F40" s="31">
        <f>IF(I40 = 0, 0, ('Topsis LP Auto'!$D40)/I40)</f>
        <v>0.4772999928604944</v>
      </c>
      <c r="G40" s="31" t="e">
        <f t="shared" si="0"/>
        <v>#DIV/0!</v>
      </c>
      <c r="H40" s="31" t="e">
        <f>'Topsis LP Auto'!$D40*K40</f>
        <v>#DIV/0!</v>
      </c>
      <c r="I40" s="31">
        <f>_xlfn.IFNA(VLOOKUP($A40, 'Input Screen'!$C$7:$M$101, 10, FALSE), 0)</f>
        <v>17676294</v>
      </c>
      <c r="J40" s="31">
        <f>_xlfn.IFNA(VLOOKUP($A40, 'Input Screen'!$C$7:$M$101, 11, FALSE), 0)</f>
        <v>8436895</v>
      </c>
      <c r="K40" s="31" t="e">
        <f>VLOOKUP('Topsis LP Auto'!$A40, 'Topsis LP Auto'!$M$10:$X$109, 12, FALSE)</f>
        <v>#DIV/0!</v>
      </c>
      <c r="M40" s="32" t="str">
        <f>'Input Screen'!C37</f>
        <v>ISRO</v>
      </c>
      <c r="N40" s="33">
        <f>_xlfn.IFNA((VLOOKUP($M40,'Input Screen'!$C$7:$K$101, (N$8+1), 0)/SQRT(SUMSQ('Input Screen'!D$7:D$101)))*N$6, 0)</f>
        <v>0</v>
      </c>
      <c r="O40" s="33">
        <f>_xlfn.IFNA((VLOOKUP($M40,'Input Screen'!$C$7:$K$101, (O$8+1), 0)/SQRT(SUMSQ('Input Screen'!E$7:E$101)))*O$6, 0)</f>
        <v>0</v>
      </c>
      <c r="P40" s="33">
        <f>_xlfn.IFNA((VLOOKUP($M40,'Input Screen'!$C$7:$K$101, (P$8+1), 0)/SQRT(SUMSQ('Input Screen'!F$7:F$101)))*P$6, 0)</f>
        <v>0</v>
      </c>
      <c r="Q40" s="33">
        <f>_xlfn.IFNA((VLOOKUP($M40,'Input Screen'!$C$7:$K$101, (Q$8+1), 0)/SQRT(SUMSQ('Input Screen'!G$7:G$101)))*Q$6, 0)</f>
        <v>0</v>
      </c>
      <c r="R40" s="33">
        <f>_xlfn.IFNA((VLOOKUP($M40,'Input Screen'!$C$7:$K$101, (R$8+1), 0)/SQRT(SUMSQ('Input Screen'!H$7:H$101)))*R$6, 0)</f>
        <v>0</v>
      </c>
      <c r="S40" s="33">
        <f>_xlfn.IFNA((VLOOKUP($M40,'Input Screen'!$C$7:$K$101, (S$8+1), 0)/SQRT(SUMSQ('Input Screen'!I$7:I$101)))*S$6, 0)</f>
        <v>0</v>
      </c>
      <c r="T40" s="33">
        <f>_xlfn.IFNA((VLOOKUP($M40,'Input Screen'!$C$7:$K$101, (T$8+1), 0)/SQRT(SUMSQ('Input Screen'!J$7:J$101)))*T$6, 0)</f>
        <v>0</v>
      </c>
      <c r="U40" s="33">
        <f>_xlfn.IFNA((VLOOKUP($M40,'Input Screen'!$C$7:$K$101, (U$8+1), 0)/SQRT(SUMSQ('Input Screen'!K$7:K$101)))*U$6, 0)</f>
        <v>0</v>
      </c>
      <c r="V40" s="36">
        <f>IF('Topsis LP Auto'!$M40 = 0, 0, SQRT((N40-MAX(N$10:N$109))^2 + (O40-MAX(O$10:O$109))^2 + (P40-MAX(P$10:P$109))^2 + (Q40-MAX(Q$10:Q$109))^2 + (R40-MAX(R$10:R$109))^2 + (S40-MAX(S$10:S$109))^2 + (T40-MAX(T$10:T$109))^2 +(U40-MAX(U$10:U$109))^2))</f>
        <v>0</v>
      </c>
      <c r="W40" s="33">
        <f>IF('Topsis LP Auto'!$M40=0, 0, SQRT((N40-MIN(N$10:N$109))^2 + (O40-MIN(O$10:O$109))^2 + (P40-MIN(P$10:P$109))^2 + (Q40-MIN(Q$10:Q$109))^2 + (R40-MIN(R$10:R$109))^2 + (S40-MIN(S$10:S$109))^2 + (T40-MIN(T$10:T$109))^2 +(U40-MIN(U$10:U$109))^2))</f>
        <v>0</v>
      </c>
      <c r="X40" s="31" t="e">
        <f>IF('Topsis LP Auto'!$M40 = 0, 0, W40/(V40+W40))</f>
        <v>#DIV/0!</v>
      </c>
    </row>
    <row r="41" spans="1:24" ht="16.5" thickBot="1" x14ac:dyDescent="0.3">
      <c r="A41" s="78" t="str">
        <f>'Topsis LP Auto'!$M41</f>
        <v>JEFF</v>
      </c>
      <c r="B41" s="34">
        <v>8805718</v>
      </c>
      <c r="C41" s="34">
        <v>0</v>
      </c>
      <c r="D41" s="34">
        <f>SUM('Topsis LP Auto'!$B41:$C41)</f>
        <v>8805718</v>
      </c>
      <c r="E41" s="34">
        <f>IF('Topsis LP Auto'!$J41 = 0, 0, (B41/J41))</f>
        <v>1</v>
      </c>
      <c r="F41" s="34">
        <f>IF(I41 = 0, 0, ('Topsis LP Auto'!$D41)/I41)</f>
        <v>0.3601999595119989</v>
      </c>
      <c r="G41" s="34" t="e">
        <f t="shared" si="0"/>
        <v>#DIV/0!</v>
      </c>
      <c r="H41" s="34" t="e">
        <f>'Topsis LP Auto'!$D41*K41</f>
        <v>#DIV/0!</v>
      </c>
      <c r="I41" s="34">
        <f>_xlfn.IFNA(VLOOKUP($A41, 'Input Screen'!$C$7:$M$101, 10, FALSE), 0)</f>
        <v>24446749</v>
      </c>
      <c r="J41" s="34">
        <f>_xlfn.IFNA(VLOOKUP($A41, 'Input Screen'!$C$7:$M$101, 11, FALSE), 0)</f>
        <v>8805718</v>
      </c>
      <c r="K41" s="34" t="e">
        <f>VLOOKUP('Topsis LP Auto'!$A41, 'Topsis LP Auto'!$M$10:$X$109, 12, FALSE)</f>
        <v>#DIV/0!</v>
      </c>
      <c r="M41" s="26" t="str">
        <f>'Input Screen'!C38</f>
        <v>JEFF</v>
      </c>
      <c r="N41" s="35">
        <f>_xlfn.IFNA((VLOOKUP($M41,'Input Screen'!$C$7:$K$101, (N$8+1), 0)/SQRT(SUMSQ('Input Screen'!D$7:D$101)))*N$6, 0)</f>
        <v>0</v>
      </c>
      <c r="O41" s="35">
        <f>_xlfn.IFNA((VLOOKUP($M41,'Input Screen'!$C$7:$K$101, (O$8+1), 0)/SQRT(SUMSQ('Input Screen'!E$7:E$101)))*O$6, 0)</f>
        <v>0</v>
      </c>
      <c r="P41" s="35">
        <f>_xlfn.IFNA((VLOOKUP($M41,'Input Screen'!$C$7:$K$101, (P$8+1), 0)/SQRT(SUMSQ('Input Screen'!F$7:F$101)))*P$6, 0)</f>
        <v>0</v>
      </c>
      <c r="Q41" s="35">
        <f>_xlfn.IFNA((VLOOKUP($M41,'Input Screen'!$C$7:$K$101, (Q$8+1), 0)/SQRT(SUMSQ('Input Screen'!G$7:G$101)))*Q$6, 0)</f>
        <v>0</v>
      </c>
      <c r="R41" s="35">
        <f>_xlfn.IFNA((VLOOKUP($M41,'Input Screen'!$C$7:$K$101, (R$8+1), 0)/SQRT(SUMSQ('Input Screen'!H$7:H$101)))*R$6, 0)</f>
        <v>0</v>
      </c>
      <c r="S41" s="35">
        <f>_xlfn.IFNA((VLOOKUP($M41,'Input Screen'!$C$7:$K$101, (S$8+1), 0)/SQRT(SUMSQ('Input Screen'!I$7:I$101)))*S$6, 0)</f>
        <v>0</v>
      </c>
      <c r="T41" s="35">
        <f>_xlfn.IFNA((VLOOKUP($M41,'Input Screen'!$C$7:$K$101, (T$8+1), 0)/SQRT(SUMSQ('Input Screen'!J$7:J$101)))*T$6, 0)</f>
        <v>0</v>
      </c>
      <c r="U41" s="35">
        <f>_xlfn.IFNA((VLOOKUP($M41,'Input Screen'!$C$7:$K$101, (U$8+1), 0)/SQRT(SUMSQ('Input Screen'!K$7:K$101)))*U$6, 0)</f>
        <v>0</v>
      </c>
      <c r="V41" s="37">
        <f>IF('Topsis LP Auto'!$M41 = 0, 0, SQRT((N41-MAX(N$10:N$109))^2 + (O41-MAX(O$10:O$109))^2 + (P41-MAX(P$10:P$109))^2 + (Q41-MAX(Q$10:Q$109))^2 + (R41-MAX(R$10:R$109))^2 + (S41-MAX(S$10:S$109))^2 + (T41-MAX(T$10:T$109))^2 +(U41-MAX(U$10:U$109))^2))</f>
        <v>0</v>
      </c>
      <c r="W41" s="35">
        <f>IF('Topsis LP Auto'!$M41=0, 0, SQRT((N41-MIN(N$10:N$109))^2 + (O41-MIN(O$10:O$109))^2 + (P41-MIN(P$10:P$109))^2 + (Q41-MIN(Q$10:Q$109))^2 + (R41-MIN(R$10:R$109))^2 + (S41-MIN(S$10:S$109))^2 + (T41-MIN(T$10:T$109))^2 +(U41-MIN(U$10:U$109))^2))</f>
        <v>0</v>
      </c>
      <c r="X41" s="34" t="e">
        <f>IF('Topsis LP Auto'!$M41 = 0, 0, W41/(V41+W41))</f>
        <v>#DIV/0!</v>
      </c>
    </row>
    <row r="42" spans="1:24" ht="16.5" thickBot="1" x14ac:dyDescent="0.3">
      <c r="A42" s="76" t="str">
        <f>'Topsis LP Auto'!$M42</f>
        <v>JOTR</v>
      </c>
      <c r="B42" s="31">
        <v>4848082</v>
      </c>
      <c r="C42" s="31">
        <v>0</v>
      </c>
      <c r="D42" s="31">
        <f>SUM('Topsis LP Auto'!$B42:$C42)</f>
        <v>4848082</v>
      </c>
      <c r="E42" s="31">
        <f>IF('Topsis LP Auto'!$J42 = 0, 0, (B42/J42))</f>
        <v>1</v>
      </c>
      <c r="F42" s="31">
        <f>IF(I42 = 0, 0, ('Topsis LP Auto'!$D42)/I42)</f>
        <v>0.10359999845286448</v>
      </c>
      <c r="G42" s="31" t="e">
        <f t="shared" si="0"/>
        <v>#DIV/0!</v>
      </c>
      <c r="H42" s="31" t="e">
        <f>'Topsis LP Auto'!$D42*K42</f>
        <v>#DIV/0!</v>
      </c>
      <c r="I42" s="31">
        <f>_xlfn.IFNA(VLOOKUP($A42, 'Input Screen'!$C$7:$M$101, 10, FALSE), 0)</f>
        <v>46796159</v>
      </c>
      <c r="J42" s="31">
        <f>_xlfn.IFNA(VLOOKUP($A42, 'Input Screen'!$C$7:$M$101, 11, FALSE), 0)</f>
        <v>4848082</v>
      </c>
      <c r="K42" s="31" t="e">
        <f>VLOOKUP('Topsis LP Auto'!$A42, 'Topsis LP Auto'!$M$10:$X$109, 12, FALSE)</f>
        <v>#DIV/0!</v>
      </c>
      <c r="M42" s="32" t="str">
        <f>'Input Screen'!C39</f>
        <v>JOTR</v>
      </c>
      <c r="N42" s="33">
        <f>_xlfn.IFNA((VLOOKUP($M42,'Input Screen'!$C$7:$K$101, (N$8+1), 0)/SQRT(SUMSQ('Input Screen'!D$7:D$101)))*N$6, 0)</f>
        <v>0</v>
      </c>
      <c r="O42" s="33">
        <f>_xlfn.IFNA((VLOOKUP($M42,'Input Screen'!$C$7:$K$101, (O$8+1), 0)/SQRT(SUMSQ('Input Screen'!E$7:E$101)))*O$6, 0)</f>
        <v>0</v>
      </c>
      <c r="P42" s="33">
        <f>_xlfn.IFNA((VLOOKUP($M42,'Input Screen'!$C$7:$K$101, (P$8+1), 0)/SQRT(SUMSQ('Input Screen'!F$7:F$101)))*P$6, 0)</f>
        <v>0</v>
      </c>
      <c r="Q42" s="33">
        <f>_xlfn.IFNA((VLOOKUP($M42,'Input Screen'!$C$7:$K$101, (Q$8+1), 0)/SQRT(SUMSQ('Input Screen'!G$7:G$101)))*Q$6, 0)</f>
        <v>0</v>
      </c>
      <c r="R42" s="33">
        <f>_xlfn.IFNA((VLOOKUP($M42,'Input Screen'!$C$7:$K$101, (R$8+1), 0)/SQRT(SUMSQ('Input Screen'!H$7:H$101)))*R$6, 0)</f>
        <v>0</v>
      </c>
      <c r="S42" s="33">
        <f>_xlfn.IFNA((VLOOKUP($M42,'Input Screen'!$C$7:$K$101, (S$8+1), 0)/SQRT(SUMSQ('Input Screen'!I$7:I$101)))*S$6, 0)</f>
        <v>0</v>
      </c>
      <c r="T42" s="33">
        <f>_xlfn.IFNA((VLOOKUP($M42,'Input Screen'!$C$7:$K$101, (T$8+1), 0)/SQRT(SUMSQ('Input Screen'!J$7:J$101)))*T$6, 0)</f>
        <v>0</v>
      </c>
      <c r="U42" s="33">
        <f>_xlfn.IFNA((VLOOKUP($M42,'Input Screen'!$C$7:$K$101, (U$8+1), 0)/SQRT(SUMSQ('Input Screen'!K$7:K$101)))*U$6, 0)</f>
        <v>0</v>
      </c>
      <c r="V42" s="36">
        <f>IF('Topsis LP Auto'!$M42 = 0, 0, SQRT((N42-MAX(N$10:N$109))^2 + (O42-MAX(O$10:O$109))^2 + (P42-MAX(P$10:P$109))^2 + (Q42-MAX(Q$10:Q$109))^2 + (R42-MAX(R$10:R$109))^2 + (S42-MAX(S$10:S$109))^2 + (T42-MAX(T$10:T$109))^2 +(U42-MAX(U$10:U$109))^2))</f>
        <v>0</v>
      </c>
      <c r="W42" s="33">
        <f>IF('Topsis LP Auto'!$M42=0, 0, SQRT((N42-MIN(N$10:N$109))^2 + (O42-MIN(O$10:O$109))^2 + (P42-MIN(P$10:P$109))^2 + (Q42-MIN(Q$10:Q$109))^2 + (R42-MIN(R$10:R$109))^2 + (S42-MIN(S$10:S$109))^2 + (T42-MIN(T$10:T$109))^2 +(U42-MIN(U$10:U$109))^2))</f>
        <v>0</v>
      </c>
      <c r="X42" s="31" t="e">
        <f>IF('Topsis LP Auto'!$M42 = 0, 0, W42/(V42+W42))</f>
        <v>#DIV/0!</v>
      </c>
    </row>
    <row r="43" spans="1:24" ht="16.5" thickBot="1" x14ac:dyDescent="0.3">
      <c r="A43" s="78" t="str">
        <f>'Topsis LP Auto'!$M43</f>
        <v>KATM</v>
      </c>
      <c r="B43" s="34">
        <v>2693908</v>
      </c>
      <c r="C43" s="34">
        <v>0</v>
      </c>
      <c r="D43" s="34">
        <f>SUM('Topsis LP Auto'!$B43:$C43)</f>
        <v>2693908</v>
      </c>
      <c r="E43" s="34">
        <f>IF('Topsis LP Auto'!$J43 = 0, 0, (B43/J43))</f>
        <v>1</v>
      </c>
      <c r="F43" s="34">
        <f>IF(I43 = 0, 0, ('Topsis LP Auto'!$D43)/I43)</f>
        <v>0.29479996253045493</v>
      </c>
      <c r="G43" s="34" t="e">
        <f t="shared" si="0"/>
        <v>#DIV/0!</v>
      </c>
      <c r="H43" s="34" t="e">
        <f>'Topsis LP Auto'!$D43*K43</f>
        <v>#DIV/0!</v>
      </c>
      <c r="I43" s="34">
        <f>_xlfn.IFNA(VLOOKUP($A43, 'Input Screen'!$C$7:$M$101, 10, FALSE), 0)</f>
        <v>9138088</v>
      </c>
      <c r="J43" s="34">
        <f>_xlfn.IFNA(VLOOKUP($A43, 'Input Screen'!$C$7:$M$101, 11, FALSE), 0)</f>
        <v>2693908</v>
      </c>
      <c r="K43" s="34" t="e">
        <f>VLOOKUP('Topsis LP Auto'!$A43, 'Topsis LP Auto'!$M$10:$X$109, 12, FALSE)</f>
        <v>#DIV/0!</v>
      </c>
      <c r="M43" s="26" t="str">
        <f>'Input Screen'!C40</f>
        <v>KATM</v>
      </c>
      <c r="N43" s="35">
        <f>_xlfn.IFNA((VLOOKUP($M43,'Input Screen'!$C$7:$K$101, (N$8+1), 0)/SQRT(SUMSQ('Input Screen'!D$7:D$101)))*N$6, 0)</f>
        <v>0</v>
      </c>
      <c r="O43" s="35">
        <f>_xlfn.IFNA((VLOOKUP($M43,'Input Screen'!$C$7:$K$101, (O$8+1), 0)/SQRT(SUMSQ('Input Screen'!E$7:E$101)))*O$6, 0)</f>
        <v>0</v>
      </c>
      <c r="P43" s="35">
        <f>_xlfn.IFNA((VLOOKUP($M43,'Input Screen'!$C$7:$K$101, (P$8+1), 0)/SQRT(SUMSQ('Input Screen'!F$7:F$101)))*P$6, 0)</f>
        <v>0</v>
      </c>
      <c r="Q43" s="35">
        <f>_xlfn.IFNA((VLOOKUP($M43,'Input Screen'!$C$7:$K$101, (Q$8+1), 0)/SQRT(SUMSQ('Input Screen'!G$7:G$101)))*Q$6, 0)</f>
        <v>0</v>
      </c>
      <c r="R43" s="35">
        <f>_xlfn.IFNA((VLOOKUP($M43,'Input Screen'!$C$7:$K$101, (R$8+1), 0)/SQRT(SUMSQ('Input Screen'!H$7:H$101)))*R$6, 0)</f>
        <v>0</v>
      </c>
      <c r="S43" s="35">
        <f>_xlfn.IFNA((VLOOKUP($M43,'Input Screen'!$C$7:$K$101, (S$8+1), 0)/SQRT(SUMSQ('Input Screen'!I$7:I$101)))*S$6, 0)</f>
        <v>0</v>
      </c>
      <c r="T43" s="35">
        <f>_xlfn.IFNA((VLOOKUP($M43,'Input Screen'!$C$7:$K$101, (T$8+1), 0)/SQRT(SUMSQ('Input Screen'!J$7:J$101)))*T$6, 0)</f>
        <v>0</v>
      </c>
      <c r="U43" s="35">
        <f>_xlfn.IFNA((VLOOKUP($M43,'Input Screen'!$C$7:$K$101, (U$8+1), 0)/SQRT(SUMSQ('Input Screen'!K$7:K$101)))*U$6, 0)</f>
        <v>0</v>
      </c>
      <c r="V43" s="37">
        <f>IF('Topsis LP Auto'!$M43 = 0, 0, SQRT((N43-MAX(N$10:N$109))^2 + (O43-MAX(O$10:O$109))^2 + (P43-MAX(P$10:P$109))^2 + (Q43-MAX(Q$10:Q$109))^2 + (R43-MAX(R$10:R$109))^2 + (S43-MAX(S$10:S$109))^2 + (T43-MAX(T$10:T$109))^2 +(U43-MAX(U$10:U$109))^2))</f>
        <v>0</v>
      </c>
      <c r="W43" s="35">
        <f>IF('Topsis LP Auto'!$M43=0, 0, SQRT((N43-MIN(N$10:N$109))^2 + (O43-MIN(O$10:O$109))^2 + (P43-MIN(P$10:P$109))^2 + (Q43-MIN(Q$10:Q$109))^2 + (R43-MIN(R$10:R$109))^2 + (S43-MIN(S$10:S$109))^2 + (T43-MIN(T$10:T$109))^2 +(U43-MIN(U$10:U$109))^2))</f>
        <v>0</v>
      </c>
      <c r="X43" s="34" t="e">
        <f>IF('Topsis LP Auto'!$M43 = 0, 0, W43/(V43+W43))</f>
        <v>#DIV/0!</v>
      </c>
    </row>
    <row r="44" spans="1:24" ht="16.5" thickBot="1" x14ac:dyDescent="0.3">
      <c r="A44" s="76" t="str">
        <f>'Topsis LP Auto'!$M44</f>
        <v>KEFJ</v>
      </c>
      <c r="B44" s="31">
        <v>395788</v>
      </c>
      <c r="C44" s="31">
        <v>1360929</v>
      </c>
      <c r="D44" s="31">
        <f>SUM('Topsis LP Auto'!$B44:$C44)</f>
        <v>1756717</v>
      </c>
      <c r="E44" s="31">
        <f>IF('Topsis LP Auto'!$J44 = 0, 0, (B44/J44))</f>
        <v>1</v>
      </c>
      <c r="F44" s="31">
        <f>IF(I44 = 0, 0, ('Topsis LP Auto'!$D44)/I44)</f>
        <v>1</v>
      </c>
      <c r="G44" s="31" t="e">
        <f t="shared" si="0"/>
        <v>#DIV/0!</v>
      </c>
      <c r="H44" s="31" t="e">
        <f>'Topsis LP Auto'!$D44*K44</f>
        <v>#DIV/0!</v>
      </c>
      <c r="I44" s="31">
        <f>_xlfn.IFNA(VLOOKUP($A44, 'Input Screen'!$C$7:$M$101, 10, FALSE), 0)</f>
        <v>1756717</v>
      </c>
      <c r="J44" s="31">
        <f>_xlfn.IFNA(VLOOKUP($A44, 'Input Screen'!$C$7:$M$101, 11, FALSE), 0)</f>
        <v>395788</v>
      </c>
      <c r="K44" s="31" t="e">
        <f>VLOOKUP('Topsis LP Auto'!$A44, 'Topsis LP Auto'!$M$10:$X$109, 12, FALSE)</f>
        <v>#DIV/0!</v>
      </c>
      <c r="M44" s="32" t="str">
        <f>'Input Screen'!C41</f>
        <v>KEFJ</v>
      </c>
      <c r="N44" s="33">
        <f>_xlfn.IFNA((VLOOKUP($M44,'Input Screen'!$C$7:$K$101, (N$8+1), 0)/SQRT(SUMSQ('Input Screen'!D$7:D$101)))*N$6, 0)</f>
        <v>0</v>
      </c>
      <c r="O44" s="33">
        <f>_xlfn.IFNA((VLOOKUP($M44,'Input Screen'!$C$7:$K$101, (O$8+1), 0)/SQRT(SUMSQ('Input Screen'!E$7:E$101)))*O$6, 0)</f>
        <v>0</v>
      </c>
      <c r="P44" s="33">
        <f>_xlfn.IFNA((VLOOKUP($M44,'Input Screen'!$C$7:$K$101, (P$8+1), 0)/SQRT(SUMSQ('Input Screen'!F$7:F$101)))*P$6, 0)</f>
        <v>0</v>
      </c>
      <c r="Q44" s="33">
        <f>_xlfn.IFNA((VLOOKUP($M44,'Input Screen'!$C$7:$K$101, (Q$8+1), 0)/SQRT(SUMSQ('Input Screen'!G$7:G$101)))*Q$6, 0)</f>
        <v>0</v>
      </c>
      <c r="R44" s="33">
        <f>_xlfn.IFNA((VLOOKUP($M44,'Input Screen'!$C$7:$K$101, (R$8+1), 0)/SQRT(SUMSQ('Input Screen'!H$7:H$101)))*R$6, 0)</f>
        <v>0</v>
      </c>
      <c r="S44" s="33">
        <f>_xlfn.IFNA((VLOOKUP($M44,'Input Screen'!$C$7:$K$101, (S$8+1), 0)/SQRT(SUMSQ('Input Screen'!I$7:I$101)))*S$6, 0)</f>
        <v>0</v>
      </c>
      <c r="T44" s="33">
        <f>_xlfn.IFNA((VLOOKUP($M44,'Input Screen'!$C$7:$K$101, (T$8+1), 0)/SQRT(SUMSQ('Input Screen'!J$7:J$101)))*T$6, 0)</f>
        <v>0</v>
      </c>
      <c r="U44" s="33">
        <f>_xlfn.IFNA((VLOOKUP($M44,'Input Screen'!$C$7:$K$101, (U$8+1), 0)/SQRT(SUMSQ('Input Screen'!K$7:K$101)))*U$6, 0)</f>
        <v>0</v>
      </c>
      <c r="V44" s="36">
        <f>IF('Topsis LP Auto'!$M44 = 0, 0, SQRT((N44-MAX(N$10:N$109))^2 + (O44-MAX(O$10:O$109))^2 + (P44-MAX(P$10:P$109))^2 + (Q44-MAX(Q$10:Q$109))^2 + (R44-MAX(R$10:R$109))^2 + (S44-MAX(S$10:S$109))^2 + (T44-MAX(T$10:T$109))^2 +(U44-MAX(U$10:U$109))^2))</f>
        <v>0</v>
      </c>
      <c r="W44" s="33">
        <f>IF('Topsis LP Auto'!$M44=0, 0, SQRT((N44-MIN(N$10:N$109))^2 + (O44-MIN(O$10:O$109))^2 + (P44-MIN(P$10:P$109))^2 + (Q44-MIN(Q$10:Q$109))^2 + (R44-MIN(R$10:R$109))^2 + (S44-MIN(S$10:S$109))^2 + (T44-MIN(T$10:T$109))^2 +(U44-MIN(U$10:U$109))^2))</f>
        <v>0</v>
      </c>
      <c r="X44" s="31" t="e">
        <f>IF('Topsis LP Auto'!$M44 = 0, 0, W44/(V44+W44))</f>
        <v>#DIV/0!</v>
      </c>
    </row>
    <row r="45" spans="1:24" ht="16.5" thickBot="1" x14ac:dyDescent="0.3">
      <c r="A45" s="78" t="str">
        <f>'Topsis LP Auto'!$M45</f>
        <v>KICA</v>
      </c>
      <c r="B45" s="34">
        <v>20198975</v>
      </c>
      <c r="C45" s="34">
        <v>0</v>
      </c>
      <c r="D45" s="34">
        <f>SUM('Topsis LP Auto'!$B45:$C45)</f>
        <v>20198975</v>
      </c>
      <c r="E45" s="34">
        <f>IF('Topsis LP Auto'!$J45 = 0, 0, (B45/J45))</f>
        <v>1</v>
      </c>
      <c r="F45" s="34">
        <f>IF(I45 = 0, 0, ('Topsis LP Auto'!$D45)/I45)</f>
        <v>0.22879999842323881</v>
      </c>
      <c r="G45" s="34" t="e">
        <f t="shared" si="0"/>
        <v>#DIV/0!</v>
      </c>
      <c r="H45" s="34" t="e">
        <f>'Topsis LP Auto'!$D45*K45</f>
        <v>#DIV/0!</v>
      </c>
      <c r="I45" s="34">
        <f>_xlfn.IFNA(VLOOKUP($A45, 'Input Screen'!$C$7:$M$101, 10, FALSE), 0)</f>
        <v>88282234</v>
      </c>
      <c r="J45" s="34">
        <f>_xlfn.IFNA(VLOOKUP($A45, 'Input Screen'!$C$7:$M$101, 11, FALSE), 0)</f>
        <v>20198975</v>
      </c>
      <c r="K45" s="34" t="e">
        <f>VLOOKUP('Topsis LP Auto'!$A45, 'Topsis LP Auto'!$M$10:$X$109, 12, FALSE)</f>
        <v>#DIV/0!</v>
      </c>
      <c r="M45" s="26" t="str">
        <f>'Input Screen'!C42</f>
        <v>KICA</v>
      </c>
      <c r="N45" s="35">
        <f>_xlfn.IFNA((VLOOKUP($M45,'Input Screen'!$C$7:$K$101, (N$8+1), 0)/SQRT(SUMSQ('Input Screen'!D$7:D$101)))*N$6, 0)</f>
        <v>0</v>
      </c>
      <c r="O45" s="35">
        <f>_xlfn.IFNA((VLOOKUP($M45,'Input Screen'!$C$7:$K$101, (O$8+1), 0)/SQRT(SUMSQ('Input Screen'!E$7:E$101)))*O$6, 0)</f>
        <v>0</v>
      </c>
      <c r="P45" s="35">
        <f>_xlfn.IFNA((VLOOKUP($M45,'Input Screen'!$C$7:$K$101, (P$8+1), 0)/SQRT(SUMSQ('Input Screen'!F$7:F$101)))*P$6, 0)</f>
        <v>0</v>
      </c>
      <c r="Q45" s="35">
        <f>_xlfn.IFNA((VLOOKUP($M45,'Input Screen'!$C$7:$K$101, (Q$8+1), 0)/SQRT(SUMSQ('Input Screen'!G$7:G$101)))*Q$6, 0)</f>
        <v>0</v>
      </c>
      <c r="R45" s="35">
        <f>_xlfn.IFNA((VLOOKUP($M45,'Input Screen'!$C$7:$K$101, (R$8+1), 0)/SQRT(SUMSQ('Input Screen'!H$7:H$101)))*R$6, 0)</f>
        <v>0</v>
      </c>
      <c r="S45" s="35">
        <f>_xlfn.IFNA((VLOOKUP($M45,'Input Screen'!$C$7:$K$101, (S$8+1), 0)/SQRT(SUMSQ('Input Screen'!I$7:I$101)))*S$6, 0)</f>
        <v>0</v>
      </c>
      <c r="T45" s="35">
        <f>_xlfn.IFNA((VLOOKUP($M45,'Input Screen'!$C$7:$K$101, (T$8+1), 0)/SQRT(SUMSQ('Input Screen'!J$7:J$101)))*T$6, 0)</f>
        <v>0</v>
      </c>
      <c r="U45" s="35">
        <f>_xlfn.IFNA((VLOOKUP($M45,'Input Screen'!$C$7:$K$101, (U$8+1), 0)/SQRT(SUMSQ('Input Screen'!K$7:K$101)))*U$6, 0)</f>
        <v>0</v>
      </c>
      <c r="V45" s="37">
        <f>IF('Topsis LP Auto'!$M45 = 0, 0, SQRT((N45-MAX(N$10:N$109))^2 + (O45-MAX(O$10:O$109))^2 + (P45-MAX(P$10:P$109))^2 + (Q45-MAX(Q$10:Q$109))^2 + (R45-MAX(R$10:R$109))^2 + (S45-MAX(S$10:S$109))^2 + (T45-MAX(T$10:T$109))^2 +(U45-MAX(U$10:U$109))^2))</f>
        <v>0</v>
      </c>
      <c r="W45" s="35">
        <f>IF('Topsis LP Auto'!$M45=0, 0, SQRT((N45-MIN(N$10:N$109))^2 + (O45-MIN(O$10:O$109))^2 + (P45-MIN(P$10:P$109))^2 + (Q45-MIN(Q$10:Q$109))^2 + (R45-MIN(R$10:R$109))^2 + (S45-MIN(S$10:S$109))^2 + (T45-MIN(T$10:T$109))^2 +(U45-MIN(U$10:U$109))^2))</f>
        <v>0</v>
      </c>
      <c r="X45" s="34" t="e">
        <f>IF('Topsis LP Auto'!$M45 = 0, 0, W45/(V45+W45))</f>
        <v>#DIV/0!</v>
      </c>
    </row>
    <row r="46" spans="1:24" ht="16.5" thickBot="1" x14ac:dyDescent="0.3">
      <c r="A46" s="76" t="str">
        <f>'Topsis LP Auto'!$M46</f>
        <v>KOVA</v>
      </c>
      <c r="B46" s="31">
        <v>364681</v>
      </c>
      <c r="C46" s="31">
        <v>2121219</v>
      </c>
      <c r="D46" s="31">
        <f>SUM('Topsis LP Auto'!$B46:$C46)</f>
        <v>2485900</v>
      </c>
      <c r="E46" s="31">
        <f>IF('Topsis LP Auto'!$J46 = 0, 0, (B46/J46))</f>
        <v>1</v>
      </c>
      <c r="F46" s="31">
        <f>IF(I46 = 0, 0, ('Topsis LP Auto'!$D46)/I46)</f>
        <v>1</v>
      </c>
      <c r="G46" s="31" t="e">
        <f t="shared" si="0"/>
        <v>#DIV/0!</v>
      </c>
      <c r="H46" s="31" t="e">
        <f>'Topsis LP Auto'!$D46*K46</f>
        <v>#DIV/0!</v>
      </c>
      <c r="I46" s="31">
        <f>_xlfn.IFNA(VLOOKUP($A46, 'Input Screen'!$C$7:$M$101, 10, FALSE), 0)</f>
        <v>2485900</v>
      </c>
      <c r="J46" s="31">
        <f>_xlfn.IFNA(VLOOKUP($A46, 'Input Screen'!$C$7:$M$101, 11, FALSE), 0)</f>
        <v>364681</v>
      </c>
      <c r="K46" s="31" t="e">
        <f>VLOOKUP('Topsis LP Auto'!$A46, 'Topsis LP Auto'!$M$10:$X$109, 12, FALSE)</f>
        <v>#DIV/0!</v>
      </c>
      <c r="M46" s="32" t="str">
        <f>'Input Screen'!C43</f>
        <v>KOVA</v>
      </c>
      <c r="N46" s="33">
        <f>_xlfn.IFNA((VLOOKUP($M46,'Input Screen'!$C$7:$K$101, (N$8+1), 0)/SQRT(SUMSQ('Input Screen'!D$7:D$101)))*N$6, 0)</f>
        <v>0</v>
      </c>
      <c r="O46" s="33">
        <f>_xlfn.IFNA((VLOOKUP($M46,'Input Screen'!$C$7:$K$101, (O$8+1), 0)/SQRT(SUMSQ('Input Screen'!E$7:E$101)))*O$6, 0)</f>
        <v>0</v>
      </c>
      <c r="P46" s="33">
        <f>_xlfn.IFNA((VLOOKUP($M46,'Input Screen'!$C$7:$K$101, (P$8+1), 0)/SQRT(SUMSQ('Input Screen'!F$7:F$101)))*P$6, 0)</f>
        <v>0</v>
      </c>
      <c r="Q46" s="33">
        <f>_xlfn.IFNA((VLOOKUP($M46,'Input Screen'!$C$7:$K$101, (Q$8+1), 0)/SQRT(SUMSQ('Input Screen'!G$7:G$101)))*Q$6, 0)</f>
        <v>0</v>
      </c>
      <c r="R46" s="33">
        <f>_xlfn.IFNA((VLOOKUP($M46,'Input Screen'!$C$7:$K$101, (R$8+1), 0)/SQRT(SUMSQ('Input Screen'!H$7:H$101)))*R$6, 0)</f>
        <v>0</v>
      </c>
      <c r="S46" s="33">
        <f>_xlfn.IFNA((VLOOKUP($M46,'Input Screen'!$C$7:$K$101, (S$8+1), 0)/SQRT(SUMSQ('Input Screen'!I$7:I$101)))*S$6, 0)</f>
        <v>0</v>
      </c>
      <c r="T46" s="33">
        <f>_xlfn.IFNA((VLOOKUP($M46,'Input Screen'!$C$7:$K$101, (T$8+1), 0)/SQRT(SUMSQ('Input Screen'!J$7:J$101)))*T$6, 0)</f>
        <v>0</v>
      </c>
      <c r="U46" s="33">
        <f>_xlfn.IFNA((VLOOKUP($M46,'Input Screen'!$C$7:$K$101, (U$8+1), 0)/SQRT(SUMSQ('Input Screen'!K$7:K$101)))*U$6, 0)</f>
        <v>0</v>
      </c>
      <c r="V46" s="36">
        <f>IF('Topsis LP Auto'!$M46 = 0, 0, SQRT((N46-MAX(N$10:N$109))^2 + (O46-MAX(O$10:O$109))^2 + (P46-MAX(P$10:P$109))^2 + (Q46-MAX(Q$10:Q$109))^2 + (R46-MAX(R$10:R$109))^2 + (S46-MAX(S$10:S$109))^2 + (T46-MAX(T$10:T$109))^2 +(U46-MAX(U$10:U$109))^2))</f>
        <v>0</v>
      </c>
      <c r="W46" s="33">
        <f>IF('Topsis LP Auto'!$M46=0, 0, SQRT((N46-MIN(N$10:N$109))^2 + (O46-MIN(O$10:O$109))^2 + (P46-MIN(P$10:P$109))^2 + (Q46-MIN(Q$10:Q$109))^2 + (R46-MIN(R$10:R$109))^2 + (S46-MIN(S$10:S$109))^2 + (T46-MIN(T$10:T$109))^2 +(U46-MIN(U$10:U$109))^2))</f>
        <v>0</v>
      </c>
      <c r="X46" s="31" t="e">
        <f>IF('Topsis LP Auto'!$M46 = 0, 0, W46/(V46+W46))</f>
        <v>#DIV/0!</v>
      </c>
    </row>
    <row r="47" spans="1:24" ht="16.5" thickBot="1" x14ac:dyDescent="0.3">
      <c r="A47" s="78" t="str">
        <f>'Topsis LP Auto'!$M47</f>
        <v>LACL</v>
      </c>
      <c r="B47" s="34">
        <v>339533</v>
      </c>
      <c r="C47" s="34">
        <v>1105290</v>
      </c>
      <c r="D47" s="34">
        <f>SUM('Topsis LP Auto'!$B47:$C47)</f>
        <v>1444823</v>
      </c>
      <c r="E47" s="34">
        <f>IF('Topsis LP Auto'!$J47 = 0, 0, (B47/J47))</f>
        <v>1</v>
      </c>
      <c r="F47" s="34">
        <f>IF(I47 = 0, 0, ('Topsis LP Auto'!$D47)/I47)</f>
        <v>1</v>
      </c>
      <c r="G47" s="34" t="e">
        <f t="shared" si="0"/>
        <v>#DIV/0!</v>
      </c>
      <c r="H47" s="34" t="e">
        <f>'Topsis LP Auto'!$D47*K47</f>
        <v>#DIV/0!</v>
      </c>
      <c r="I47" s="34">
        <f>_xlfn.IFNA(VLOOKUP($A47, 'Input Screen'!$C$7:$M$101, 10, FALSE), 0)</f>
        <v>1444823</v>
      </c>
      <c r="J47" s="34">
        <f>_xlfn.IFNA(VLOOKUP($A47, 'Input Screen'!$C$7:$M$101, 11, FALSE), 0)</f>
        <v>339533</v>
      </c>
      <c r="K47" s="34" t="e">
        <f>VLOOKUP('Topsis LP Auto'!$A47, 'Topsis LP Auto'!$M$10:$X$109, 12, FALSE)</f>
        <v>#DIV/0!</v>
      </c>
      <c r="M47" s="26" t="str">
        <f>'Input Screen'!C44</f>
        <v>LACL</v>
      </c>
      <c r="N47" s="35">
        <f>_xlfn.IFNA((VLOOKUP($M47,'Input Screen'!$C$7:$K$101, (N$8+1), 0)/SQRT(SUMSQ('Input Screen'!D$7:D$101)))*N$6, 0)</f>
        <v>0</v>
      </c>
      <c r="O47" s="35">
        <f>_xlfn.IFNA((VLOOKUP($M47,'Input Screen'!$C$7:$K$101, (O$8+1), 0)/SQRT(SUMSQ('Input Screen'!E$7:E$101)))*O$6, 0)</f>
        <v>0</v>
      </c>
      <c r="P47" s="35">
        <f>_xlfn.IFNA((VLOOKUP($M47,'Input Screen'!$C$7:$K$101, (P$8+1), 0)/SQRT(SUMSQ('Input Screen'!F$7:F$101)))*P$6, 0)</f>
        <v>0</v>
      </c>
      <c r="Q47" s="35">
        <f>_xlfn.IFNA((VLOOKUP($M47,'Input Screen'!$C$7:$K$101, (Q$8+1), 0)/SQRT(SUMSQ('Input Screen'!G$7:G$101)))*Q$6, 0)</f>
        <v>0</v>
      </c>
      <c r="R47" s="35">
        <f>_xlfn.IFNA((VLOOKUP($M47,'Input Screen'!$C$7:$K$101, (R$8+1), 0)/SQRT(SUMSQ('Input Screen'!H$7:H$101)))*R$6, 0)</f>
        <v>0</v>
      </c>
      <c r="S47" s="35">
        <f>_xlfn.IFNA((VLOOKUP($M47,'Input Screen'!$C$7:$K$101, (S$8+1), 0)/SQRT(SUMSQ('Input Screen'!I$7:I$101)))*S$6, 0)</f>
        <v>0</v>
      </c>
      <c r="T47" s="35">
        <f>_xlfn.IFNA((VLOOKUP($M47,'Input Screen'!$C$7:$K$101, (T$8+1), 0)/SQRT(SUMSQ('Input Screen'!J$7:J$101)))*T$6, 0)</f>
        <v>0</v>
      </c>
      <c r="U47" s="35">
        <f>_xlfn.IFNA((VLOOKUP($M47,'Input Screen'!$C$7:$K$101, (U$8+1), 0)/SQRT(SUMSQ('Input Screen'!K$7:K$101)))*U$6, 0)</f>
        <v>0</v>
      </c>
      <c r="V47" s="37">
        <f>IF('Topsis LP Auto'!$M47 = 0, 0, SQRT((N47-MAX(N$10:N$109))^2 + (O47-MAX(O$10:O$109))^2 + (P47-MAX(P$10:P$109))^2 + (Q47-MAX(Q$10:Q$109))^2 + (R47-MAX(R$10:R$109))^2 + (S47-MAX(S$10:S$109))^2 + (T47-MAX(T$10:T$109))^2 +(U47-MAX(U$10:U$109))^2))</f>
        <v>0</v>
      </c>
      <c r="W47" s="35">
        <f>IF('Topsis LP Auto'!$M47=0, 0, SQRT((N47-MIN(N$10:N$109))^2 + (O47-MIN(O$10:O$109))^2 + (P47-MIN(P$10:P$109))^2 + (Q47-MIN(Q$10:Q$109))^2 + (R47-MIN(R$10:R$109))^2 + (S47-MIN(S$10:S$109))^2 + (T47-MIN(T$10:T$109))^2 +(U47-MIN(U$10:U$109))^2))</f>
        <v>0</v>
      </c>
      <c r="X47" s="34" t="e">
        <f>IF('Topsis LP Auto'!$M47 = 0, 0, W47/(V47+W47))</f>
        <v>#DIV/0!</v>
      </c>
    </row>
    <row r="48" spans="1:24" ht="16.5" thickBot="1" x14ac:dyDescent="0.3">
      <c r="A48" s="76" t="str">
        <f>'Topsis LP Auto'!$M48</f>
        <v>LAVO</v>
      </c>
      <c r="B48" s="31">
        <v>6824420</v>
      </c>
      <c r="C48" s="31">
        <v>0</v>
      </c>
      <c r="D48" s="31">
        <f>SUM('Topsis LP Auto'!$B48:$C48)</f>
        <v>6824420</v>
      </c>
      <c r="E48" s="31">
        <f>IF('Topsis LP Auto'!$J48 = 0, 0, (B48/J48))</f>
        <v>1</v>
      </c>
      <c r="F48" s="31">
        <f>IF(I48 = 0, 0, ('Topsis LP Auto'!$D48)/I48)</f>
        <v>0.30399999999999999</v>
      </c>
      <c r="G48" s="31" t="e">
        <f t="shared" si="0"/>
        <v>#DIV/0!</v>
      </c>
      <c r="H48" s="31" t="e">
        <f>'Topsis LP Auto'!$D48*K48</f>
        <v>#DIV/0!</v>
      </c>
      <c r="I48" s="31">
        <f>_xlfn.IFNA(VLOOKUP($A48, 'Input Screen'!$C$7:$M$101, 10, FALSE), 0)</f>
        <v>22448750</v>
      </c>
      <c r="J48" s="31">
        <f>_xlfn.IFNA(VLOOKUP($A48, 'Input Screen'!$C$7:$M$101, 11, FALSE), 0)</f>
        <v>6824420</v>
      </c>
      <c r="K48" s="31" t="e">
        <f>VLOOKUP('Topsis LP Auto'!$A48, 'Topsis LP Auto'!$M$10:$X$109, 12, FALSE)</f>
        <v>#DIV/0!</v>
      </c>
      <c r="M48" s="32" t="str">
        <f>'Input Screen'!C45</f>
        <v>LAVO</v>
      </c>
      <c r="N48" s="33">
        <f>_xlfn.IFNA((VLOOKUP($M48,'Input Screen'!$C$7:$K$101, (N$8+1), 0)/SQRT(SUMSQ('Input Screen'!D$7:D$101)))*N$6, 0)</f>
        <v>0</v>
      </c>
      <c r="O48" s="33">
        <f>_xlfn.IFNA((VLOOKUP($M48,'Input Screen'!$C$7:$K$101, (O$8+1), 0)/SQRT(SUMSQ('Input Screen'!E$7:E$101)))*O$6, 0)</f>
        <v>0</v>
      </c>
      <c r="P48" s="33">
        <f>_xlfn.IFNA((VLOOKUP($M48,'Input Screen'!$C$7:$K$101, (P$8+1), 0)/SQRT(SUMSQ('Input Screen'!F$7:F$101)))*P$6, 0)</f>
        <v>0</v>
      </c>
      <c r="Q48" s="33">
        <f>_xlfn.IFNA((VLOOKUP($M48,'Input Screen'!$C$7:$K$101, (Q$8+1), 0)/SQRT(SUMSQ('Input Screen'!G$7:G$101)))*Q$6, 0)</f>
        <v>0</v>
      </c>
      <c r="R48" s="33">
        <f>_xlfn.IFNA((VLOOKUP($M48,'Input Screen'!$C$7:$K$101, (R$8+1), 0)/SQRT(SUMSQ('Input Screen'!H$7:H$101)))*R$6, 0)</f>
        <v>0</v>
      </c>
      <c r="S48" s="33">
        <f>_xlfn.IFNA((VLOOKUP($M48,'Input Screen'!$C$7:$K$101, (S$8+1), 0)/SQRT(SUMSQ('Input Screen'!I$7:I$101)))*S$6, 0)</f>
        <v>0</v>
      </c>
      <c r="T48" s="33">
        <f>_xlfn.IFNA((VLOOKUP($M48,'Input Screen'!$C$7:$K$101, (T$8+1), 0)/SQRT(SUMSQ('Input Screen'!J$7:J$101)))*T$6, 0)</f>
        <v>0</v>
      </c>
      <c r="U48" s="33">
        <f>_xlfn.IFNA((VLOOKUP($M48,'Input Screen'!$C$7:$K$101, (U$8+1), 0)/SQRT(SUMSQ('Input Screen'!K$7:K$101)))*U$6, 0)</f>
        <v>0</v>
      </c>
      <c r="V48" s="36">
        <f>IF('Topsis LP Auto'!$M48 = 0, 0, SQRT((N48-MAX(N$10:N$109))^2 + (O48-MAX(O$10:O$109))^2 + (P48-MAX(P$10:P$109))^2 + (Q48-MAX(Q$10:Q$109))^2 + (R48-MAX(R$10:R$109))^2 + (S48-MAX(S$10:S$109))^2 + (T48-MAX(T$10:T$109))^2 +(U48-MAX(U$10:U$109))^2))</f>
        <v>0</v>
      </c>
      <c r="W48" s="33">
        <f>IF('Topsis LP Auto'!$M48=0, 0, SQRT((N48-MIN(N$10:N$109))^2 + (O48-MIN(O$10:O$109))^2 + (P48-MIN(P$10:P$109))^2 + (Q48-MIN(Q$10:Q$109))^2 + (R48-MIN(R$10:R$109))^2 + (S48-MIN(S$10:S$109))^2 + (T48-MIN(T$10:T$109))^2 +(U48-MIN(U$10:U$109))^2))</f>
        <v>0</v>
      </c>
      <c r="X48" s="31" t="e">
        <f>IF('Topsis LP Auto'!$M48 = 0, 0, W48/(V48+W48))</f>
        <v>#DIV/0!</v>
      </c>
    </row>
    <row r="49" spans="1:24" ht="16.5" thickBot="1" x14ac:dyDescent="0.3">
      <c r="A49" s="78" t="str">
        <f>'Topsis LP Auto'!$M49</f>
        <v>MACA</v>
      </c>
      <c r="B49" s="34">
        <v>9443241</v>
      </c>
      <c r="C49" s="34">
        <v>0</v>
      </c>
      <c r="D49" s="34">
        <f>SUM('Topsis LP Auto'!$B49:$C49)</f>
        <v>9443241</v>
      </c>
      <c r="E49" s="34">
        <f>IF('Topsis LP Auto'!$J49 = 0, 0, (B49/J49))</f>
        <v>1</v>
      </c>
      <c r="F49" s="34">
        <f>IF(I49 = 0, 0, ('Topsis LP Auto'!$D49)/I49)</f>
        <v>0.12099999697603828</v>
      </c>
      <c r="G49" s="34" t="e">
        <f t="shared" si="0"/>
        <v>#DIV/0!</v>
      </c>
      <c r="H49" s="34" t="e">
        <f>'Topsis LP Auto'!$D49*K49</f>
        <v>#DIV/0!</v>
      </c>
      <c r="I49" s="34">
        <f>_xlfn.IFNA(VLOOKUP($A49, 'Input Screen'!$C$7:$M$101, 10, FALSE), 0)</f>
        <v>78043316</v>
      </c>
      <c r="J49" s="34">
        <f>_xlfn.IFNA(VLOOKUP($A49, 'Input Screen'!$C$7:$M$101, 11, FALSE), 0)</f>
        <v>9443241</v>
      </c>
      <c r="K49" s="34" t="e">
        <f>VLOOKUP('Topsis LP Auto'!$A49, 'Topsis LP Auto'!$M$10:$X$109, 12, FALSE)</f>
        <v>#DIV/0!</v>
      </c>
      <c r="M49" s="26" t="str">
        <f>'Input Screen'!C46</f>
        <v>MACA</v>
      </c>
      <c r="N49" s="35">
        <f>_xlfn.IFNA((VLOOKUP($M49,'Input Screen'!$C$7:$K$101, (N$8+1), 0)/SQRT(SUMSQ('Input Screen'!D$7:D$101)))*N$6, 0)</f>
        <v>0</v>
      </c>
      <c r="O49" s="35">
        <f>_xlfn.IFNA((VLOOKUP($M49,'Input Screen'!$C$7:$K$101, (O$8+1), 0)/SQRT(SUMSQ('Input Screen'!E$7:E$101)))*O$6, 0)</f>
        <v>0</v>
      </c>
      <c r="P49" s="35">
        <f>_xlfn.IFNA((VLOOKUP($M49,'Input Screen'!$C$7:$K$101, (P$8+1), 0)/SQRT(SUMSQ('Input Screen'!F$7:F$101)))*P$6, 0)</f>
        <v>0</v>
      </c>
      <c r="Q49" s="35">
        <f>_xlfn.IFNA((VLOOKUP($M49,'Input Screen'!$C$7:$K$101, (Q$8+1), 0)/SQRT(SUMSQ('Input Screen'!G$7:G$101)))*Q$6, 0)</f>
        <v>0</v>
      </c>
      <c r="R49" s="35">
        <f>_xlfn.IFNA((VLOOKUP($M49,'Input Screen'!$C$7:$K$101, (R$8+1), 0)/SQRT(SUMSQ('Input Screen'!H$7:H$101)))*R$6, 0)</f>
        <v>0</v>
      </c>
      <c r="S49" s="35">
        <f>_xlfn.IFNA((VLOOKUP($M49,'Input Screen'!$C$7:$K$101, (S$8+1), 0)/SQRT(SUMSQ('Input Screen'!I$7:I$101)))*S$6, 0)</f>
        <v>0</v>
      </c>
      <c r="T49" s="35">
        <f>_xlfn.IFNA((VLOOKUP($M49,'Input Screen'!$C$7:$K$101, (T$8+1), 0)/SQRT(SUMSQ('Input Screen'!J$7:J$101)))*T$6, 0)</f>
        <v>0</v>
      </c>
      <c r="U49" s="35">
        <f>_xlfn.IFNA((VLOOKUP($M49,'Input Screen'!$C$7:$K$101, (U$8+1), 0)/SQRT(SUMSQ('Input Screen'!K$7:K$101)))*U$6, 0)</f>
        <v>0</v>
      </c>
      <c r="V49" s="37">
        <f>IF('Topsis LP Auto'!$M49 = 0, 0, SQRT((N49-MAX(N$10:N$109))^2 + (O49-MAX(O$10:O$109))^2 + (P49-MAX(P$10:P$109))^2 + (Q49-MAX(Q$10:Q$109))^2 + (R49-MAX(R$10:R$109))^2 + (S49-MAX(S$10:S$109))^2 + (T49-MAX(T$10:T$109))^2 +(U49-MAX(U$10:U$109))^2))</f>
        <v>0</v>
      </c>
      <c r="W49" s="35">
        <f>IF('Topsis LP Auto'!$M49=0, 0, SQRT((N49-MIN(N$10:N$109))^2 + (O49-MIN(O$10:O$109))^2 + (P49-MIN(P$10:P$109))^2 + (Q49-MIN(Q$10:Q$109))^2 + (R49-MIN(R$10:R$109))^2 + (S49-MIN(S$10:S$109))^2 + (T49-MIN(T$10:T$109))^2 +(U49-MIN(U$10:U$109))^2))</f>
        <v>0</v>
      </c>
      <c r="X49" s="34" t="e">
        <f>IF('Topsis LP Auto'!$M49 = 0, 0, W49/(V49+W49))</f>
        <v>#DIV/0!</v>
      </c>
    </row>
    <row r="50" spans="1:24" ht="16.5" thickBot="1" x14ac:dyDescent="0.3">
      <c r="A50" s="76" t="str">
        <f>'Topsis LP Auto'!$M50</f>
        <v>MEVE</v>
      </c>
      <c r="B50" s="31">
        <v>0</v>
      </c>
      <c r="C50" s="31">
        <v>0</v>
      </c>
      <c r="D50" s="31">
        <f>SUM('Topsis LP Auto'!$B50:$C50)</f>
        <v>0</v>
      </c>
      <c r="E50" s="31">
        <f>IF('Topsis LP Auto'!$J50 = 0, 0, (B50/J50))</f>
        <v>0</v>
      </c>
      <c r="F50" s="31">
        <f>IF(I50 = 0, 0, ('Topsis LP Auto'!$D50)/I50)</f>
        <v>0</v>
      </c>
      <c r="G50" s="31" t="e">
        <f t="shared" si="0"/>
        <v>#DIV/0!</v>
      </c>
      <c r="H50" s="31" t="e">
        <f>'Topsis LP Auto'!$D50*K50</f>
        <v>#DIV/0!</v>
      </c>
      <c r="I50" s="31">
        <f>_xlfn.IFNA(VLOOKUP($A50, 'Input Screen'!$C$7:$M$101, 10, FALSE), 0)</f>
        <v>70749005</v>
      </c>
      <c r="J50" s="31">
        <f>_xlfn.IFNA(VLOOKUP($A50, 'Input Screen'!$C$7:$M$101, 11, FALSE), 0)</f>
        <v>15564781</v>
      </c>
      <c r="K50" s="31" t="e">
        <f>VLOOKUP('Topsis LP Auto'!$A50, 'Topsis LP Auto'!$M$10:$X$109, 12, FALSE)</f>
        <v>#DIV/0!</v>
      </c>
      <c r="M50" s="32" t="str">
        <f>'Input Screen'!C47</f>
        <v>MEVE</v>
      </c>
      <c r="N50" s="33">
        <f>_xlfn.IFNA((VLOOKUP($M50,'Input Screen'!$C$7:$K$101, (N$8+1), 0)/SQRT(SUMSQ('Input Screen'!D$7:D$101)))*N$6, 0)</f>
        <v>0</v>
      </c>
      <c r="O50" s="33">
        <f>_xlfn.IFNA((VLOOKUP($M50,'Input Screen'!$C$7:$K$101, (O$8+1), 0)/SQRT(SUMSQ('Input Screen'!E$7:E$101)))*O$6, 0)</f>
        <v>0</v>
      </c>
      <c r="P50" s="33">
        <f>_xlfn.IFNA((VLOOKUP($M50,'Input Screen'!$C$7:$K$101, (P$8+1), 0)/SQRT(SUMSQ('Input Screen'!F$7:F$101)))*P$6, 0)</f>
        <v>0</v>
      </c>
      <c r="Q50" s="33">
        <f>_xlfn.IFNA((VLOOKUP($M50,'Input Screen'!$C$7:$K$101, (Q$8+1), 0)/SQRT(SUMSQ('Input Screen'!G$7:G$101)))*Q$6, 0)</f>
        <v>0</v>
      </c>
      <c r="R50" s="33">
        <f>_xlfn.IFNA((VLOOKUP($M50,'Input Screen'!$C$7:$K$101, (R$8+1), 0)/SQRT(SUMSQ('Input Screen'!H$7:H$101)))*R$6, 0)</f>
        <v>0</v>
      </c>
      <c r="S50" s="33">
        <f>_xlfn.IFNA((VLOOKUP($M50,'Input Screen'!$C$7:$K$101, (S$8+1), 0)/SQRT(SUMSQ('Input Screen'!I$7:I$101)))*S$6, 0)</f>
        <v>0</v>
      </c>
      <c r="T50" s="33">
        <f>_xlfn.IFNA((VLOOKUP($M50,'Input Screen'!$C$7:$K$101, (T$8+1), 0)/SQRT(SUMSQ('Input Screen'!J$7:J$101)))*T$6, 0)</f>
        <v>0</v>
      </c>
      <c r="U50" s="33">
        <f>_xlfn.IFNA((VLOOKUP($M50,'Input Screen'!$C$7:$K$101, (U$8+1), 0)/SQRT(SUMSQ('Input Screen'!K$7:K$101)))*U$6, 0)</f>
        <v>0</v>
      </c>
      <c r="V50" s="36">
        <f>IF('Topsis LP Auto'!$M50 = 0, 0, SQRT((N50-MAX(N$10:N$109))^2 + (O50-MAX(O$10:O$109))^2 + (P50-MAX(P$10:P$109))^2 + (Q50-MAX(Q$10:Q$109))^2 + (R50-MAX(R$10:R$109))^2 + (S50-MAX(S$10:S$109))^2 + (T50-MAX(T$10:T$109))^2 +(U50-MAX(U$10:U$109))^2))</f>
        <v>0</v>
      </c>
      <c r="W50" s="33">
        <f>IF('Topsis LP Auto'!$M50=0, 0, SQRT((N50-MIN(N$10:N$109))^2 + (O50-MIN(O$10:O$109))^2 + (P50-MIN(P$10:P$109))^2 + (Q50-MIN(Q$10:Q$109))^2 + (R50-MIN(R$10:R$109))^2 + (S50-MIN(S$10:S$109))^2 + (T50-MIN(T$10:T$109))^2 +(U50-MIN(U$10:U$109))^2))</f>
        <v>0</v>
      </c>
      <c r="X50" s="31" t="e">
        <f>IF('Topsis LP Auto'!$M50 = 0, 0, W50/(V50+W50))</f>
        <v>#DIV/0!</v>
      </c>
    </row>
    <row r="51" spans="1:24" ht="16.5" thickBot="1" x14ac:dyDescent="0.3">
      <c r="A51" s="78" t="str">
        <f>'Topsis LP Auto'!$M51</f>
        <v>MORA</v>
      </c>
      <c r="B51" s="34">
        <v>14874369</v>
      </c>
      <c r="C51" s="34">
        <v>0</v>
      </c>
      <c r="D51" s="34">
        <f>SUM('Topsis LP Auto'!$B51:$C51)</f>
        <v>14874369</v>
      </c>
      <c r="E51" s="34">
        <f>IF('Topsis LP Auto'!$J51 = 0, 0, (B51/J51))</f>
        <v>1</v>
      </c>
      <c r="F51" s="34">
        <f>IF(I51 = 0, 0, ('Topsis LP Auto'!$D51)/I51)</f>
        <v>8.4599994966442243E-2</v>
      </c>
      <c r="G51" s="34" t="e">
        <f t="shared" si="0"/>
        <v>#DIV/0!</v>
      </c>
      <c r="H51" s="34" t="e">
        <f>'Topsis LP Auto'!$D51*K51</f>
        <v>#DIV/0!</v>
      </c>
      <c r="I51" s="34">
        <f>_xlfn.IFNA(VLOOKUP($A51, 'Input Screen'!$C$7:$M$101, 10, FALSE), 0)</f>
        <v>175819975</v>
      </c>
      <c r="J51" s="34">
        <f>_xlfn.IFNA(VLOOKUP($A51, 'Input Screen'!$C$7:$M$101, 11, FALSE), 0)</f>
        <v>14874369</v>
      </c>
      <c r="K51" s="34" t="e">
        <f>VLOOKUP('Topsis LP Auto'!$A51, 'Topsis LP Auto'!$M$10:$X$109, 12, FALSE)</f>
        <v>#DIV/0!</v>
      </c>
      <c r="M51" s="26" t="str">
        <f>'Input Screen'!C48</f>
        <v>MORA</v>
      </c>
      <c r="N51" s="35">
        <f>_xlfn.IFNA((VLOOKUP($M51,'Input Screen'!$C$7:$K$101, (N$8+1), 0)/SQRT(SUMSQ('Input Screen'!D$7:D$101)))*N$6, 0)</f>
        <v>0</v>
      </c>
      <c r="O51" s="35">
        <f>_xlfn.IFNA((VLOOKUP($M51,'Input Screen'!$C$7:$K$101, (O$8+1), 0)/SQRT(SUMSQ('Input Screen'!E$7:E$101)))*O$6, 0)</f>
        <v>0</v>
      </c>
      <c r="P51" s="35">
        <f>_xlfn.IFNA((VLOOKUP($M51,'Input Screen'!$C$7:$K$101, (P$8+1), 0)/SQRT(SUMSQ('Input Screen'!F$7:F$101)))*P$6, 0)</f>
        <v>0</v>
      </c>
      <c r="Q51" s="35">
        <f>_xlfn.IFNA((VLOOKUP($M51,'Input Screen'!$C$7:$K$101, (Q$8+1), 0)/SQRT(SUMSQ('Input Screen'!G$7:G$101)))*Q$6, 0)</f>
        <v>0</v>
      </c>
      <c r="R51" s="35">
        <f>_xlfn.IFNA((VLOOKUP($M51,'Input Screen'!$C$7:$K$101, (R$8+1), 0)/SQRT(SUMSQ('Input Screen'!H$7:H$101)))*R$6, 0)</f>
        <v>0</v>
      </c>
      <c r="S51" s="35">
        <f>_xlfn.IFNA((VLOOKUP($M51,'Input Screen'!$C$7:$K$101, (S$8+1), 0)/SQRT(SUMSQ('Input Screen'!I$7:I$101)))*S$6, 0)</f>
        <v>0</v>
      </c>
      <c r="T51" s="35">
        <f>_xlfn.IFNA((VLOOKUP($M51,'Input Screen'!$C$7:$K$101, (T$8+1), 0)/SQRT(SUMSQ('Input Screen'!J$7:J$101)))*T$6, 0)</f>
        <v>0</v>
      </c>
      <c r="U51" s="35">
        <f>_xlfn.IFNA((VLOOKUP($M51,'Input Screen'!$C$7:$K$101, (U$8+1), 0)/SQRT(SUMSQ('Input Screen'!K$7:K$101)))*U$6, 0)</f>
        <v>0</v>
      </c>
      <c r="V51" s="37">
        <f>IF('Topsis LP Auto'!$M51 = 0, 0, SQRT((N51-MAX(N$10:N$109))^2 + (O51-MAX(O$10:O$109))^2 + (P51-MAX(P$10:P$109))^2 + (Q51-MAX(Q$10:Q$109))^2 + (R51-MAX(R$10:R$109))^2 + (S51-MAX(S$10:S$109))^2 + (T51-MAX(T$10:T$109))^2 +(U51-MAX(U$10:U$109))^2))</f>
        <v>0</v>
      </c>
      <c r="W51" s="35">
        <f>IF('Topsis LP Auto'!$M51=0, 0, SQRT((N51-MIN(N$10:N$109))^2 + (O51-MIN(O$10:O$109))^2 + (P51-MIN(P$10:P$109))^2 + (Q51-MIN(Q$10:Q$109))^2 + (R51-MIN(R$10:R$109))^2 + (S51-MIN(S$10:S$109))^2 + (T51-MIN(T$10:T$109))^2 +(U51-MIN(U$10:U$109))^2))</f>
        <v>0</v>
      </c>
      <c r="X51" s="34" t="e">
        <f>IF('Topsis LP Auto'!$M51 = 0, 0, W51/(V51+W51))</f>
        <v>#DIV/0!</v>
      </c>
    </row>
    <row r="52" spans="1:24" ht="16.5" thickBot="1" x14ac:dyDescent="0.3">
      <c r="A52" s="76" t="str">
        <f>'Topsis LP Auto'!$M52</f>
        <v>NOCA</v>
      </c>
      <c r="B52" s="31">
        <v>7063831</v>
      </c>
      <c r="C52" s="31">
        <v>0</v>
      </c>
      <c r="D52" s="31">
        <f>SUM('Topsis LP Auto'!$B52:$C52)</f>
        <v>7063831</v>
      </c>
      <c r="E52" s="31">
        <f>IF('Topsis LP Auto'!$J52 = 0, 0, (B52/J52))</f>
        <v>1</v>
      </c>
      <c r="F52" s="31">
        <f>IF(I52 = 0, 0, ('Topsis LP Auto'!$D52)/I52)</f>
        <v>0.37519999371110674</v>
      </c>
      <c r="G52" s="31" t="e">
        <f t="shared" si="0"/>
        <v>#DIV/0!</v>
      </c>
      <c r="H52" s="31" t="e">
        <f>'Topsis LP Auto'!$D52*K52</f>
        <v>#DIV/0!</v>
      </c>
      <c r="I52" s="31">
        <f>_xlfn.IFNA(VLOOKUP($A52, 'Input Screen'!$C$7:$M$101, 10, FALSE), 0)</f>
        <v>18826842</v>
      </c>
      <c r="J52" s="31">
        <f>_xlfn.IFNA(VLOOKUP($A52, 'Input Screen'!$C$7:$M$101, 11, FALSE), 0)</f>
        <v>7063831</v>
      </c>
      <c r="K52" s="31" t="e">
        <f>VLOOKUP('Topsis LP Auto'!$A52, 'Topsis LP Auto'!$M$10:$X$109, 12, FALSE)</f>
        <v>#DIV/0!</v>
      </c>
      <c r="M52" s="32" t="str">
        <f>'Input Screen'!C49</f>
        <v>NOCA</v>
      </c>
      <c r="N52" s="33">
        <f>_xlfn.IFNA((VLOOKUP($M52,'Input Screen'!$C$7:$K$101, (N$8+1), 0)/SQRT(SUMSQ('Input Screen'!D$7:D$101)))*N$6, 0)</f>
        <v>0</v>
      </c>
      <c r="O52" s="33">
        <f>_xlfn.IFNA((VLOOKUP($M52,'Input Screen'!$C$7:$K$101, (O$8+1), 0)/SQRT(SUMSQ('Input Screen'!E$7:E$101)))*O$6, 0)</f>
        <v>0</v>
      </c>
      <c r="P52" s="33">
        <f>_xlfn.IFNA((VLOOKUP($M52,'Input Screen'!$C$7:$K$101, (P$8+1), 0)/SQRT(SUMSQ('Input Screen'!F$7:F$101)))*P$6, 0)</f>
        <v>0</v>
      </c>
      <c r="Q52" s="33">
        <f>_xlfn.IFNA((VLOOKUP($M52,'Input Screen'!$C$7:$K$101, (Q$8+1), 0)/SQRT(SUMSQ('Input Screen'!G$7:G$101)))*Q$6, 0)</f>
        <v>0</v>
      </c>
      <c r="R52" s="33">
        <f>_xlfn.IFNA((VLOOKUP($M52,'Input Screen'!$C$7:$K$101, (R$8+1), 0)/SQRT(SUMSQ('Input Screen'!H$7:H$101)))*R$6, 0)</f>
        <v>0</v>
      </c>
      <c r="S52" s="33">
        <f>_xlfn.IFNA((VLOOKUP($M52,'Input Screen'!$C$7:$K$101, (S$8+1), 0)/SQRT(SUMSQ('Input Screen'!I$7:I$101)))*S$6, 0)</f>
        <v>0</v>
      </c>
      <c r="T52" s="33">
        <f>_xlfn.IFNA((VLOOKUP($M52,'Input Screen'!$C$7:$K$101, (T$8+1), 0)/SQRT(SUMSQ('Input Screen'!J$7:J$101)))*T$6, 0)</f>
        <v>0</v>
      </c>
      <c r="U52" s="33">
        <f>_xlfn.IFNA((VLOOKUP($M52,'Input Screen'!$C$7:$K$101, (U$8+1), 0)/SQRT(SUMSQ('Input Screen'!K$7:K$101)))*U$6, 0)</f>
        <v>0</v>
      </c>
      <c r="V52" s="36">
        <f>IF('Topsis LP Auto'!$M52 = 0, 0, SQRT((N52-MAX(N$10:N$109))^2 + (O52-MAX(O$10:O$109))^2 + (P52-MAX(P$10:P$109))^2 + (Q52-MAX(Q$10:Q$109))^2 + (R52-MAX(R$10:R$109))^2 + (S52-MAX(S$10:S$109))^2 + (T52-MAX(T$10:T$109))^2 +(U52-MAX(U$10:U$109))^2))</f>
        <v>0</v>
      </c>
      <c r="W52" s="33">
        <f>IF('Topsis LP Auto'!$M52=0, 0, SQRT((N52-MIN(N$10:N$109))^2 + (O52-MIN(O$10:O$109))^2 + (P52-MIN(P$10:P$109))^2 + (Q52-MIN(Q$10:Q$109))^2 + (R52-MIN(R$10:R$109))^2 + (S52-MIN(S$10:S$109))^2 + (T52-MIN(T$10:T$109))^2 +(U52-MIN(U$10:U$109))^2))</f>
        <v>0</v>
      </c>
      <c r="X52" s="31" t="e">
        <f>IF('Topsis LP Auto'!$M52 = 0, 0, W52/(V52+W52))</f>
        <v>#DIV/0!</v>
      </c>
    </row>
    <row r="53" spans="1:24" ht="16.5" thickBot="1" x14ac:dyDescent="0.3">
      <c r="A53" s="78" t="str">
        <f>'Topsis LP Auto'!$M53</f>
        <v>NPSA</v>
      </c>
      <c r="B53" s="34">
        <v>279614</v>
      </c>
      <c r="C53" s="34">
        <v>677314</v>
      </c>
      <c r="D53" s="34">
        <f>SUM('Topsis LP Auto'!$B53:$C53)</f>
        <v>956928</v>
      </c>
      <c r="E53" s="34">
        <f>IF('Topsis LP Auto'!$J53 = 0, 0, (B53/J53))</f>
        <v>1</v>
      </c>
      <c r="F53" s="34">
        <f>IF(I53 = 0, 0, ('Topsis LP Auto'!$D53)/I53)</f>
        <v>1</v>
      </c>
      <c r="G53" s="34" t="e">
        <f t="shared" si="0"/>
        <v>#DIV/0!</v>
      </c>
      <c r="H53" s="34" t="e">
        <f>'Topsis LP Auto'!$D53*K53</f>
        <v>#DIV/0!</v>
      </c>
      <c r="I53" s="34">
        <f>_xlfn.IFNA(VLOOKUP($A53, 'Input Screen'!$C$7:$M$101, 10, FALSE), 0)</f>
        <v>956928</v>
      </c>
      <c r="J53" s="34">
        <f>_xlfn.IFNA(VLOOKUP($A53, 'Input Screen'!$C$7:$M$101, 11, FALSE), 0)</f>
        <v>279614</v>
      </c>
      <c r="K53" s="34" t="e">
        <f>VLOOKUP('Topsis LP Auto'!$A53, 'Topsis LP Auto'!$M$10:$X$109, 12, FALSE)</f>
        <v>#DIV/0!</v>
      </c>
      <c r="M53" s="26" t="str">
        <f>'Input Screen'!C50</f>
        <v>NPSA</v>
      </c>
      <c r="N53" s="35">
        <f>_xlfn.IFNA((VLOOKUP($M53,'Input Screen'!$C$7:$K$101, (N$8+1), 0)/SQRT(SUMSQ('Input Screen'!D$7:D$101)))*N$6, 0)</f>
        <v>0</v>
      </c>
      <c r="O53" s="35">
        <f>_xlfn.IFNA((VLOOKUP($M53,'Input Screen'!$C$7:$K$101, (O$8+1), 0)/SQRT(SUMSQ('Input Screen'!E$7:E$101)))*O$6, 0)</f>
        <v>0</v>
      </c>
      <c r="P53" s="35">
        <f>_xlfn.IFNA((VLOOKUP($M53,'Input Screen'!$C$7:$K$101, (P$8+1), 0)/SQRT(SUMSQ('Input Screen'!F$7:F$101)))*P$6, 0)</f>
        <v>0</v>
      </c>
      <c r="Q53" s="35">
        <f>_xlfn.IFNA((VLOOKUP($M53,'Input Screen'!$C$7:$K$101, (Q$8+1), 0)/SQRT(SUMSQ('Input Screen'!G$7:G$101)))*Q$6, 0)</f>
        <v>0</v>
      </c>
      <c r="R53" s="35">
        <f>_xlfn.IFNA((VLOOKUP($M53,'Input Screen'!$C$7:$K$101, (R$8+1), 0)/SQRT(SUMSQ('Input Screen'!H$7:H$101)))*R$6, 0)</f>
        <v>0</v>
      </c>
      <c r="S53" s="35">
        <f>_xlfn.IFNA((VLOOKUP($M53,'Input Screen'!$C$7:$K$101, (S$8+1), 0)/SQRT(SUMSQ('Input Screen'!I$7:I$101)))*S$6, 0)</f>
        <v>0</v>
      </c>
      <c r="T53" s="35">
        <f>_xlfn.IFNA((VLOOKUP($M53,'Input Screen'!$C$7:$K$101, (T$8+1), 0)/SQRT(SUMSQ('Input Screen'!J$7:J$101)))*T$6, 0)</f>
        <v>0</v>
      </c>
      <c r="U53" s="35">
        <f>_xlfn.IFNA((VLOOKUP($M53,'Input Screen'!$C$7:$K$101, (U$8+1), 0)/SQRT(SUMSQ('Input Screen'!K$7:K$101)))*U$6, 0)</f>
        <v>0</v>
      </c>
      <c r="V53" s="37">
        <f>IF('Topsis LP Auto'!$M53 = 0, 0, SQRT((N53-MAX(N$10:N$109))^2 + (O53-MAX(O$10:O$109))^2 + (P53-MAX(P$10:P$109))^2 + (Q53-MAX(Q$10:Q$109))^2 + (R53-MAX(R$10:R$109))^2 + (S53-MAX(S$10:S$109))^2 + (T53-MAX(T$10:T$109))^2 +(U53-MAX(U$10:U$109))^2))</f>
        <v>0</v>
      </c>
      <c r="W53" s="35">
        <f>IF('Topsis LP Auto'!$M53=0, 0, SQRT((N53-MIN(N$10:N$109))^2 + (O53-MIN(O$10:O$109))^2 + (P53-MIN(P$10:P$109))^2 + (Q53-MIN(Q$10:Q$109))^2 + (R53-MIN(R$10:R$109))^2 + (S53-MIN(S$10:S$109))^2 + (T53-MIN(T$10:T$109))^2 +(U53-MIN(U$10:U$109))^2))</f>
        <v>0</v>
      </c>
      <c r="X53" s="34" t="e">
        <f>IF('Topsis LP Auto'!$M53 = 0, 0, W53/(V53+W53))</f>
        <v>#DIV/0!</v>
      </c>
    </row>
    <row r="54" spans="1:24" ht="16.5" thickBot="1" x14ac:dyDescent="0.3">
      <c r="A54" s="76" t="str">
        <f>'Topsis LP Auto'!$M54</f>
        <v>OLYM</v>
      </c>
      <c r="B54" s="31">
        <v>0</v>
      </c>
      <c r="C54" s="31">
        <v>0</v>
      </c>
      <c r="D54" s="31">
        <f>SUM('Topsis LP Auto'!$B54:$C54)</f>
        <v>0</v>
      </c>
      <c r="E54" s="31">
        <f>IF('Topsis LP Auto'!$J54 = 0, 0, (B54/J54))</f>
        <v>0</v>
      </c>
      <c r="F54" s="31">
        <f>IF(I54 = 0, 0, ('Topsis LP Auto'!$D54)/I54)</f>
        <v>0</v>
      </c>
      <c r="G54" s="31" t="e">
        <f t="shared" si="0"/>
        <v>#DIV/0!</v>
      </c>
      <c r="H54" s="31" t="e">
        <f>'Topsis LP Auto'!$D54*K54</f>
        <v>#DIV/0!</v>
      </c>
      <c r="I54" s="31">
        <f>_xlfn.IFNA(VLOOKUP($A54, 'Input Screen'!$C$7:$M$101, 10, FALSE), 0)</f>
        <v>120719515</v>
      </c>
      <c r="J54" s="31">
        <f>_xlfn.IFNA(VLOOKUP($A54, 'Input Screen'!$C$7:$M$101, 11, FALSE), 0)</f>
        <v>19206474</v>
      </c>
      <c r="K54" s="31" t="e">
        <f>VLOOKUP('Topsis LP Auto'!$A54, 'Topsis LP Auto'!$M$10:$X$109, 12, FALSE)</f>
        <v>#DIV/0!</v>
      </c>
      <c r="M54" s="32" t="str">
        <f>'Input Screen'!C51</f>
        <v>OLYM</v>
      </c>
      <c r="N54" s="33">
        <f>_xlfn.IFNA((VLOOKUP($M54,'Input Screen'!$C$7:$K$101, (N$8+1), 0)/SQRT(SUMSQ('Input Screen'!D$7:D$101)))*N$6, 0)</f>
        <v>0</v>
      </c>
      <c r="O54" s="33">
        <f>_xlfn.IFNA((VLOOKUP($M54,'Input Screen'!$C$7:$K$101, (O$8+1), 0)/SQRT(SUMSQ('Input Screen'!E$7:E$101)))*O$6, 0)</f>
        <v>0</v>
      </c>
      <c r="P54" s="33">
        <f>_xlfn.IFNA((VLOOKUP($M54,'Input Screen'!$C$7:$K$101, (P$8+1), 0)/SQRT(SUMSQ('Input Screen'!F$7:F$101)))*P$6, 0)</f>
        <v>0</v>
      </c>
      <c r="Q54" s="33">
        <f>_xlfn.IFNA((VLOOKUP($M54,'Input Screen'!$C$7:$K$101, (Q$8+1), 0)/SQRT(SUMSQ('Input Screen'!G$7:G$101)))*Q$6, 0)</f>
        <v>0</v>
      </c>
      <c r="R54" s="33">
        <f>_xlfn.IFNA((VLOOKUP($M54,'Input Screen'!$C$7:$K$101, (R$8+1), 0)/SQRT(SUMSQ('Input Screen'!H$7:H$101)))*R$6, 0)</f>
        <v>0</v>
      </c>
      <c r="S54" s="33">
        <f>_xlfn.IFNA((VLOOKUP($M54,'Input Screen'!$C$7:$K$101, (S$8+1), 0)/SQRT(SUMSQ('Input Screen'!I$7:I$101)))*S$6, 0)</f>
        <v>0</v>
      </c>
      <c r="T54" s="33">
        <f>_xlfn.IFNA((VLOOKUP($M54,'Input Screen'!$C$7:$K$101, (T$8+1), 0)/SQRT(SUMSQ('Input Screen'!J$7:J$101)))*T$6, 0)</f>
        <v>0</v>
      </c>
      <c r="U54" s="33">
        <f>_xlfn.IFNA((VLOOKUP($M54,'Input Screen'!$C$7:$K$101, (U$8+1), 0)/SQRT(SUMSQ('Input Screen'!K$7:K$101)))*U$6, 0)</f>
        <v>0</v>
      </c>
      <c r="V54" s="36">
        <f>IF('Topsis LP Auto'!$M54 = 0, 0, SQRT((N54-MAX(N$10:N$109))^2 + (O54-MAX(O$10:O$109))^2 + (P54-MAX(P$10:P$109))^2 + (Q54-MAX(Q$10:Q$109))^2 + (R54-MAX(R$10:R$109))^2 + (S54-MAX(S$10:S$109))^2 + (T54-MAX(T$10:T$109))^2 +(U54-MAX(U$10:U$109))^2))</f>
        <v>0</v>
      </c>
      <c r="W54" s="33">
        <f>IF('Topsis LP Auto'!$M54=0, 0, SQRT((N54-MIN(N$10:N$109))^2 + (O54-MIN(O$10:O$109))^2 + (P54-MIN(P$10:P$109))^2 + (Q54-MIN(Q$10:Q$109))^2 + (R54-MIN(R$10:R$109))^2 + (S54-MIN(S$10:S$109))^2 + (T54-MIN(T$10:T$109))^2 +(U54-MIN(U$10:U$109))^2))</f>
        <v>0</v>
      </c>
      <c r="X54" s="31" t="e">
        <f>IF('Topsis LP Auto'!$M54 = 0, 0, W54/(V54+W54))</f>
        <v>#DIV/0!</v>
      </c>
    </row>
    <row r="55" spans="1:24" ht="16.5" thickBot="1" x14ac:dyDescent="0.3">
      <c r="A55" s="78" t="str">
        <f>'Topsis LP Auto'!$M55</f>
        <v>PEFO</v>
      </c>
      <c r="B55" s="34">
        <v>9115039</v>
      </c>
      <c r="C55" s="34">
        <v>0</v>
      </c>
      <c r="D55" s="34">
        <f>SUM('Topsis LP Auto'!$B55:$C55)</f>
        <v>9115039</v>
      </c>
      <c r="E55" s="34">
        <f>IF('Topsis LP Auto'!$J55 = 0, 0, (B55/J55))</f>
        <v>1</v>
      </c>
      <c r="F55" s="34">
        <f>IF(I55 = 0, 0, ('Topsis LP Auto'!$D55)/I55)</f>
        <v>0.20719999512633144</v>
      </c>
      <c r="G55" s="34" t="e">
        <f t="shared" si="0"/>
        <v>#DIV/0!</v>
      </c>
      <c r="H55" s="34" t="e">
        <f>'Topsis LP Auto'!$D55*K55</f>
        <v>#DIV/0!</v>
      </c>
      <c r="I55" s="34">
        <f>_xlfn.IFNA(VLOOKUP($A55, 'Input Screen'!$C$7:$M$101, 10, FALSE), 0)</f>
        <v>43991502</v>
      </c>
      <c r="J55" s="34">
        <f>_xlfn.IFNA(VLOOKUP($A55, 'Input Screen'!$C$7:$M$101, 11, FALSE), 0)</f>
        <v>9115039</v>
      </c>
      <c r="K55" s="34" t="e">
        <f>VLOOKUP('Topsis LP Auto'!$A55, 'Topsis LP Auto'!$M$10:$X$109, 12, FALSE)</f>
        <v>#DIV/0!</v>
      </c>
      <c r="M55" s="26" t="str">
        <f>'Input Screen'!C52</f>
        <v>PEFO</v>
      </c>
      <c r="N55" s="35">
        <f>_xlfn.IFNA((VLOOKUP($M55,'Input Screen'!$C$7:$K$101, (N$8+1), 0)/SQRT(SUMSQ('Input Screen'!D$7:D$101)))*N$6, 0)</f>
        <v>0</v>
      </c>
      <c r="O55" s="35">
        <f>_xlfn.IFNA((VLOOKUP($M55,'Input Screen'!$C$7:$K$101, (O$8+1), 0)/SQRT(SUMSQ('Input Screen'!E$7:E$101)))*O$6, 0)</f>
        <v>0</v>
      </c>
      <c r="P55" s="35">
        <f>_xlfn.IFNA((VLOOKUP($M55,'Input Screen'!$C$7:$K$101, (P$8+1), 0)/SQRT(SUMSQ('Input Screen'!F$7:F$101)))*P$6, 0)</f>
        <v>0</v>
      </c>
      <c r="Q55" s="35">
        <f>_xlfn.IFNA((VLOOKUP($M55,'Input Screen'!$C$7:$K$101, (Q$8+1), 0)/SQRT(SUMSQ('Input Screen'!G$7:G$101)))*Q$6, 0)</f>
        <v>0</v>
      </c>
      <c r="R55" s="35">
        <f>_xlfn.IFNA((VLOOKUP($M55,'Input Screen'!$C$7:$K$101, (R$8+1), 0)/SQRT(SUMSQ('Input Screen'!H$7:H$101)))*R$6, 0)</f>
        <v>0</v>
      </c>
      <c r="S55" s="35">
        <f>_xlfn.IFNA((VLOOKUP($M55,'Input Screen'!$C$7:$K$101, (S$8+1), 0)/SQRT(SUMSQ('Input Screen'!I$7:I$101)))*S$6, 0)</f>
        <v>0</v>
      </c>
      <c r="T55" s="35">
        <f>_xlfn.IFNA((VLOOKUP($M55,'Input Screen'!$C$7:$K$101, (T$8+1), 0)/SQRT(SUMSQ('Input Screen'!J$7:J$101)))*T$6, 0)</f>
        <v>0</v>
      </c>
      <c r="U55" s="35">
        <f>_xlfn.IFNA((VLOOKUP($M55,'Input Screen'!$C$7:$K$101, (U$8+1), 0)/SQRT(SUMSQ('Input Screen'!K$7:K$101)))*U$6, 0)</f>
        <v>0</v>
      </c>
      <c r="V55" s="37">
        <f>IF('Topsis LP Auto'!$M55 = 0, 0, SQRT((N55-MAX(N$10:N$109))^2 + (O55-MAX(O$10:O$109))^2 + (P55-MAX(P$10:P$109))^2 + (Q55-MAX(Q$10:Q$109))^2 + (R55-MAX(R$10:R$109))^2 + (S55-MAX(S$10:S$109))^2 + (T55-MAX(T$10:T$109))^2 +(U55-MAX(U$10:U$109))^2))</f>
        <v>0</v>
      </c>
      <c r="W55" s="35">
        <f>IF('Topsis LP Auto'!$M55=0, 0, SQRT((N55-MIN(N$10:N$109))^2 + (O55-MIN(O$10:O$109))^2 + (P55-MIN(P$10:P$109))^2 + (Q55-MIN(Q$10:Q$109))^2 + (R55-MIN(R$10:R$109))^2 + (S55-MIN(S$10:S$109))^2 + (T55-MIN(T$10:T$109))^2 +(U55-MIN(U$10:U$109))^2))</f>
        <v>0</v>
      </c>
      <c r="X55" s="34" t="e">
        <f>IF('Topsis LP Auto'!$M55 = 0, 0, W55/(V55+W55))</f>
        <v>#DIV/0!</v>
      </c>
    </row>
    <row r="56" spans="1:24" ht="16.5" thickBot="1" x14ac:dyDescent="0.3">
      <c r="A56" s="76" t="str">
        <f>'Topsis LP Auto'!$M56</f>
        <v>PINN</v>
      </c>
      <c r="B56" s="31">
        <v>2965185</v>
      </c>
      <c r="C56" s="31">
        <v>0</v>
      </c>
      <c r="D56" s="31">
        <f>SUM('Topsis LP Auto'!$B56:$C56)</f>
        <v>2965185</v>
      </c>
      <c r="E56" s="31">
        <f>IF('Topsis LP Auto'!$J56 = 0, 0, (B56/J56))</f>
        <v>1</v>
      </c>
      <c r="F56" s="31">
        <f>IF(I56 = 0, 0, ('Topsis LP Auto'!$D56)/I56)</f>
        <v>0.31439989999207951</v>
      </c>
      <c r="G56" s="31" t="e">
        <f t="shared" si="0"/>
        <v>#DIV/0!</v>
      </c>
      <c r="H56" s="31" t="e">
        <f>'Topsis LP Auto'!$D56*K56</f>
        <v>#DIV/0!</v>
      </c>
      <c r="I56" s="31">
        <f>_xlfn.IFNA(VLOOKUP($A56, 'Input Screen'!$C$7:$M$101, 10, FALSE), 0)</f>
        <v>9431253</v>
      </c>
      <c r="J56" s="31">
        <f>_xlfn.IFNA(VLOOKUP($A56, 'Input Screen'!$C$7:$M$101, 11, FALSE), 0)</f>
        <v>2965185</v>
      </c>
      <c r="K56" s="31" t="e">
        <f>VLOOKUP('Topsis LP Auto'!$A56, 'Topsis LP Auto'!$M$10:$X$109, 12, FALSE)</f>
        <v>#DIV/0!</v>
      </c>
      <c r="M56" s="32" t="str">
        <f>'Input Screen'!C53</f>
        <v>PINN</v>
      </c>
      <c r="N56" s="33">
        <f>_xlfn.IFNA((VLOOKUP($M56,'Input Screen'!$C$7:$K$101, (N$8+1), 0)/SQRT(SUMSQ('Input Screen'!D$7:D$101)))*N$6, 0)</f>
        <v>0</v>
      </c>
      <c r="O56" s="33">
        <f>_xlfn.IFNA((VLOOKUP($M56,'Input Screen'!$C$7:$K$101, (O$8+1), 0)/SQRT(SUMSQ('Input Screen'!E$7:E$101)))*O$6, 0)</f>
        <v>0</v>
      </c>
      <c r="P56" s="33">
        <f>_xlfn.IFNA((VLOOKUP($M56,'Input Screen'!$C$7:$K$101, (P$8+1), 0)/SQRT(SUMSQ('Input Screen'!F$7:F$101)))*P$6, 0)</f>
        <v>0</v>
      </c>
      <c r="Q56" s="33">
        <f>_xlfn.IFNA((VLOOKUP($M56,'Input Screen'!$C$7:$K$101, (Q$8+1), 0)/SQRT(SUMSQ('Input Screen'!G$7:G$101)))*Q$6, 0)</f>
        <v>0</v>
      </c>
      <c r="R56" s="33">
        <f>_xlfn.IFNA((VLOOKUP($M56,'Input Screen'!$C$7:$K$101, (R$8+1), 0)/SQRT(SUMSQ('Input Screen'!H$7:H$101)))*R$6, 0)</f>
        <v>0</v>
      </c>
      <c r="S56" s="33">
        <f>_xlfn.IFNA((VLOOKUP($M56,'Input Screen'!$C$7:$K$101, (S$8+1), 0)/SQRT(SUMSQ('Input Screen'!I$7:I$101)))*S$6, 0)</f>
        <v>0</v>
      </c>
      <c r="T56" s="33">
        <f>_xlfn.IFNA((VLOOKUP($M56,'Input Screen'!$C$7:$K$101, (T$8+1), 0)/SQRT(SUMSQ('Input Screen'!J$7:J$101)))*T$6, 0)</f>
        <v>0</v>
      </c>
      <c r="U56" s="33">
        <f>_xlfn.IFNA((VLOOKUP($M56,'Input Screen'!$C$7:$K$101, (U$8+1), 0)/SQRT(SUMSQ('Input Screen'!K$7:K$101)))*U$6, 0)</f>
        <v>0</v>
      </c>
      <c r="V56" s="36">
        <f>IF('Topsis LP Auto'!$M56 = 0, 0, SQRT((N56-MAX(N$10:N$109))^2 + (O56-MAX(O$10:O$109))^2 + (P56-MAX(P$10:P$109))^2 + (Q56-MAX(Q$10:Q$109))^2 + (R56-MAX(R$10:R$109))^2 + (S56-MAX(S$10:S$109))^2 + (T56-MAX(T$10:T$109))^2 +(U56-MAX(U$10:U$109))^2))</f>
        <v>0</v>
      </c>
      <c r="W56" s="33">
        <f>IF('Topsis LP Auto'!$M56=0, 0, SQRT((N56-MIN(N$10:N$109))^2 + (O56-MIN(O$10:O$109))^2 + (P56-MIN(P$10:P$109))^2 + (Q56-MIN(Q$10:Q$109))^2 + (R56-MIN(R$10:R$109))^2 + (S56-MIN(S$10:S$109))^2 + (T56-MIN(T$10:T$109))^2 +(U56-MIN(U$10:U$109))^2))</f>
        <v>0</v>
      </c>
      <c r="X56" s="31" t="e">
        <f>IF('Topsis LP Auto'!$M56 = 0, 0, W56/(V56+W56))</f>
        <v>#DIV/0!</v>
      </c>
    </row>
    <row r="57" spans="1:24" ht="16.5" thickBot="1" x14ac:dyDescent="0.3">
      <c r="A57" s="78" t="str">
        <f>'Topsis LP Auto'!$M57</f>
        <v>REDW</v>
      </c>
      <c r="B57" s="34">
        <v>8816865</v>
      </c>
      <c r="C57" s="34">
        <v>0</v>
      </c>
      <c r="D57" s="34">
        <f>SUM('Topsis LP Auto'!$B57:$C57)</f>
        <v>8816865</v>
      </c>
      <c r="E57" s="34">
        <f>IF('Topsis LP Auto'!$J57 = 0, 0, (B57/J57))</f>
        <v>1</v>
      </c>
      <c r="F57" s="34">
        <f>IF(I57 = 0, 0, ('Topsis LP Auto'!$D57)/I57)</f>
        <v>0.40139998183497277</v>
      </c>
      <c r="G57" s="34" t="e">
        <f t="shared" si="0"/>
        <v>#DIV/0!</v>
      </c>
      <c r="H57" s="34" t="e">
        <f>'Topsis LP Auto'!$D57*K57</f>
        <v>#DIV/0!</v>
      </c>
      <c r="I57" s="34">
        <f>_xlfn.IFNA(VLOOKUP($A57, 'Input Screen'!$C$7:$M$101, 10, FALSE), 0)</f>
        <v>21965285</v>
      </c>
      <c r="J57" s="34">
        <f>_xlfn.IFNA(VLOOKUP($A57, 'Input Screen'!$C$7:$M$101, 11, FALSE), 0)</f>
        <v>8816865</v>
      </c>
      <c r="K57" s="34" t="e">
        <f>VLOOKUP('Topsis LP Auto'!$A57, 'Topsis LP Auto'!$M$10:$X$109, 12, FALSE)</f>
        <v>#DIV/0!</v>
      </c>
      <c r="M57" s="26" t="str">
        <f>'Input Screen'!C54</f>
        <v>REDW</v>
      </c>
      <c r="N57" s="35">
        <f>_xlfn.IFNA((VLOOKUP($M57,'Input Screen'!$C$7:$K$101, (N$8+1), 0)/SQRT(SUMSQ('Input Screen'!D$7:D$101)))*N$6, 0)</f>
        <v>0</v>
      </c>
      <c r="O57" s="35">
        <f>_xlfn.IFNA((VLOOKUP($M57,'Input Screen'!$C$7:$K$101, (O$8+1), 0)/SQRT(SUMSQ('Input Screen'!E$7:E$101)))*O$6, 0)</f>
        <v>0</v>
      </c>
      <c r="P57" s="35">
        <f>_xlfn.IFNA((VLOOKUP($M57,'Input Screen'!$C$7:$K$101, (P$8+1), 0)/SQRT(SUMSQ('Input Screen'!F$7:F$101)))*P$6, 0)</f>
        <v>0</v>
      </c>
      <c r="Q57" s="35">
        <f>_xlfn.IFNA((VLOOKUP($M57,'Input Screen'!$C$7:$K$101, (Q$8+1), 0)/SQRT(SUMSQ('Input Screen'!G$7:G$101)))*Q$6, 0)</f>
        <v>0</v>
      </c>
      <c r="R57" s="35">
        <f>_xlfn.IFNA((VLOOKUP($M57,'Input Screen'!$C$7:$K$101, (R$8+1), 0)/SQRT(SUMSQ('Input Screen'!H$7:H$101)))*R$6, 0)</f>
        <v>0</v>
      </c>
      <c r="S57" s="35">
        <f>_xlfn.IFNA((VLOOKUP($M57,'Input Screen'!$C$7:$K$101, (S$8+1), 0)/SQRT(SUMSQ('Input Screen'!I$7:I$101)))*S$6, 0)</f>
        <v>0</v>
      </c>
      <c r="T57" s="35">
        <f>_xlfn.IFNA((VLOOKUP($M57,'Input Screen'!$C$7:$K$101, (T$8+1), 0)/SQRT(SUMSQ('Input Screen'!J$7:J$101)))*T$6, 0)</f>
        <v>0</v>
      </c>
      <c r="U57" s="35">
        <f>_xlfn.IFNA((VLOOKUP($M57,'Input Screen'!$C$7:$K$101, (U$8+1), 0)/SQRT(SUMSQ('Input Screen'!K$7:K$101)))*U$6, 0)</f>
        <v>0</v>
      </c>
      <c r="V57" s="37">
        <f>IF('Topsis LP Auto'!$M57 = 0, 0, SQRT((N57-MAX(N$10:N$109))^2 + (O57-MAX(O$10:O$109))^2 + (P57-MAX(P$10:P$109))^2 + (Q57-MAX(Q$10:Q$109))^2 + (R57-MAX(R$10:R$109))^2 + (S57-MAX(S$10:S$109))^2 + (T57-MAX(T$10:T$109))^2 +(U57-MAX(U$10:U$109))^2))</f>
        <v>0</v>
      </c>
      <c r="W57" s="35">
        <f>IF('Topsis LP Auto'!$M57=0, 0, SQRT((N57-MIN(N$10:N$109))^2 + (O57-MIN(O$10:O$109))^2 + (P57-MIN(P$10:P$109))^2 + (Q57-MIN(Q$10:Q$109))^2 + (R57-MIN(R$10:R$109))^2 + (S57-MIN(S$10:S$109))^2 + (T57-MIN(T$10:T$109))^2 +(U57-MIN(U$10:U$109))^2))</f>
        <v>0</v>
      </c>
      <c r="X57" s="34" t="e">
        <f>IF('Topsis LP Auto'!$M57 = 0, 0, W57/(V57+W57))</f>
        <v>#DIV/0!</v>
      </c>
    </row>
    <row r="58" spans="1:24" ht="16.5" thickBot="1" x14ac:dyDescent="0.3">
      <c r="A58" s="76" t="str">
        <f>'Topsis LP Auto'!$M58</f>
        <v>ROMO</v>
      </c>
      <c r="B58" s="31">
        <v>29093054</v>
      </c>
      <c r="C58" s="31">
        <v>0</v>
      </c>
      <c r="D58" s="31">
        <f>SUM('Topsis LP Auto'!$B58:$C58)</f>
        <v>29093054</v>
      </c>
      <c r="E58" s="31">
        <f>IF('Topsis LP Auto'!$J58 = 0, 0, (B58/J58))</f>
        <v>0.92126631339437604</v>
      </c>
      <c r="F58" s="31">
        <f>IF(I58 = 0, 0, ('Topsis LP Auto'!$D58)/I58)</f>
        <v>0.34538273596445246</v>
      </c>
      <c r="G58" s="31" t="e">
        <f t="shared" si="0"/>
        <v>#DIV/0!</v>
      </c>
      <c r="H58" s="31" t="e">
        <f>'Topsis LP Auto'!$D58*K58</f>
        <v>#DIV/0!</v>
      </c>
      <c r="I58" s="31">
        <f>_xlfn.IFNA(VLOOKUP($A58, 'Input Screen'!$C$7:$M$101, 10, FALSE), 0)</f>
        <v>84234245</v>
      </c>
      <c r="J58" s="31">
        <f>_xlfn.IFNA(VLOOKUP($A58, 'Input Screen'!$C$7:$M$101, 11, FALSE), 0)</f>
        <v>31579418</v>
      </c>
      <c r="K58" s="31" t="e">
        <f>VLOOKUP('Topsis LP Auto'!$A58, 'Topsis LP Auto'!$M$10:$X$109, 12, FALSE)</f>
        <v>#DIV/0!</v>
      </c>
      <c r="M58" s="32" t="str">
        <f>'Input Screen'!C55</f>
        <v>ROMO</v>
      </c>
      <c r="N58" s="33">
        <f>_xlfn.IFNA((VLOOKUP($M58,'Input Screen'!$C$7:$K$101, (N$8+1), 0)/SQRT(SUMSQ('Input Screen'!D$7:D$101)))*N$6, 0)</f>
        <v>0</v>
      </c>
      <c r="O58" s="33">
        <f>_xlfn.IFNA((VLOOKUP($M58,'Input Screen'!$C$7:$K$101, (O$8+1), 0)/SQRT(SUMSQ('Input Screen'!E$7:E$101)))*O$6, 0)</f>
        <v>0</v>
      </c>
      <c r="P58" s="33">
        <f>_xlfn.IFNA((VLOOKUP($M58,'Input Screen'!$C$7:$K$101, (P$8+1), 0)/SQRT(SUMSQ('Input Screen'!F$7:F$101)))*P$6, 0)</f>
        <v>0</v>
      </c>
      <c r="Q58" s="33">
        <f>_xlfn.IFNA((VLOOKUP($M58,'Input Screen'!$C$7:$K$101, (Q$8+1), 0)/SQRT(SUMSQ('Input Screen'!G$7:G$101)))*Q$6, 0)</f>
        <v>0</v>
      </c>
      <c r="R58" s="33">
        <f>_xlfn.IFNA((VLOOKUP($M58,'Input Screen'!$C$7:$K$101, (R$8+1), 0)/SQRT(SUMSQ('Input Screen'!H$7:H$101)))*R$6, 0)</f>
        <v>0</v>
      </c>
      <c r="S58" s="33">
        <f>_xlfn.IFNA((VLOOKUP($M58,'Input Screen'!$C$7:$K$101, (S$8+1), 0)/SQRT(SUMSQ('Input Screen'!I$7:I$101)))*S$6, 0)</f>
        <v>0</v>
      </c>
      <c r="T58" s="33">
        <f>_xlfn.IFNA((VLOOKUP($M58,'Input Screen'!$C$7:$K$101, (T$8+1), 0)/SQRT(SUMSQ('Input Screen'!J$7:J$101)))*T$6, 0)</f>
        <v>0</v>
      </c>
      <c r="U58" s="33">
        <f>_xlfn.IFNA((VLOOKUP($M58,'Input Screen'!$C$7:$K$101, (U$8+1), 0)/SQRT(SUMSQ('Input Screen'!K$7:K$101)))*U$6, 0)</f>
        <v>0</v>
      </c>
      <c r="V58" s="36">
        <f>IF('Topsis LP Auto'!$M58 = 0, 0, SQRT((N58-MAX(N$10:N$109))^2 + (O58-MAX(O$10:O$109))^2 + (P58-MAX(P$10:P$109))^2 + (Q58-MAX(Q$10:Q$109))^2 + (R58-MAX(R$10:R$109))^2 + (S58-MAX(S$10:S$109))^2 + (T58-MAX(T$10:T$109))^2 +(U58-MAX(U$10:U$109))^2))</f>
        <v>0</v>
      </c>
      <c r="W58" s="33">
        <f>IF('Topsis LP Auto'!$M58=0, 0, SQRT((N58-MIN(N$10:N$109))^2 + (O58-MIN(O$10:O$109))^2 + (P58-MIN(P$10:P$109))^2 + (Q58-MIN(Q$10:Q$109))^2 + (R58-MIN(R$10:R$109))^2 + (S58-MIN(S$10:S$109))^2 + (T58-MIN(T$10:T$109))^2 +(U58-MIN(U$10:U$109))^2))</f>
        <v>0</v>
      </c>
      <c r="X58" s="31" t="e">
        <f>IF('Topsis LP Auto'!$M58 = 0, 0, W58/(V58+W58))</f>
        <v>#DIV/0!</v>
      </c>
    </row>
    <row r="59" spans="1:24" ht="16.5" thickBot="1" x14ac:dyDescent="0.3">
      <c r="A59" s="78" t="str">
        <f>'Topsis LP Auto'!$M59</f>
        <v>SAGU</v>
      </c>
      <c r="B59" s="34">
        <v>2526446</v>
      </c>
      <c r="C59" s="34">
        <v>0</v>
      </c>
      <c r="D59" s="34">
        <f>SUM('Topsis LP Auto'!$B59:$C59)</f>
        <v>2526446</v>
      </c>
      <c r="E59" s="34">
        <f>IF('Topsis LP Auto'!$J59 = 0, 0, (B59/J59))</f>
        <v>1</v>
      </c>
      <c r="F59" s="34">
        <f>IF(I59 = 0, 0, ('Topsis LP Auto'!$D59)/I59)</f>
        <v>0.12649995653896332</v>
      </c>
      <c r="G59" s="34" t="e">
        <f t="shared" si="0"/>
        <v>#DIV/0!</v>
      </c>
      <c r="H59" s="34" t="e">
        <f>'Topsis LP Auto'!$D59*K59</f>
        <v>#DIV/0!</v>
      </c>
      <c r="I59" s="34">
        <f>_xlfn.IFNA(VLOOKUP($A59, 'Input Screen'!$C$7:$M$101, 10, FALSE), 0)</f>
        <v>19971912</v>
      </c>
      <c r="J59" s="34">
        <f>_xlfn.IFNA(VLOOKUP($A59, 'Input Screen'!$C$7:$M$101, 11, FALSE), 0)</f>
        <v>2526446</v>
      </c>
      <c r="K59" s="34" t="e">
        <f>VLOOKUP('Topsis LP Auto'!$A59, 'Topsis LP Auto'!$M$10:$X$109, 12, FALSE)</f>
        <v>#DIV/0!</v>
      </c>
      <c r="M59" s="26" t="str">
        <f>'Input Screen'!C56</f>
        <v>SAGU</v>
      </c>
      <c r="N59" s="35">
        <f>_xlfn.IFNA((VLOOKUP($M59,'Input Screen'!$C$7:$K$101, (N$8+1), 0)/SQRT(SUMSQ('Input Screen'!D$7:D$101)))*N$6, 0)</f>
        <v>0</v>
      </c>
      <c r="O59" s="35">
        <f>_xlfn.IFNA((VLOOKUP($M59,'Input Screen'!$C$7:$K$101, (O$8+1), 0)/SQRT(SUMSQ('Input Screen'!E$7:E$101)))*O$6, 0)</f>
        <v>0</v>
      </c>
      <c r="P59" s="35">
        <f>_xlfn.IFNA((VLOOKUP($M59,'Input Screen'!$C$7:$K$101, (P$8+1), 0)/SQRT(SUMSQ('Input Screen'!F$7:F$101)))*P$6, 0)</f>
        <v>0</v>
      </c>
      <c r="Q59" s="35">
        <f>_xlfn.IFNA((VLOOKUP($M59,'Input Screen'!$C$7:$K$101, (Q$8+1), 0)/SQRT(SUMSQ('Input Screen'!G$7:G$101)))*Q$6, 0)</f>
        <v>0</v>
      </c>
      <c r="R59" s="35">
        <f>_xlfn.IFNA((VLOOKUP($M59,'Input Screen'!$C$7:$K$101, (R$8+1), 0)/SQRT(SUMSQ('Input Screen'!H$7:H$101)))*R$6, 0)</f>
        <v>0</v>
      </c>
      <c r="S59" s="35">
        <f>_xlfn.IFNA((VLOOKUP($M59,'Input Screen'!$C$7:$K$101, (S$8+1), 0)/SQRT(SUMSQ('Input Screen'!I$7:I$101)))*S$6, 0)</f>
        <v>0</v>
      </c>
      <c r="T59" s="35">
        <f>_xlfn.IFNA((VLOOKUP($M59,'Input Screen'!$C$7:$K$101, (T$8+1), 0)/SQRT(SUMSQ('Input Screen'!J$7:J$101)))*T$6, 0)</f>
        <v>0</v>
      </c>
      <c r="U59" s="35">
        <f>_xlfn.IFNA((VLOOKUP($M59,'Input Screen'!$C$7:$K$101, (U$8+1), 0)/SQRT(SUMSQ('Input Screen'!K$7:K$101)))*U$6, 0)</f>
        <v>0</v>
      </c>
      <c r="V59" s="37">
        <f>IF('Topsis LP Auto'!$M59 = 0, 0, SQRT((N59-MAX(N$10:N$109))^2 + (O59-MAX(O$10:O$109))^2 + (P59-MAX(P$10:P$109))^2 + (Q59-MAX(Q$10:Q$109))^2 + (R59-MAX(R$10:R$109))^2 + (S59-MAX(S$10:S$109))^2 + (T59-MAX(T$10:T$109))^2 +(U59-MAX(U$10:U$109))^2))</f>
        <v>0</v>
      </c>
      <c r="W59" s="35">
        <f>IF('Topsis LP Auto'!$M59=0, 0, SQRT((N59-MIN(N$10:N$109))^2 + (O59-MIN(O$10:O$109))^2 + (P59-MIN(P$10:P$109))^2 + (Q59-MIN(Q$10:Q$109))^2 + (R59-MIN(R$10:R$109))^2 + (S59-MIN(S$10:S$109))^2 + (T59-MIN(T$10:T$109))^2 +(U59-MIN(U$10:U$109))^2))</f>
        <v>0</v>
      </c>
      <c r="X59" s="34" t="e">
        <f>IF('Topsis LP Auto'!$M59 = 0, 0, W59/(V59+W59))</f>
        <v>#DIV/0!</v>
      </c>
    </row>
    <row r="60" spans="1:24" ht="16.5" thickBot="1" x14ac:dyDescent="0.3">
      <c r="A60" s="76" t="str">
        <f>'Topsis LP Auto'!$M60</f>
        <v>SEQU</v>
      </c>
      <c r="B60" s="31">
        <v>0</v>
      </c>
      <c r="C60" s="31">
        <v>0</v>
      </c>
      <c r="D60" s="31">
        <f>SUM('Topsis LP Auto'!$B60:$C60)</f>
        <v>0</v>
      </c>
      <c r="E60" s="31">
        <f>IF('Topsis LP Auto'!$J60 = 0, 0, (B60/J60))</f>
        <v>0</v>
      </c>
      <c r="F60" s="31">
        <f>IF(I60 = 0, 0, ('Topsis LP Auto'!$D60)/I60)</f>
        <v>0</v>
      </c>
      <c r="G60" s="31" t="e">
        <f t="shared" si="0"/>
        <v>#DIV/0!</v>
      </c>
      <c r="H60" s="31" t="e">
        <f>'Topsis LP Auto'!$D60*K60</f>
        <v>#DIV/0!</v>
      </c>
      <c r="I60" s="31">
        <f>_xlfn.IFNA(VLOOKUP($A60, 'Input Screen'!$C$7:$M$101, 10, FALSE), 0)</f>
        <v>88282233.999999985</v>
      </c>
      <c r="J60" s="31">
        <f>_xlfn.IFNA(VLOOKUP($A60, 'Input Screen'!$C$7:$M$101, 11, FALSE), 0)</f>
        <v>20198975</v>
      </c>
      <c r="K60" s="31" t="e">
        <f>VLOOKUP('Topsis LP Auto'!$A60, 'Topsis LP Auto'!$M$10:$X$109, 12, FALSE)</f>
        <v>#DIV/0!</v>
      </c>
      <c r="M60" s="32" t="str">
        <f>'Input Screen'!C57</f>
        <v>SEQU</v>
      </c>
      <c r="N60" s="33">
        <f>_xlfn.IFNA((VLOOKUP($M60,'Input Screen'!$C$7:$K$101, (N$8+1), 0)/SQRT(SUMSQ('Input Screen'!D$7:D$101)))*N$6, 0)</f>
        <v>0</v>
      </c>
      <c r="O60" s="33">
        <f>_xlfn.IFNA((VLOOKUP($M60,'Input Screen'!$C$7:$K$101, (O$8+1), 0)/SQRT(SUMSQ('Input Screen'!E$7:E$101)))*O$6, 0)</f>
        <v>0</v>
      </c>
      <c r="P60" s="33">
        <f>_xlfn.IFNA((VLOOKUP($M60,'Input Screen'!$C$7:$K$101, (P$8+1), 0)/SQRT(SUMSQ('Input Screen'!F$7:F$101)))*P$6, 0)</f>
        <v>0</v>
      </c>
      <c r="Q60" s="33">
        <f>_xlfn.IFNA((VLOOKUP($M60,'Input Screen'!$C$7:$K$101, (Q$8+1), 0)/SQRT(SUMSQ('Input Screen'!G$7:G$101)))*Q$6, 0)</f>
        <v>0</v>
      </c>
      <c r="R60" s="33">
        <f>_xlfn.IFNA((VLOOKUP($M60,'Input Screen'!$C$7:$K$101, (R$8+1), 0)/SQRT(SUMSQ('Input Screen'!H$7:H$101)))*R$6, 0)</f>
        <v>0</v>
      </c>
      <c r="S60" s="33">
        <f>_xlfn.IFNA((VLOOKUP($M60,'Input Screen'!$C$7:$K$101, (S$8+1), 0)/SQRT(SUMSQ('Input Screen'!I$7:I$101)))*S$6, 0)</f>
        <v>0</v>
      </c>
      <c r="T60" s="33">
        <f>_xlfn.IFNA((VLOOKUP($M60,'Input Screen'!$C$7:$K$101, (T$8+1), 0)/SQRT(SUMSQ('Input Screen'!J$7:J$101)))*T$6, 0)</f>
        <v>0</v>
      </c>
      <c r="U60" s="33">
        <f>_xlfn.IFNA((VLOOKUP($M60,'Input Screen'!$C$7:$K$101, (U$8+1), 0)/SQRT(SUMSQ('Input Screen'!K$7:K$101)))*U$6, 0)</f>
        <v>0</v>
      </c>
      <c r="V60" s="36">
        <f>IF('Topsis LP Auto'!$M60 = 0, 0, SQRT((N60-MAX(N$10:N$109))^2 + (O60-MAX(O$10:O$109))^2 + (P60-MAX(P$10:P$109))^2 + (Q60-MAX(Q$10:Q$109))^2 + (R60-MAX(R$10:R$109))^2 + (S60-MAX(S$10:S$109))^2 + (T60-MAX(T$10:T$109))^2 +(U60-MAX(U$10:U$109))^2))</f>
        <v>0</v>
      </c>
      <c r="W60" s="33">
        <f>IF('Topsis LP Auto'!$M60=0, 0, SQRT((N60-MIN(N$10:N$109))^2 + (O60-MIN(O$10:O$109))^2 + (P60-MIN(P$10:P$109))^2 + (Q60-MIN(Q$10:Q$109))^2 + (R60-MIN(R$10:R$109))^2 + (S60-MIN(S$10:S$109))^2 + (T60-MIN(T$10:T$109))^2 +(U60-MIN(U$10:U$109))^2))</f>
        <v>0</v>
      </c>
      <c r="X60" s="31" t="e">
        <f>IF('Topsis LP Auto'!$M60 = 0, 0, W60/(V60+W60))</f>
        <v>#DIV/0!</v>
      </c>
    </row>
    <row r="61" spans="1:24" ht="16.5" thickBot="1" x14ac:dyDescent="0.3">
      <c r="A61" s="78" t="str">
        <f>'Topsis LP Auto'!$M61</f>
        <v>SHEN</v>
      </c>
      <c r="B61" s="34">
        <v>0</v>
      </c>
      <c r="C61" s="34">
        <v>0</v>
      </c>
      <c r="D61" s="34">
        <f>SUM('Topsis LP Auto'!$B61:$C61)</f>
        <v>0</v>
      </c>
      <c r="E61" s="34">
        <f>IF('Topsis LP Auto'!$J61 = 0, 0, (B61/J61))</f>
        <v>0</v>
      </c>
      <c r="F61" s="34">
        <f>IF(I61 = 0, 0, ('Topsis LP Auto'!$D61)/I61)</f>
        <v>0</v>
      </c>
      <c r="G61" s="34" t="e">
        <f t="shared" si="0"/>
        <v>#DIV/0!</v>
      </c>
      <c r="H61" s="34" t="e">
        <f>'Topsis LP Auto'!$D61*K61</f>
        <v>#DIV/0!</v>
      </c>
      <c r="I61" s="34">
        <f>_xlfn.IFNA(VLOOKUP($A61, 'Input Screen'!$C$7:$M$101, 10, FALSE), 0)</f>
        <v>79208621</v>
      </c>
      <c r="J61" s="34">
        <f>_xlfn.IFNA(VLOOKUP($A61, 'Input Screen'!$C$7:$M$101, 11, FALSE), 0)</f>
        <v>13386256</v>
      </c>
      <c r="K61" s="34" t="e">
        <f>VLOOKUP('Topsis LP Auto'!$A61, 'Topsis LP Auto'!$M$10:$X$109, 12, FALSE)</f>
        <v>#DIV/0!</v>
      </c>
      <c r="M61" s="26" t="str">
        <f>'Input Screen'!C58</f>
        <v>SHEN</v>
      </c>
      <c r="N61" s="35">
        <f>_xlfn.IFNA((VLOOKUP($M61,'Input Screen'!$C$7:$K$101, (N$8+1), 0)/SQRT(SUMSQ('Input Screen'!D$7:D$101)))*N$6, 0)</f>
        <v>0</v>
      </c>
      <c r="O61" s="35">
        <f>_xlfn.IFNA((VLOOKUP($M61,'Input Screen'!$C$7:$K$101, (O$8+1), 0)/SQRT(SUMSQ('Input Screen'!E$7:E$101)))*O$6, 0)</f>
        <v>0</v>
      </c>
      <c r="P61" s="35">
        <f>_xlfn.IFNA((VLOOKUP($M61,'Input Screen'!$C$7:$K$101, (P$8+1), 0)/SQRT(SUMSQ('Input Screen'!F$7:F$101)))*P$6, 0)</f>
        <v>0</v>
      </c>
      <c r="Q61" s="35">
        <f>_xlfn.IFNA((VLOOKUP($M61,'Input Screen'!$C$7:$K$101, (Q$8+1), 0)/SQRT(SUMSQ('Input Screen'!G$7:G$101)))*Q$6, 0)</f>
        <v>0</v>
      </c>
      <c r="R61" s="35">
        <f>_xlfn.IFNA((VLOOKUP($M61,'Input Screen'!$C$7:$K$101, (R$8+1), 0)/SQRT(SUMSQ('Input Screen'!H$7:H$101)))*R$6, 0)</f>
        <v>0</v>
      </c>
      <c r="S61" s="35">
        <f>_xlfn.IFNA((VLOOKUP($M61,'Input Screen'!$C$7:$K$101, (S$8+1), 0)/SQRT(SUMSQ('Input Screen'!I$7:I$101)))*S$6, 0)</f>
        <v>0</v>
      </c>
      <c r="T61" s="35">
        <f>_xlfn.IFNA((VLOOKUP($M61,'Input Screen'!$C$7:$K$101, (T$8+1), 0)/SQRT(SUMSQ('Input Screen'!J$7:J$101)))*T$6, 0)</f>
        <v>0</v>
      </c>
      <c r="U61" s="35">
        <f>_xlfn.IFNA((VLOOKUP($M61,'Input Screen'!$C$7:$K$101, (U$8+1), 0)/SQRT(SUMSQ('Input Screen'!K$7:K$101)))*U$6, 0)</f>
        <v>0</v>
      </c>
      <c r="V61" s="37">
        <f>IF('Topsis LP Auto'!$M61 = 0, 0, SQRT((N61-MAX(N$10:N$109))^2 + (O61-MAX(O$10:O$109))^2 + (P61-MAX(P$10:P$109))^2 + (Q61-MAX(Q$10:Q$109))^2 + (R61-MAX(R$10:R$109))^2 + (S61-MAX(S$10:S$109))^2 + (T61-MAX(T$10:T$109))^2 +(U61-MAX(U$10:U$109))^2))</f>
        <v>0</v>
      </c>
      <c r="W61" s="35">
        <f>IF('Topsis LP Auto'!$M61=0, 0, SQRT((N61-MIN(N$10:N$109))^2 + (O61-MIN(O$10:O$109))^2 + (P61-MIN(P$10:P$109))^2 + (Q61-MIN(Q$10:Q$109))^2 + (R61-MIN(R$10:R$109))^2 + (S61-MIN(S$10:S$109))^2 + (T61-MIN(T$10:T$109))^2 +(U61-MIN(U$10:U$109))^2))</f>
        <v>0</v>
      </c>
      <c r="X61" s="34" t="e">
        <f>IF('Topsis LP Auto'!$M61 = 0, 0, W61/(V61+W61))</f>
        <v>#DIV/0!</v>
      </c>
    </row>
    <row r="62" spans="1:24" ht="16.5" thickBot="1" x14ac:dyDescent="0.3">
      <c r="A62" s="76" t="str">
        <f>'Topsis LP Auto'!$M62</f>
        <v>THRO</v>
      </c>
      <c r="B62" s="31">
        <v>4464760</v>
      </c>
      <c r="C62" s="31">
        <v>0</v>
      </c>
      <c r="D62" s="31">
        <f>SUM('Topsis LP Auto'!$B62:$C62)</f>
        <v>4464760</v>
      </c>
      <c r="E62" s="31">
        <f>IF('Topsis LP Auto'!$J62 = 0, 0, (B62/J62))</f>
        <v>1</v>
      </c>
      <c r="F62" s="31">
        <f>IF(I62 = 0, 0, ('Topsis LP Auto'!$D62)/I62)</f>
        <v>9.0499990169125494E-2</v>
      </c>
      <c r="G62" s="31" t="e">
        <f t="shared" si="0"/>
        <v>#DIV/0!</v>
      </c>
      <c r="H62" s="31" t="e">
        <f>'Topsis LP Auto'!$D62*K62</f>
        <v>#DIV/0!</v>
      </c>
      <c r="I62" s="31">
        <f>_xlfn.IFNA(VLOOKUP($A62, 'Input Screen'!$C$7:$M$101, 10, FALSE), 0)</f>
        <v>49334370</v>
      </c>
      <c r="J62" s="31">
        <f>_xlfn.IFNA(VLOOKUP($A62, 'Input Screen'!$C$7:$M$101, 11, FALSE), 0)</f>
        <v>4464760</v>
      </c>
      <c r="K62" s="31" t="e">
        <f>VLOOKUP('Topsis LP Auto'!$A62, 'Topsis LP Auto'!$M$10:$X$109, 12, FALSE)</f>
        <v>#DIV/0!</v>
      </c>
      <c r="M62" s="32" t="str">
        <f>'Input Screen'!C59</f>
        <v>THRO</v>
      </c>
      <c r="N62" s="33">
        <f>_xlfn.IFNA((VLOOKUP($M62,'Input Screen'!$C$7:$K$101, (N$8+1), 0)/SQRT(SUMSQ('Input Screen'!D$7:D$101)))*N$6, 0)</f>
        <v>0</v>
      </c>
      <c r="O62" s="33">
        <f>_xlfn.IFNA((VLOOKUP($M62,'Input Screen'!$C$7:$K$101, (O$8+1), 0)/SQRT(SUMSQ('Input Screen'!E$7:E$101)))*O$6, 0)</f>
        <v>0</v>
      </c>
      <c r="P62" s="33">
        <f>_xlfn.IFNA((VLOOKUP($M62,'Input Screen'!$C$7:$K$101, (P$8+1), 0)/SQRT(SUMSQ('Input Screen'!F$7:F$101)))*P$6, 0)</f>
        <v>0</v>
      </c>
      <c r="Q62" s="33">
        <f>_xlfn.IFNA((VLOOKUP($M62,'Input Screen'!$C$7:$K$101, (Q$8+1), 0)/SQRT(SUMSQ('Input Screen'!G$7:G$101)))*Q$6, 0)</f>
        <v>0</v>
      </c>
      <c r="R62" s="33">
        <f>_xlfn.IFNA((VLOOKUP($M62,'Input Screen'!$C$7:$K$101, (R$8+1), 0)/SQRT(SUMSQ('Input Screen'!H$7:H$101)))*R$6, 0)</f>
        <v>0</v>
      </c>
      <c r="S62" s="33">
        <f>_xlfn.IFNA((VLOOKUP($M62,'Input Screen'!$C$7:$K$101, (S$8+1), 0)/SQRT(SUMSQ('Input Screen'!I$7:I$101)))*S$6, 0)</f>
        <v>0</v>
      </c>
      <c r="T62" s="33">
        <f>_xlfn.IFNA((VLOOKUP($M62,'Input Screen'!$C$7:$K$101, (T$8+1), 0)/SQRT(SUMSQ('Input Screen'!J$7:J$101)))*T$6, 0)</f>
        <v>0</v>
      </c>
      <c r="U62" s="33">
        <f>_xlfn.IFNA((VLOOKUP($M62,'Input Screen'!$C$7:$K$101, (U$8+1), 0)/SQRT(SUMSQ('Input Screen'!K$7:K$101)))*U$6, 0)</f>
        <v>0</v>
      </c>
      <c r="V62" s="36">
        <f>IF('Topsis LP Auto'!$M62 = 0, 0, SQRT((N62-MAX(N$10:N$109))^2 + (O62-MAX(O$10:O$109))^2 + (P62-MAX(P$10:P$109))^2 + (Q62-MAX(Q$10:Q$109))^2 + (R62-MAX(R$10:R$109))^2 + (S62-MAX(S$10:S$109))^2 + (T62-MAX(T$10:T$109))^2 +(U62-MAX(U$10:U$109))^2))</f>
        <v>0</v>
      </c>
      <c r="W62" s="33">
        <f>IF('Topsis LP Auto'!$M62=0, 0, SQRT((N62-MIN(N$10:N$109))^2 + (O62-MIN(O$10:O$109))^2 + (P62-MIN(P$10:P$109))^2 + (Q62-MIN(Q$10:Q$109))^2 + (R62-MIN(R$10:R$109))^2 + (S62-MIN(S$10:S$109))^2 + (T62-MIN(T$10:T$109))^2 +(U62-MIN(U$10:U$109))^2))</f>
        <v>0</v>
      </c>
      <c r="X62" s="31" t="e">
        <f>IF('Topsis LP Auto'!$M62 = 0, 0, W62/(V62+W62))</f>
        <v>#DIV/0!</v>
      </c>
    </row>
    <row r="63" spans="1:24" ht="16.5" thickBot="1" x14ac:dyDescent="0.3">
      <c r="A63" s="78" t="str">
        <f>'Topsis LP Auto'!$M63</f>
        <v>VIIS</v>
      </c>
      <c r="B63" s="34">
        <v>8568662</v>
      </c>
      <c r="C63" s="34">
        <v>0</v>
      </c>
      <c r="D63" s="34">
        <f>SUM('Topsis LP Auto'!$B63:$C63)</f>
        <v>8568662</v>
      </c>
      <c r="E63" s="34">
        <f>IF('Topsis LP Auto'!$J63 = 0, 0, (B63/J63))</f>
        <v>1</v>
      </c>
      <c r="F63" s="34">
        <f>IF(I63 = 0, 0, ('Topsis LP Auto'!$D63)/I63)</f>
        <v>0.3226999827401989</v>
      </c>
      <c r="G63" s="34" t="e">
        <f t="shared" si="0"/>
        <v>#DIV/0!</v>
      </c>
      <c r="H63" s="34" t="e">
        <f>'Topsis LP Auto'!$D63*K63</f>
        <v>#DIV/0!</v>
      </c>
      <c r="I63" s="34">
        <f>_xlfn.IFNA(VLOOKUP($A63, 'Input Screen'!$C$7:$M$101, 10, FALSE), 0)</f>
        <v>26553028.999999996</v>
      </c>
      <c r="J63" s="34">
        <f>_xlfn.IFNA(VLOOKUP($A63, 'Input Screen'!$C$7:$M$101, 11, FALSE), 0)</f>
        <v>8568662</v>
      </c>
      <c r="K63" s="34" t="e">
        <f>VLOOKUP('Topsis LP Auto'!$A63, 'Topsis LP Auto'!$M$10:$X$109, 12, FALSE)</f>
        <v>#DIV/0!</v>
      </c>
      <c r="M63" s="26" t="str">
        <f>'Input Screen'!C60</f>
        <v>VIIS</v>
      </c>
      <c r="N63" s="35">
        <f>_xlfn.IFNA((VLOOKUP($M63,'Input Screen'!$C$7:$K$101, (N$8+1), 0)/SQRT(SUMSQ('Input Screen'!D$7:D$101)))*N$6, 0)</f>
        <v>0</v>
      </c>
      <c r="O63" s="35">
        <f>_xlfn.IFNA((VLOOKUP($M63,'Input Screen'!$C$7:$K$101, (O$8+1), 0)/SQRT(SUMSQ('Input Screen'!E$7:E$101)))*O$6, 0)</f>
        <v>0</v>
      </c>
      <c r="P63" s="35">
        <f>_xlfn.IFNA((VLOOKUP($M63,'Input Screen'!$C$7:$K$101, (P$8+1), 0)/SQRT(SUMSQ('Input Screen'!F$7:F$101)))*P$6, 0)</f>
        <v>0</v>
      </c>
      <c r="Q63" s="35">
        <f>_xlfn.IFNA((VLOOKUP($M63,'Input Screen'!$C$7:$K$101, (Q$8+1), 0)/SQRT(SUMSQ('Input Screen'!G$7:G$101)))*Q$6, 0)</f>
        <v>0</v>
      </c>
      <c r="R63" s="35">
        <f>_xlfn.IFNA((VLOOKUP($M63,'Input Screen'!$C$7:$K$101, (R$8+1), 0)/SQRT(SUMSQ('Input Screen'!H$7:H$101)))*R$6, 0)</f>
        <v>0</v>
      </c>
      <c r="S63" s="35">
        <f>_xlfn.IFNA((VLOOKUP($M63,'Input Screen'!$C$7:$K$101, (S$8+1), 0)/SQRT(SUMSQ('Input Screen'!I$7:I$101)))*S$6, 0)</f>
        <v>0</v>
      </c>
      <c r="T63" s="35">
        <f>_xlfn.IFNA((VLOOKUP($M63,'Input Screen'!$C$7:$K$101, (T$8+1), 0)/SQRT(SUMSQ('Input Screen'!J$7:J$101)))*T$6, 0)</f>
        <v>0</v>
      </c>
      <c r="U63" s="35">
        <f>_xlfn.IFNA((VLOOKUP($M63,'Input Screen'!$C$7:$K$101, (U$8+1), 0)/SQRT(SUMSQ('Input Screen'!K$7:K$101)))*U$6, 0)</f>
        <v>0</v>
      </c>
      <c r="V63" s="37">
        <f>IF('Topsis LP Auto'!$M63 = 0, 0, SQRT((N63-MAX(N$10:N$109))^2 + (O63-MAX(O$10:O$109))^2 + (P63-MAX(P$10:P$109))^2 + (Q63-MAX(Q$10:Q$109))^2 + (R63-MAX(R$10:R$109))^2 + (S63-MAX(S$10:S$109))^2 + (T63-MAX(T$10:T$109))^2 +(U63-MAX(U$10:U$109))^2))</f>
        <v>0</v>
      </c>
      <c r="W63" s="35">
        <f>IF('Topsis LP Auto'!$M63=0, 0, SQRT((N63-MIN(N$10:N$109))^2 + (O63-MIN(O$10:O$109))^2 + (P63-MIN(P$10:P$109))^2 + (Q63-MIN(Q$10:Q$109))^2 + (R63-MIN(R$10:R$109))^2 + (S63-MIN(S$10:S$109))^2 + (T63-MIN(T$10:T$109))^2 +(U63-MIN(U$10:U$109))^2))</f>
        <v>0</v>
      </c>
      <c r="X63" s="34" t="e">
        <f>IF('Topsis LP Auto'!$M63 = 0, 0, W63/(V63+W63))</f>
        <v>#DIV/0!</v>
      </c>
    </row>
    <row r="64" spans="1:24" ht="16.5" thickBot="1" x14ac:dyDescent="0.3">
      <c r="A64" s="76" t="str">
        <f>'Topsis LP Auto'!$M64</f>
        <v>VOYA</v>
      </c>
      <c r="B64" s="31">
        <v>3515054</v>
      </c>
      <c r="C64" s="31">
        <v>0</v>
      </c>
      <c r="D64" s="31">
        <f>SUM('Topsis LP Auto'!$B64:$C64)</f>
        <v>3515054</v>
      </c>
      <c r="E64" s="31">
        <f>IF('Topsis LP Auto'!$J64 = 0, 0, (B64/J64))</f>
        <v>1</v>
      </c>
      <c r="F64" s="31">
        <f>IF(I64 = 0, 0, ('Topsis LP Auto'!$D64)/I64)</f>
        <v>0.2362999876036847</v>
      </c>
      <c r="G64" s="31" t="e">
        <f t="shared" si="0"/>
        <v>#DIV/0!</v>
      </c>
      <c r="H64" s="31" t="e">
        <f>'Topsis LP Auto'!$D64*K64</f>
        <v>#DIV/0!</v>
      </c>
      <c r="I64" s="31">
        <f>_xlfn.IFNA(VLOOKUP($A64, 'Input Screen'!$C$7:$M$101, 10, FALSE), 0)</f>
        <v>14875388</v>
      </c>
      <c r="J64" s="31">
        <f>_xlfn.IFNA(VLOOKUP($A64, 'Input Screen'!$C$7:$M$101, 11, FALSE), 0)</f>
        <v>3515054</v>
      </c>
      <c r="K64" s="31" t="e">
        <f>VLOOKUP('Topsis LP Auto'!$A64, 'Topsis LP Auto'!$M$10:$X$109, 12, FALSE)</f>
        <v>#DIV/0!</v>
      </c>
      <c r="M64" s="32" t="str">
        <f>'Input Screen'!C61</f>
        <v>VOYA</v>
      </c>
      <c r="N64" s="33">
        <f>_xlfn.IFNA((VLOOKUP($M64,'Input Screen'!$C$7:$K$101, (N$8+1), 0)/SQRT(SUMSQ('Input Screen'!D$7:D$101)))*N$6, 0)</f>
        <v>0</v>
      </c>
      <c r="O64" s="33">
        <f>_xlfn.IFNA((VLOOKUP($M64,'Input Screen'!$C$7:$K$101, (O$8+1), 0)/SQRT(SUMSQ('Input Screen'!E$7:E$101)))*O$6, 0)</f>
        <v>0</v>
      </c>
      <c r="P64" s="33">
        <f>_xlfn.IFNA((VLOOKUP($M64,'Input Screen'!$C$7:$K$101, (P$8+1), 0)/SQRT(SUMSQ('Input Screen'!F$7:F$101)))*P$6, 0)</f>
        <v>0</v>
      </c>
      <c r="Q64" s="33">
        <f>_xlfn.IFNA((VLOOKUP($M64,'Input Screen'!$C$7:$K$101, (Q$8+1), 0)/SQRT(SUMSQ('Input Screen'!G$7:G$101)))*Q$6, 0)</f>
        <v>0</v>
      </c>
      <c r="R64" s="33">
        <f>_xlfn.IFNA((VLOOKUP($M64,'Input Screen'!$C$7:$K$101, (R$8+1), 0)/SQRT(SUMSQ('Input Screen'!H$7:H$101)))*R$6, 0)</f>
        <v>0</v>
      </c>
      <c r="S64" s="33">
        <f>_xlfn.IFNA((VLOOKUP($M64,'Input Screen'!$C$7:$K$101, (S$8+1), 0)/SQRT(SUMSQ('Input Screen'!I$7:I$101)))*S$6, 0)</f>
        <v>0</v>
      </c>
      <c r="T64" s="33">
        <f>_xlfn.IFNA((VLOOKUP($M64,'Input Screen'!$C$7:$K$101, (T$8+1), 0)/SQRT(SUMSQ('Input Screen'!J$7:J$101)))*T$6, 0)</f>
        <v>0</v>
      </c>
      <c r="U64" s="33">
        <f>_xlfn.IFNA((VLOOKUP($M64,'Input Screen'!$C$7:$K$101, (U$8+1), 0)/SQRT(SUMSQ('Input Screen'!K$7:K$101)))*U$6, 0)</f>
        <v>0</v>
      </c>
      <c r="V64" s="36">
        <f>IF('Topsis LP Auto'!$M64 = 0, 0, SQRT((N64-MAX(N$10:N$109))^2 + (O64-MAX(O$10:O$109))^2 + (P64-MAX(P$10:P$109))^2 + (Q64-MAX(Q$10:Q$109))^2 + (R64-MAX(R$10:R$109))^2 + (S64-MAX(S$10:S$109))^2 + (T64-MAX(T$10:T$109))^2 +(U64-MAX(U$10:U$109))^2))</f>
        <v>0</v>
      </c>
      <c r="W64" s="33">
        <f>IF('Topsis LP Auto'!$M64=0, 0, SQRT((N64-MIN(N$10:N$109))^2 + (O64-MIN(O$10:O$109))^2 + (P64-MIN(P$10:P$109))^2 + (Q64-MIN(Q$10:Q$109))^2 + (R64-MIN(R$10:R$109))^2 + (S64-MIN(S$10:S$109))^2 + (T64-MIN(T$10:T$109))^2 +(U64-MIN(U$10:U$109))^2))</f>
        <v>0</v>
      </c>
      <c r="X64" s="31" t="e">
        <f>IF('Topsis LP Auto'!$M64 = 0, 0, W64/(V64+W64))</f>
        <v>#DIV/0!</v>
      </c>
    </row>
    <row r="65" spans="1:24" ht="16.5" thickBot="1" x14ac:dyDescent="0.3">
      <c r="A65" s="78" t="str">
        <f>'Topsis LP Auto'!$M65</f>
        <v>WICA</v>
      </c>
      <c r="B65" s="34">
        <v>1579116</v>
      </c>
      <c r="C65" s="34">
        <v>0</v>
      </c>
      <c r="D65" s="34">
        <f>SUM('Topsis LP Auto'!$B65:$C65)</f>
        <v>1579116</v>
      </c>
      <c r="E65" s="34">
        <f>IF('Topsis LP Auto'!$J65 = 0, 0, (B65/J65))</f>
        <v>1</v>
      </c>
      <c r="F65" s="34">
        <f>IF(I65 = 0, 0, ('Topsis LP Auto'!$D65)/I65)</f>
        <v>7.7299961392019612E-2</v>
      </c>
      <c r="G65" s="34" t="e">
        <f t="shared" si="0"/>
        <v>#DIV/0!</v>
      </c>
      <c r="H65" s="34" t="e">
        <f>'Topsis LP Auto'!$D65*K65</f>
        <v>#DIV/0!</v>
      </c>
      <c r="I65" s="34">
        <f>_xlfn.IFNA(VLOOKUP($A65, 'Input Screen'!$C$7:$M$101, 10, FALSE), 0)</f>
        <v>20428419</v>
      </c>
      <c r="J65" s="34">
        <f>_xlfn.IFNA(VLOOKUP($A65, 'Input Screen'!$C$7:$M$101, 11, FALSE), 0)</f>
        <v>1579116</v>
      </c>
      <c r="K65" s="34" t="e">
        <f>VLOOKUP('Topsis LP Auto'!$A65, 'Topsis LP Auto'!$M$10:$X$109, 12, FALSE)</f>
        <v>#DIV/0!</v>
      </c>
      <c r="M65" s="26" t="str">
        <f>'Input Screen'!C62</f>
        <v>WICA</v>
      </c>
      <c r="N65" s="35">
        <f>_xlfn.IFNA((VLOOKUP($M65,'Input Screen'!$C$7:$K$101, (N$8+1), 0)/SQRT(SUMSQ('Input Screen'!D$7:D$101)))*N$6, 0)</f>
        <v>0</v>
      </c>
      <c r="O65" s="35">
        <f>_xlfn.IFNA((VLOOKUP($M65,'Input Screen'!$C$7:$K$101, (O$8+1), 0)/SQRT(SUMSQ('Input Screen'!E$7:E$101)))*O$6, 0)</f>
        <v>0</v>
      </c>
      <c r="P65" s="35">
        <f>_xlfn.IFNA((VLOOKUP($M65,'Input Screen'!$C$7:$K$101, (P$8+1), 0)/SQRT(SUMSQ('Input Screen'!F$7:F$101)))*P$6, 0)</f>
        <v>0</v>
      </c>
      <c r="Q65" s="35">
        <f>_xlfn.IFNA((VLOOKUP($M65,'Input Screen'!$C$7:$K$101, (Q$8+1), 0)/SQRT(SUMSQ('Input Screen'!G$7:G$101)))*Q$6, 0)</f>
        <v>0</v>
      </c>
      <c r="R65" s="35">
        <f>_xlfn.IFNA((VLOOKUP($M65,'Input Screen'!$C$7:$K$101, (R$8+1), 0)/SQRT(SUMSQ('Input Screen'!H$7:H$101)))*R$6, 0)</f>
        <v>0</v>
      </c>
      <c r="S65" s="35">
        <f>_xlfn.IFNA((VLOOKUP($M65,'Input Screen'!$C$7:$K$101, (S$8+1), 0)/SQRT(SUMSQ('Input Screen'!I$7:I$101)))*S$6, 0)</f>
        <v>0</v>
      </c>
      <c r="T65" s="35">
        <f>_xlfn.IFNA((VLOOKUP($M65,'Input Screen'!$C$7:$K$101, (T$8+1), 0)/SQRT(SUMSQ('Input Screen'!J$7:J$101)))*T$6, 0)</f>
        <v>0</v>
      </c>
      <c r="U65" s="35">
        <f>_xlfn.IFNA((VLOOKUP($M65,'Input Screen'!$C$7:$K$101, (U$8+1), 0)/SQRT(SUMSQ('Input Screen'!K$7:K$101)))*U$6, 0)</f>
        <v>0</v>
      </c>
      <c r="V65" s="37">
        <f>IF('Topsis LP Auto'!$M65 = 0, 0, SQRT((N65-MAX(N$10:N$109))^2 + (O65-MAX(O$10:O$109))^2 + (P65-MAX(P$10:P$109))^2 + (Q65-MAX(Q$10:Q$109))^2 + (R65-MAX(R$10:R$109))^2 + (S65-MAX(S$10:S$109))^2 + (T65-MAX(T$10:T$109))^2 +(U65-MAX(U$10:U$109))^2))</f>
        <v>0</v>
      </c>
      <c r="W65" s="35">
        <f>IF('Topsis LP Auto'!$M65=0, 0, SQRT((N65-MIN(N$10:N$109))^2 + (O65-MIN(O$10:O$109))^2 + (P65-MIN(P$10:P$109))^2 + (Q65-MIN(Q$10:Q$109))^2 + (R65-MIN(R$10:R$109))^2 + (S65-MIN(S$10:S$109))^2 + (T65-MIN(T$10:T$109))^2 +(U65-MIN(U$10:U$109))^2))</f>
        <v>0</v>
      </c>
      <c r="X65" s="34" t="e">
        <f>IF('Topsis LP Auto'!$M65 = 0, 0, W65/(V65+W65))</f>
        <v>#DIV/0!</v>
      </c>
    </row>
    <row r="66" spans="1:24" ht="16.5" thickBot="1" x14ac:dyDescent="0.3">
      <c r="A66" s="76" t="str">
        <f>'Topsis LP Auto'!$M66</f>
        <v>WRST</v>
      </c>
      <c r="B66" s="31">
        <v>6580030</v>
      </c>
      <c r="C66" s="31">
        <v>0</v>
      </c>
      <c r="D66" s="31">
        <f>SUM('Topsis LP Auto'!$B66:$C66)</f>
        <v>6580030</v>
      </c>
      <c r="E66" s="31">
        <f>IF('Topsis LP Auto'!$J66 = 0, 0, (B66/J66))</f>
        <v>1</v>
      </c>
      <c r="F66" s="31">
        <f>IF(I66 = 0, 0, ('Topsis LP Auto'!$D66)/I66)</f>
        <v>0.38619999833312613</v>
      </c>
      <c r="G66" s="31" t="e">
        <f t="shared" si="0"/>
        <v>#DIV/0!</v>
      </c>
      <c r="H66" s="31" t="e">
        <f>'Topsis LP Auto'!$D66*K66</f>
        <v>#DIV/0!</v>
      </c>
      <c r="I66" s="31">
        <f>_xlfn.IFNA(VLOOKUP($A66, 'Input Screen'!$C$7:$M$101, 10, FALSE), 0)</f>
        <v>17037882</v>
      </c>
      <c r="J66" s="31">
        <f>_xlfn.IFNA(VLOOKUP($A66, 'Input Screen'!$C$7:$M$101, 11, FALSE), 0)</f>
        <v>6580030</v>
      </c>
      <c r="K66" s="31" t="e">
        <f>VLOOKUP('Topsis LP Auto'!$A66, 'Topsis LP Auto'!$M$10:$X$109, 12, FALSE)</f>
        <v>#DIV/0!</v>
      </c>
      <c r="M66" s="32" t="str">
        <f>'Input Screen'!C63</f>
        <v>WRST</v>
      </c>
      <c r="N66" s="33">
        <f>_xlfn.IFNA((VLOOKUP($M66,'Input Screen'!$C$7:$K$101, (N$8+1), 0)/SQRT(SUMSQ('Input Screen'!D$7:D$101)))*N$6, 0)</f>
        <v>0</v>
      </c>
      <c r="O66" s="33">
        <f>_xlfn.IFNA((VLOOKUP($M66,'Input Screen'!$C$7:$K$101, (O$8+1), 0)/SQRT(SUMSQ('Input Screen'!E$7:E$101)))*O$6, 0)</f>
        <v>0</v>
      </c>
      <c r="P66" s="33">
        <f>_xlfn.IFNA((VLOOKUP($M66,'Input Screen'!$C$7:$K$101, (P$8+1), 0)/SQRT(SUMSQ('Input Screen'!F$7:F$101)))*P$6, 0)</f>
        <v>0</v>
      </c>
      <c r="Q66" s="33">
        <f>_xlfn.IFNA((VLOOKUP($M66,'Input Screen'!$C$7:$K$101, (Q$8+1), 0)/SQRT(SUMSQ('Input Screen'!G$7:G$101)))*Q$6, 0)</f>
        <v>0</v>
      </c>
      <c r="R66" s="33">
        <f>_xlfn.IFNA((VLOOKUP($M66,'Input Screen'!$C$7:$K$101, (R$8+1), 0)/SQRT(SUMSQ('Input Screen'!H$7:H$101)))*R$6, 0)</f>
        <v>0</v>
      </c>
      <c r="S66" s="33">
        <f>_xlfn.IFNA((VLOOKUP($M66,'Input Screen'!$C$7:$K$101, (S$8+1), 0)/SQRT(SUMSQ('Input Screen'!I$7:I$101)))*S$6, 0)</f>
        <v>0</v>
      </c>
      <c r="T66" s="33">
        <f>_xlfn.IFNA((VLOOKUP($M66,'Input Screen'!$C$7:$K$101, (T$8+1), 0)/SQRT(SUMSQ('Input Screen'!J$7:J$101)))*T$6, 0)</f>
        <v>0</v>
      </c>
      <c r="U66" s="33">
        <f>_xlfn.IFNA((VLOOKUP($M66,'Input Screen'!$C$7:$K$101, (U$8+1), 0)/SQRT(SUMSQ('Input Screen'!K$7:K$101)))*U$6, 0)</f>
        <v>0</v>
      </c>
      <c r="V66" s="36">
        <f>IF('Topsis LP Auto'!$M66 = 0, 0, SQRT((N66-MAX(N$10:N$109))^2 + (O66-MAX(O$10:O$109))^2 + (P66-MAX(P$10:P$109))^2 + (Q66-MAX(Q$10:Q$109))^2 + (R66-MAX(R$10:R$109))^2 + (S66-MAX(S$10:S$109))^2 + (T66-MAX(T$10:T$109))^2 +(U66-MAX(U$10:U$109))^2))</f>
        <v>0</v>
      </c>
      <c r="W66" s="33">
        <f>IF('Topsis LP Auto'!$M66=0, 0, SQRT((N66-MIN(N$10:N$109))^2 + (O66-MIN(O$10:O$109))^2 + (P66-MIN(P$10:P$109))^2 + (Q66-MIN(Q$10:Q$109))^2 + (R66-MIN(R$10:R$109))^2 + (S66-MIN(S$10:S$109))^2 + (T66-MIN(T$10:T$109))^2 +(U66-MIN(U$10:U$109))^2))</f>
        <v>0</v>
      </c>
      <c r="X66" s="31" t="e">
        <f>IF('Topsis LP Auto'!$M66 = 0, 0, W66/(V66+W66))</f>
        <v>#DIV/0!</v>
      </c>
    </row>
    <row r="67" spans="1:24" ht="16.5" thickBot="1" x14ac:dyDescent="0.3">
      <c r="A67" s="78" t="str">
        <f>'Topsis LP Auto'!$M67</f>
        <v>YELL</v>
      </c>
      <c r="B67" s="34">
        <v>93980346</v>
      </c>
      <c r="C67" s="34">
        <v>0</v>
      </c>
      <c r="D67" s="34">
        <f>SUM('Topsis LP Auto'!$B67:$C67)</f>
        <v>93980346</v>
      </c>
      <c r="E67" s="34">
        <f>IF('Topsis LP Auto'!$J67 = 0, 0, (B67/J67))</f>
        <v>1</v>
      </c>
      <c r="F67" s="34">
        <f>IF(I67 = 0, 0, ('Topsis LP Auto'!$D67)/I67)</f>
        <v>0.18219999919466268</v>
      </c>
      <c r="G67" s="34" t="e">
        <f t="shared" si="0"/>
        <v>#DIV/0!</v>
      </c>
      <c r="H67" s="34" t="e">
        <f>'Topsis LP Auto'!$D67*K67</f>
        <v>#DIV/0!</v>
      </c>
      <c r="I67" s="34">
        <f>_xlfn.IFNA(VLOOKUP($A67, 'Input Screen'!$C$7:$M$101, 10, FALSE), 0)</f>
        <v>515808707</v>
      </c>
      <c r="J67" s="34">
        <f>_xlfn.IFNA(VLOOKUP($A67, 'Input Screen'!$C$7:$M$101, 11, FALSE), 0)</f>
        <v>93980346</v>
      </c>
      <c r="K67" s="34" t="e">
        <f>VLOOKUP('Topsis LP Auto'!$A67, 'Topsis LP Auto'!$M$10:$X$109, 12, FALSE)</f>
        <v>#DIV/0!</v>
      </c>
      <c r="M67" s="26" t="str">
        <f>'Input Screen'!C64</f>
        <v>YELL</v>
      </c>
      <c r="N67" s="35">
        <f>_xlfn.IFNA((VLOOKUP($M67,'Input Screen'!$C$7:$K$101, (N$8+1), 0)/SQRT(SUMSQ('Input Screen'!D$7:D$101)))*N$6, 0)</f>
        <v>0</v>
      </c>
      <c r="O67" s="35">
        <f>_xlfn.IFNA((VLOOKUP($M67,'Input Screen'!$C$7:$K$101, (O$8+1), 0)/SQRT(SUMSQ('Input Screen'!E$7:E$101)))*O$6, 0)</f>
        <v>0</v>
      </c>
      <c r="P67" s="35">
        <f>_xlfn.IFNA((VLOOKUP($M67,'Input Screen'!$C$7:$K$101, (P$8+1), 0)/SQRT(SUMSQ('Input Screen'!F$7:F$101)))*P$6, 0)</f>
        <v>0</v>
      </c>
      <c r="Q67" s="35">
        <f>_xlfn.IFNA((VLOOKUP($M67,'Input Screen'!$C$7:$K$101, (Q$8+1), 0)/SQRT(SUMSQ('Input Screen'!G$7:G$101)))*Q$6, 0)</f>
        <v>0</v>
      </c>
      <c r="R67" s="35">
        <f>_xlfn.IFNA((VLOOKUP($M67,'Input Screen'!$C$7:$K$101, (R$8+1), 0)/SQRT(SUMSQ('Input Screen'!H$7:H$101)))*R$6, 0)</f>
        <v>0</v>
      </c>
      <c r="S67" s="35">
        <f>_xlfn.IFNA((VLOOKUP($M67,'Input Screen'!$C$7:$K$101, (S$8+1), 0)/SQRT(SUMSQ('Input Screen'!I$7:I$101)))*S$6, 0)</f>
        <v>0</v>
      </c>
      <c r="T67" s="35">
        <f>_xlfn.IFNA((VLOOKUP($M67,'Input Screen'!$C$7:$K$101, (T$8+1), 0)/SQRT(SUMSQ('Input Screen'!J$7:J$101)))*T$6, 0)</f>
        <v>0</v>
      </c>
      <c r="U67" s="35">
        <f>_xlfn.IFNA((VLOOKUP($M67,'Input Screen'!$C$7:$K$101, (U$8+1), 0)/SQRT(SUMSQ('Input Screen'!K$7:K$101)))*U$6, 0)</f>
        <v>0</v>
      </c>
      <c r="V67" s="37">
        <f>IF('Topsis LP Auto'!$M67 = 0, 0, SQRT((N67-MAX(N$10:N$109))^2 + (O67-MAX(O$10:O$109))^2 + (P67-MAX(P$10:P$109))^2 + (Q67-MAX(Q$10:Q$109))^2 + (R67-MAX(R$10:R$109))^2 + (S67-MAX(S$10:S$109))^2 + (T67-MAX(T$10:T$109))^2 +(U67-MAX(U$10:U$109))^2))</f>
        <v>0</v>
      </c>
      <c r="W67" s="35">
        <f>IF('Topsis LP Auto'!$M67=0, 0, SQRT((N67-MIN(N$10:N$109))^2 + (O67-MIN(O$10:O$109))^2 + (P67-MIN(P$10:P$109))^2 + (Q67-MIN(Q$10:Q$109))^2 + (R67-MIN(R$10:R$109))^2 + (S67-MIN(S$10:S$109))^2 + (T67-MIN(T$10:T$109))^2 +(U67-MIN(U$10:U$109))^2))</f>
        <v>0</v>
      </c>
      <c r="X67" s="34" t="e">
        <f>IF('Topsis LP Auto'!$M67 = 0, 0, W67/(V67+W67))</f>
        <v>#DIV/0!</v>
      </c>
    </row>
    <row r="68" spans="1:24" ht="16.5" thickBot="1" x14ac:dyDescent="0.3">
      <c r="A68" s="76" t="str">
        <f>'Topsis LP Auto'!$M68</f>
        <v>YOSE</v>
      </c>
      <c r="B68" s="31">
        <v>0</v>
      </c>
      <c r="C68" s="31">
        <v>0</v>
      </c>
      <c r="D68" s="31">
        <f>SUM('Topsis LP Auto'!$B68:$C68)</f>
        <v>0</v>
      </c>
      <c r="E68" s="31">
        <f>IF('Topsis LP Auto'!$J68 = 0, 0, (B68/J68))</f>
        <v>0</v>
      </c>
      <c r="F68" s="31">
        <f>IF(I68 = 0, 0, ('Topsis LP Auto'!$D68)/I68)</f>
        <v>0</v>
      </c>
      <c r="G68" s="31" t="e">
        <f t="shared" si="0"/>
        <v>#DIV/0!</v>
      </c>
      <c r="H68" s="31" t="e">
        <f>'Topsis LP Auto'!$D68*K68</f>
        <v>#DIV/0!</v>
      </c>
      <c r="I68" s="31">
        <f>_xlfn.IFNA(VLOOKUP($A68, 'Input Screen'!$C$7:$M$101, 10, FALSE), 0)</f>
        <v>582670827</v>
      </c>
      <c r="J68" s="31">
        <f>_xlfn.IFNA(VLOOKUP($A68, 'Input Screen'!$C$7:$M$101, 11, FALSE), 0)</f>
        <v>156388849</v>
      </c>
      <c r="K68" s="31" t="e">
        <f>VLOOKUP('Topsis LP Auto'!$A68, 'Topsis LP Auto'!$M$10:$X$109, 12, FALSE)</f>
        <v>#DIV/0!</v>
      </c>
      <c r="M68" s="32" t="str">
        <f>'Input Screen'!C65</f>
        <v>YOSE</v>
      </c>
      <c r="N68" s="33">
        <f>_xlfn.IFNA((VLOOKUP($M68,'Input Screen'!$C$7:$K$101, (N$8+1), 0)/SQRT(SUMSQ('Input Screen'!D$7:D$101)))*N$6, 0)</f>
        <v>0</v>
      </c>
      <c r="O68" s="33">
        <f>_xlfn.IFNA((VLOOKUP($M68,'Input Screen'!$C$7:$K$101, (O$8+1), 0)/SQRT(SUMSQ('Input Screen'!E$7:E$101)))*O$6, 0)</f>
        <v>0</v>
      </c>
      <c r="P68" s="33">
        <f>_xlfn.IFNA((VLOOKUP($M68,'Input Screen'!$C$7:$K$101, (P$8+1), 0)/SQRT(SUMSQ('Input Screen'!F$7:F$101)))*P$6, 0)</f>
        <v>0</v>
      </c>
      <c r="Q68" s="33">
        <f>_xlfn.IFNA((VLOOKUP($M68,'Input Screen'!$C$7:$K$101, (Q$8+1), 0)/SQRT(SUMSQ('Input Screen'!G$7:G$101)))*Q$6, 0)</f>
        <v>0</v>
      </c>
      <c r="R68" s="33">
        <f>_xlfn.IFNA((VLOOKUP($M68,'Input Screen'!$C$7:$K$101, (R$8+1), 0)/SQRT(SUMSQ('Input Screen'!H$7:H$101)))*R$6, 0)</f>
        <v>0</v>
      </c>
      <c r="S68" s="33">
        <f>_xlfn.IFNA((VLOOKUP($M68,'Input Screen'!$C$7:$K$101, (S$8+1), 0)/SQRT(SUMSQ('Input Screen'!I$7:I$101)))*S$6, 0)</f>
        <v>0</v>
      </c>
      <c r="T68" s="33">
        <f>_xlfn.IFNA((VLOOKUP($M68,'Input Screen'!$C$7:$K$101, (T$8+1), 0)/SQRT(SUMSQ('Input Screen'!J$7:J$101)))*T$6, 0)</f>
        <v>0</v>
      </c>
      <c r="U68" s="33">
        <f>_xlfn.IFNA((VLOOKUP($M68,'Input Screen'!$C$7:$K$101, (U$8+1), 0)/SQRT(SUMSQ('Input Screen'!K$7:K$101)))*U$6, 0)</f>
        <v>0</v>
      </c>
      <c r="V68" s="36">
        <f>IF('Topsis LP Auto'!$M68 = 0, 0, SQRT((N68-MAX(N$10:N$109))^2 + (O68-MAX(O$10:O$109))^2 + (P68-MAX(P$10:P$109))^2 + (Q68-MAX(Q$10:Q$109))^2 + (R68-MAX(R$10:R$109))^2 + (S68-MAX(S$10:S$109))^2 + (T68-MAX(T$10:T$109))^2 +(U68-MAX(U$10:U$109))^2))</f>
        <v>0</v>
      </c>
      <c r="W68" s="33">
        <f>IF('Topsis LP Auto'!$M68=0, 0, SQRT((N68-MIN(N$10:N$109))^2 + (O68-MIN(O$10:O$109))^2 + (P68-MIN(P$10:P$109))^2 + (Q68-MIN(Q$10:Q$109))^2 + (R68-MIN(R$10:R$109))^2 + (S68-MIN(S$10:S$109))^2 + (T68-MIN(T$10:T$109))^2 +(U68-MIN(U$10:U$109))^2))</f>
        <v>0</v>
      </c>
      <c r="X68" s="31" t="e">
        <f>IF('Topsis LP Auto'!$M68 = 0, 0, W68/(V68+W68))</f>
        <v>#DIV/0!</v>
      </c>
    </row>
    <row r="69" spans="1:24" ht="16.5" thickBot="1" x14ac:dyDescent="0.3">
      <c r="A69" s="78" t="str">
        <f>'Topsis LP Auto'!$M69</f>
        <v>ZION</v>
      </c>
      <c r="B69" s="34">
        <v>5954620</v>
      </c>
      <c r="C69" s="34">
        <v>0</v>
      </c>
      <c r="D69" s="34">
        <f>SUM('Topsis LP Auto'!$B69:$C69)</f>
        <v>5954620</v>
      </c>
      <c r="E69" s="34">
        <f>IF('Topsis LP Auto'!$J69 = 0, 0, (B69/J69))</f>
        <v>1</v>
      </c>
      <c r="F69" s="34">
        <f>IF(I69 = 0, 0, ('Topsis LP Auto'!$D69)/I69)</f>
        <v>9.1199990173358905E-2</v>
      </c>
      <c r="G69" s="34" t="e">
        <f t="shared" si="0"/>
        <v>#DIV/0!</v>
      </c>
      <c r="H69" s="34" t="e">
        <f>'Topsis LP Auto'!$D69*K69</f>
        <v>#DIV/0!</v>
      </c>
      <c r="I69" s="34">
        <f>_xlfn.IFNA(VLOOKUP($A69, 'Input Screen'!$C$7:$M$101, 10, FALSE), 0)</f>
        <v>65291892.999999993</v>
      </c>
      <c r="J69" s="34">
        <f>_xlfn.IFNA(VLOOKUP($A69, 'Input Screen'!$C$7:$M$101, 11, FALSE), 0)</f>
        <v>5954620</v>
      </c>
      <c r="K69" s="34" t="e">
        <f>VLOOKUP('Topsis LP Auto'!$A69, 'Topsis LP Auto'!$M$10:$X$109, 12, FALSE)</f>
        <v>#DIV/0!</v>
      </c>
      <c r="M69" s="26" t="str">
        <f>'Input Screen'!C66</f>
        <v>ZION</v>
      </c>
      <c r="N69" s="35">
        <f>_xlfn.IFNA((VLOOKUP($M69,'Input Screen'!$C$7:$K$101, (N$8+1), 0)/SQRT(SUMSQ('Input Screen'!D$7:D$101)))*N$6, 0)</f>
        <v>0</v>
      </c>
      <c r="O69" s="35">
        <f>_xlfn.IFNA((VLOOKUP($M69,'Input Screen'!$C$7:$K$101, (O$8+1), 0)/SQRT(SUMSQ('Input Screen'!E$7:E$101)))*O$6, 0)</f>
        <v>0</v>
      </c>
      <c r="P69" s="35">
        <f>_xlfn.IFNA((VLOOKUP($M69,'Input Screen'!$C$7:$K$101, (P$8+1), 0)/SQRT(SUMSQ('Input Screen'!F$7:F$101)))*P$6, 0)</f>
        <v>0</v>
      </c>
      <c r="Q69" s="35">
        <f>_xlfn.IFNA((VLOOKUP($M69,'Input Screen'!$C$7:$K$101, (Q$8+1), 0)/SQRT(SUMSQ('Input Screen'!G$7:G$101)))*Q$6, 0)</f>
        <v>0</v>
      </c>
      <c r="R69" s="35">
        <f>_xlfn.IFNA((VLOOKUP($M69,'Input Screen'!$C$7:$K$101, (R$8+1), 0)/SQRT(SUMSQ('Input Screen'!H$7:H$101)))*R$6, 0)</f>
        <v>0</v>
      </c>
      <c r="S69" s="35">
        <f>_xlfn.IFNA((VLOOKUP($M69,'Input Screen'!$C$7:$K$101, (S$8+1), 0)/SQRT(SUMSQ('Input Screen'!I$7:I$101)))*S$6, 0)</f>
        <v>0</v>
      </c>
      <c r="T69" s="35">
        <f>_xlfn.IFNA((VLOOKUP($M69,'Input Screen'!$C$7:$K$101, (T$8+1), 0)/SQRT(SUMSQ('Input Screen'!J$7:J$101)))*T$6, 0)</f>
        <v>0</v>
      </c>
      <c r="U69" s="35">
        <f>_xlfn.IFNA((VLOOKUP($M69,'Input Screen'!$C$7:$K$101, (U$8+1), 0)/SQRT(SUMSQ('Input Screen'!K$7:K$101)))*U$6, 0)</f>
        <v>0</v>
      </c>
      <c r="V69" s="37">
        <f>IF('Topsis LP Auto'!$M69 = 0, 0, SQRT((N69-MAX(N$10:N$109))^2 + (O69-MAX(O$10:O$109))^2 + (P69-MAX(P$10:P$109))^2 + (Q69-MAX(Q$10:Q$109))^2 + (R69-MAX(R$10:R$109))^2 + (S69-MAX(S$10:S$109))^2 + (T69-MAX(T$10:T$109))^2 +(U69-MAX(U$10:U$109))^2))</f>
        <v>0</v>
      </c>
      <c r="W69" s="35">
        <f>IF('Topsis LP Auto'!$M69=0, 0, SQRT((N69-MIN(N$10:N$109))^2 + (O69-MIN(O$10:O$109))^2 + (P69-MIN(P$10:P$109))^2 + (Q69-MIN(Q$10:Q$109))^2 + (R69-MIN(R$10:R$109))^2 + (S69-MIN(S$10:S$109))^2 + (T69-MIN(T$10:T$109))^2 +(U69-MIN(U$10:U$109))^2))</f>
        <v>0</v>
      </c>
      <c r="X69" s="34" t="e">
        <f>IF('Topsis LP Auto'!$M69 = 0, 0, W69/(V69+W69))</f>
        <v>#DIV/0!</v>
      </c>
    </row>
    <row r="70" spans="1:24" ht="16.5" thickBot="1" x14ac:dyDescent="0.3">
      <c r="A70" s="76">
        <f>'Topsis LP Auto'!$M70</f>
        <v>0</v>
      </c>
      <c r="B70" s="31">
        <v>0</v>
      </c>
      <c r="C70" s="31">
        <v>0</v>
      </c>
      <c r="D70" s="68">
        <f>SUM('Topsis LP Auto'!$B70:$C70)</f>
        <v>0</v>
      </c>
      <c r="E70" s="31">
        <f>IF('Topsis LP Auto'!$J70 = 0, 0, (B70/J70))</f>
        <v>0</v>
      </c>
      <c r="F70" s="68">
        <f>IF(I70 = 0, 0, ('Topsis LP Auto'!$D70)/I70)</f>
        <v>0</v>
      </c>
      <c r="G70" s="68">
        <f t="shared" ref="G70:G109" si="1">B70*K70</f>
        <v>0</v>
      </c>
      <c r="H70" s="68">
        <f>'Topsis LP Auto'!$D70*K70</f>
        <v>0</v>
      </c>
      <c r="I70" s="31">
        <f>_xlfn.IFNA(VLOOKUP($A70, 'Input Screen'!$C$7:$M$101, 10, FALSE), 0)</f>
        <v>0</v>
      </c>
      <c r="J70" s="31">
        <f>_xlfn.IFNA(VLOOKUP($A70, 'Input Screen'!$C$7:$M$101, 11, FALSE), 0)</f>
        <v>0</v>
      </c>
      <c r="K70" s="31">
        <f>VLOOKUP('Topsis LP Auto'!$A70, 'Topsis LP Auto'!$M$10:$X$109, 12, FALSE)</f>
        <v>0</v>
      </c>
      <c r="M70" s="32">
        <f>'Input Screen'!C67</f>
        <v>0</v>
      </c>
      <c r="N70" s="33">
        <f>_xlfn.IFNA((VLOOKUP($M70,'Input Screen'!$C$7:$K$101, (N$8+1), 0)/SQRT(SUMSQ('Input Screen'!D$7:D$101)))*N$6, 0)</f>
        <v>0</v>
      </c>
      <c r="O70" s="33">
        <f>_xlfn.IFNA((VLOOKUP($M70,'Input Screen'!$C$7:$K$101, (O$8+1), 0)/SQRT(SUMSQ('Input Screen'!E$7:E$101)))*O$6, 0)</f>
        <v>0</v>
      </c>
      <c r="P70" s="33">
        <f>_xlfn.IFNA((VLOOKUP($M70,'Input Screen'!$C$7:$K$101, (P$8+1), 0)/SQRT(SUMSQ('Input Screen'!F$7:F$101)))*P$6, 0)</f>
        <v>0</v>
      </c>
      <c r="Q70" s="33">
        <f>_xlfn.IFNA((VLOOKUP($M70,'Input Screen'!$C$7:$K$101, (Q$8+1), 0)/SQRT(SUMSQ('Input Screen'!G$7:G$101)))*Q$6, 0)</f>
        <v>0</v>
      </c>
      <c r="R70" s="33">
        <f>_xlfn.IFNA((VLOOKUP($M70,'Input Screen'!$C$7:$K$101, (R$8+1), 0)/SQRT(SUMSQ('Input Screen'!H$7:H$101)))*R$6, 0)</f>
        <v>0</v>
      </c>
      <c r="S70" s="33">
        <f>_xlfn.IFNA((VLOOKUP($M70,'Input Screen'!$C$7:$K$101, (S$8+1), 0)/SQRT(SUMSQ('Input Screen'!I$7:I$101)))*S$6, 0)</f>
        <v>0</v>
      </c>
      <c r="T70" s="33">
        <f>_xlfn.IFNA((VLOOKUP($M70,'Input Screen'!$C$7:$K$101, (T$8+1), 0)/SQRT(SUMSQ('Input Screen'!J$7:J$101)))*T$6, 0)</f>
        <v>0</v>
      </c>
      <c r="U70" s="33">
        <f>_xlfn.IFNA((VLOOKUP($M70,'Input Screen'!$C$7:$K$101, (U$8+1), 0)/SQRT(SUMSQ('Input Screen'!K$7:K$101)))*U$6, 0)</f>
        <v>0</v>
      </c>
      <c r="V70" s="36">
        <f>IF('Topsis LP Auto'!$M70 = 0, 0, SQRT((N70-MAX(N$10:N$109))^2 + (O70-MAX(O$10:O$109))^2 + (P70-MAX(P$10:P$109))^2 + (Q70-MAX(Q$10:Q$109))^2 + (R70-MAX(R$10:R$109))^2 + (S70-MAX(S$10:S$109))^2 + (T70-MAX(T$10:T$109))^2 +(U70-MAX(U$10:U$109))^2))</f>
        <v>0</v>
      </c>
      <c r="W70" s="33">
        <f>IF('Topsis LP Auto'!$M70=0, 0, SQRT((N70-MIN(N$10:N$109))^2 + (O70-MIN(O$10:O$109))^2 + (P70-MIN(P$10:P$109))^2 + (Q70-MIN(Q$10:Q$109))^2 + (R70-MIN(R$10:R$109))^2 + (S70-MIN(S$10:S$109))^2 + (T70-MIN(T$10:T$109))^2 +(U70-MIN(U$10:U$109))^2))</f>
        <v>0</v>
      </c>
      <c r="X70" s="31">
        <f>IF('Topsis LP Auto'!$M70 = 0, 0, W70/(V70+W70))</f>
        <v>0</v>
      </c>
    </row>
    <row r="71" spans="1:24" ht="16.5" thickBot="1" x14ac:dyDescent="0.3">
      <c r="A71" s="78">
        <f>'Topsis LP Auto'!$M71</f>
        <v>0</v>
      </c>
      <c r="B71" s="34">
        <v>0</v>
      </c>
      <c r="C71" s="34">
        <v>0</v>
      </c>
      <c r="D71" s="67">
        <f>SUM('Topsis LP Auto'!$B71:$C71)</f>
        <v>0</v>
      </c>
      <c r="E71" s="34">
        <f>IF('Topsis LP Auto'!$J71 = 0, 0, (B71/J71))</f>
        <v>0</v>
      </c>
      <c r="F71" s="67">
        <f>IF(I71 = 0, 0, ('Topsis LP Auto'!$D71)/I71)</f>
        <v>0</v>
      </c>
      <c r="G71" s="67">
        <f t="shared" si="1"/>
        <v>0</v>
      </c>
      <c r="H71" s="67">
        <f>'Topsis LP Auto'!$D71*K71</f>
        <v>0</v>
      </c>
      <c r="I71" s="34">
        <f>_xlfn.IFNA(VLOOKUP($A71, 'Input Screen'!$C$7:$M$101, 10, FALSE), 0)</f>
        <v>0</v>
      </c>
      <c r="J71" s="34">
        <f>_xlfn.IFNA(VLOOKUP($A71, 'Input Screen'!$C$7:$M$101, 11, FALSE), 0)</f>
        <v>0</v>
      </c>
      <c r="K71" s="34">
        <f>VLOOKUP('Topsis LP Auto'!$A71, 'Topsis LP Auto'!$M$10:$X$109, 12, FALSE)</f>
        <v>0</v>
      </c>
      <c r="M71" s="26">
        <f>'Input Screen'!C68</f>
        <v>0</v>
      </c>
      <c r="N71" s="35">
        <f>_xlfn.IFNA((VLOOKUP($M71,'Input Screen'!$C$7:$K$101, (N$8+1), 0)/SQRT(SUMSQ('Input Screen'!D$7:D$101)))*N$6, 0)</f>
        <v>0</v>
      </c>
      <c r="O71" s="35">
        <f>_xlfn.IFNA((VLOOKUP($M71,'Input Screen'!$C$7:$K$101, (O$8+1), 0)/SQRT(SUMSQ('Input Screen'!E$7:E$101)))*O$6, 0)</f>
        <v>0</v>
      </c>
      <c r="P71" s="35">
        <f>_xlfn.IFNA((VLOOKUP($M71,'Input Screen'!$C$7:$K$101, (P$8+1), 0)/SQRT(SUMSQ('Input Screen'!F$7:F$101)))*P$6, 0)</f>
        <v>0</v>
      </c>
      <c r="Q71" s="35">
        <f>_xlfn.IFNA((VLOOKUP($M71,'Input Screen'!$C$7:$K$101, (Q$8+1), 0)/SQRT(SUMSQ('Input Screen'!G$7:G$101)))*Q$6, 0)</f>
        <v>0</v>
      </c>
      <c r="R71" s="35">
        <f>_xlfn.IFNA((VLOOKUP($M71,'Input Screen'!$C$7:$K$101, (R$8+1), 0)/SQRT(SUMSQ('Input Screen'!H$7:H$101)))*R$6, 0)</f>
        <v>0</v>
      </c>
      <c r="S71" s="35">
        <f>_xlfn.IFNA((VLOOKUP($M71,'Input Screen'!$C$7:$K$101, (S$8+1), 0)/SQRT(SUMSQ('Input Screen'!I$7:I$101)))*S$6, 0)</f>
        <v>0</v>
      </c>
      <c r="T71" s="35">
        <f>_xlfn.IFNA((VLOOKUP($M71,'Input Screen'!$C$7:$K$101, (T$8+1), 0)/SQRT(SUMSQ('Input Screen'!J$7:J$101)))*T$6, 0)</f>
        <v>0</v>
      </c>
      <c r="U71" s="35">
        <f>_xlfn.IFNA((VLOOKUP($M71,'Input Screen'!$C$7:$K$101, (U$8+1), 0)/SQRT(SUMSQ('Input Screen'!K$7:K$101)))*U$6, 0)</f>
        <v>0</v>
      </c>
      <c r="V71" s="37">
        <f>IF('Topsis LP Auto'!$M71 = 0, 0, SQRT((N71-MAX(N$10:N$109))^2 + (O71-MAX(O$10:O$109))^2 + (P71-MAX(P$10:P$109))^2 + (Q71-MAX(Q$10:Q$109))^2 + (R71-MAX(R$10:R$109))^2 + (S71-MAX(S$10:S$109))^2 + (T71-MAX(T$10:T$109))^2 +(U71-MAX(U$10:U$109))^2))</f>
        <v>0</v>
      </c>
      <c r="W71" s="35">
        <f>IF('Topsis LP Auto'!$M71=0, 0, SQRT((N71-MIN(N$10:N$109))^2 + (O71-MIN(O$10:O$109))^2 + (P71-MIN(P$10:P$109))^2 + (Q71-MIN(Q$10:Q$109))^2 + (R71-MIN(R$10:R$109))^2 + (S71-MIN(S$10:S$109))^2 + (T71-MIN(T$10:T$109))^2 +(U71-MIN(U$10:U$109))^2))</f>
        <v>0</v>
      </c>
      <c r="X71" s="34">
        <f>IF('Topsis LP Auto'!$M71 = 0, 0, W71/(V71+W71))</f>
        <v>0</v>
      </c>
    </row>
    <row r="72" spans="1:24" ht="16.5" thickBot="1" x14ac:dyDescent="0.3">
      <c r="A72" s="76">
        <f>'Topsis LP Auto'!$M72</f>
        <v>0</v>
      </c>
      <c r="B72" s="31">
        <v>0</v>
      </c>
      <c r="C72" s="31">
        <v>0</v>
      </c>
      <c r="D72" s="68">
        <f>SUM('Topsis LP Auto'!$B72:$C72)</f>
        <v>0</v>
      </c>
      <c r="E72" s="31">
        <f>IF('Topsis LP Auto'!$J72 = 0, 0, (B72/J72))</f>
        <v>0</v>
      </c>
      <c r="F72" s="68">
        <f>IF(I72 = 0, 0, ('Topsis LP Auto'!$D72)/I72)</f>
        <v>0</v>
      </c>
      <c r="G72" s="68">
        <f t="shared" si="1"/>
        <v>0</v>
      </c>
      <c r="H72" s="68">
        <f>'Topsis LP Auto'!$D72*K72</f>
        <v>0</v>
      </c>
      <c r="I72" s="31">
        <f>_xlfn.IFNA(VLOOKUP($A72, 'Input Screen'!$C$7:$M$101, 10, FALSE), 0)</f>
        <v>0</v>
      </c>
      <c r="J72" s="31">
        <f>_xlfn.IFNA(VLOOKUP($A72, 'Input Screen'!$C$7:$M$101, 11, FALSE), 0)</f>
        <v>0</v>
      </c>
      <c r="K72" s="31">
        <f>VLOOKUP('Topsis LP Auto'!$A72, 'Topsis LP Auto'!$M$10:$X$109, 12, FALSE)</f>
        <v>0</v>
      </c>
      <c r="M72" s="32">
        <f>'Input Screen'!C69</f>
        <v>0</v>
      </c>
      <c r="N72" s="33">
        <f>_xlfn.IFNA((VLOOKUP($M72,'Input Screen'!$C$7:$K$101, (N$8+1), 0)/SQRT(SUMSQ('Input Screen'!D$7:D$101)))*N$6, 0)</f>
        <v>0</v>
      </c>
      <c r="O72" s="33">
        <f>_xlfn.IFNA((VLOOKUP($M72,'Input Screen'!$C$7:$K$101, (O$8+1), 0)/SQRT(SUMSQ('Input Screen'!E$7:E$101)))*O$6, 0)</f>
        <v>0</v>
      </c>
      <c r="P72" s="33">
        <f>_xlfn.IFNA((VLOOKUP($M72,'Input Screen'!$C$7:$K$101, (P$8+1), 0)/SQRT(SUMSQ('Input Screen'!F$7:F$101)))*P$6, 0)</f>
        <v>0</v>
      </c>
      <c r="Q72" s="33">
        <f>_xlfn.IFNA((VLOOKUP($M72,'Input Screen'!$C$7:$K$101, (Q$8+1), 0)/SQRT(SUMSQ('Input Screen'!G$7:G$101)))*Q$6, 0)</f>
        <v>0</v>
      </c>
      <c r="R72" s="33">
        <f>_xlfn.IFNA((VLOOKUP($M72,'Input Screen'!$C$7:$K$101, (R$8+1), 0)/SQRT(SUMSQ('Input Screen'!H$7:H$101)))*R$6, 0)</f>
        <v>0</v>
      </c>
      <c r="S72" s="33">
        <f>_xlfn.IFNA((VLOOKUP($M72,'Input Screen'!$C$7:$K$101, (S$8+1), 0)/SQRT(SUMSQ('Input Screen'!I$7:I$101)))*S$6, 0)</f>
        <v>0</v>
      </c>
      <c r="T72" s="33">
        <f>_xlfn.IFNA((VLOOKUP($M72,'Input Screen'!$C$7:$K$101, (T$8+1), 0)/SQRT(SUMSQ('Input Screen'!J$7:J$101)))*T$6, 0)</f>
        <v>0</v>
      </c>
      <c r="U72" s="33">
        <f>_xlfn.IFNA((VLOOKUP($M72,'Input Screen'!$C$7:$K$101, (U$8+1), 0)/SQRT(SUMSQ('Input Screen'!K$7:K$101)))*U$6, 0)</f>
        <v>0</v>
      </c>
      <c r="V72" s="36">
        <f>IF('Topsis LP Auto'!$M72 = 0, 0, SQRT((N72-MAX(N$10:N$109))^2 + (O72-MAX(O$10:O$109))^2 + (P72-MAX(P$10:P$109))^2 + (Q72-MAX(Q$10:Q$109))^2 + (R72-MAX(R$10:R$109))^2 + (S72-MAX(S$10:S$109))^2 + (T72-MAX(T$10:T$109))^2 +(U72-MAX(U$10:U$109))^2))</f>
        <v>0</v>
      </c>
      <c r="W72" s="33">
        <f>IF('Topsis LP Auto'!$M72=0, 0, SQRT((N72-MIN(N$10:N$109))^2 + (O72-MIN(O$10:O$109))^2 + (P72-MIN(P$10:P$109))^2 + (Q72-MIN(Q$10:Q$109))^2 + (R72-MIN(R$10:R$109))^2 + (S72-MIN(S$10:S$109))^2 + (T72-MIN(T$10:T$109))^2 +(U72-MIN(U$10:U$109))^2))</f>
        <v>0</v>
      </c>
      <c r="X72" s="31">
        <f>IF('Topsis LP Auto'!$M72 = 0, 0, W72/(V72+W72))</f>
        <v>0</v>
      </c>
    </row>
    <row r="73" spans="1:24" ht="16.5" thickBot="1" x14ac:dyDescent="0.3">
      <c r="A73" s="78">
        <f>'Topsis LP Auto'!$M73</f>
        <v>0</v>
      </c>
      <c r="B73" s="34">
        <v>0</v>
      </c>
      <c r="C73" s="34">
        <v>0</v>
      </c>
      <c r="D73" s="67">
        <f>SUM('Topsis LP Auto'!$B73:$C73)</f>
        <v>0</v>
      </c>
      <c r="E73" s="34">
        <f>IF('Topsis LP Auto'!$J73 = 0, 0, (B73/J73))</f>
        <v>0</v>
      </c>
      <c r="F73" s="67">
        <f>IF(I73 = 0, 0, ('Topsis LP Auto'!$D73)/I73)</f>
        <v>0</v>
      </c>
      <c r="G73" s="67">
        <f t="shared" si="1"/>
        <v>0</v>
      </c>
      <c r="H73" s="67">
        <f>'Topsis LP Auto'!$D73*K73</f>
        <v>0</v>
      </c>
      <c r="I73" s="34">
        <f>_xlfn.IFNA(VLOOKUP($A73, 'Input Screen'!$C$7:$M$101, 10, FALSE), 0)</f>
        <v>0</v>
      </c>
      <c r="J73" s="34">
        <f>_xlfn.IFNA(VLOOKUP($A73, 'Input Screen'!$C$7:$M$101, 11, FALSE), 0)</f>
        <v>0</v>
      </c>
      <c r="K73" s="34">
        <f>VLOOKUP('Topsis LP Auto'!$A73, 'Topsis LP Auto'!$M$10:$X$109, 12, FALSE)</f>
        <v>0</v>
      </c>
      <c r="M73" s="26">
        <f>'Input Screen'!C70</f>
        <v>0</v>
      </c>
      <c r="N73" s="35">
        <f>_xlfn.IFNA((VLOOKUP($M73,'Input Screen'!$C$7:$K$101, (N$8+1), 0)/SQRT(SUMSQ('Input Screen'!D$7:D$101)))*N$6, 0)</f>
        <v>0</v>
      </c>
      <c r="O73" s="35">
        <f>_xlfn.IFNA((VLOOKUP($M73,'Input Screen'!$C$7:$K$101, (O$8+1), 0)/SQRT(SUMSQ('Input Screen'!E$7:E$101)))*O$6, 0)</f>
        <v>0</v>
      </c>
      <c r="P73" s="35">
        <f>_xlfn.IFNA((VLOOKUP($M73,'Input Screen'!$C$7:$K$101, (P$8+1), 0)/SQRT(SUMSQ('Input Screen'!F$7:F$101)))*P$6, 0)</f>
        <v>0</v>
      </c>
      <c r="Q73" s="35">
        <f>_xlfn.IFNA((VLOOKUP($M73,'Input Screen'!$C$7:$K$101, (Q$8+1), 0)/SQRT(SUMSQ('Input Screen'!G$7:G$101)))*Q$6, 0)</f>
        <v>0</v>
      </c>
      <c r="R73" s="35">
        <f>_xlfn.IFNA((VLOOKUP($M73,'Input Screen'!$C$7:$K$101, (R$8+1), 0)/SQRT(SUMSQ('Input Screen'!H$7:H$101)))*R$6, 0)</f>
        <v>0</v>
      </c>
      <c r="S73" s="35">
        <f>_xlfn.IFNA((VLOOKUP($M73,'Input Screen'!$C$7:$K$101, (S$8+1), 0)/SQRT(SUMSQ('Input Screen'!I$7:I$101)))*S$6, 0)</f>
        <v>0</v>
      </c>
      <c r="T73" s="35">
        <f>_xlfn.IFNA((VLOOKUP($M73,'Input Screen'!$C$7:$K$101, (T$8+1), 0)/SQRT(SUMSQ('Input Screen'!J$7:J$101)))*T$6, 0)</f>
        <v>0</v>
      </c>
      <c r="U73" s="35">
        <f>_xlfn.IFNA((VLOOKUP($M73,'Input Screen'!$C$7:$K$101, (U$8+1), 0)/SQRT(SUMSQ('Input Screen'!K$7:K$101)))*U$6, 0)</f>
        <v>0</v>
      </c>
      <c r="V73" s="37">
        <f>IF('Topsis LP Auto'!$M73 = 0, 0, SQRT((N73-MAX(N$10:N$109))^2 + (O73-MAX(O$10:O$109))^2 + (P73-MAX(P$10:P$109))^2 + (Q73-MAX(Q$10:Q$109))^2 + (R73-MAX(R$10:R$109))^2 + (S73-MAX(S$10:S$109))^2 + (T73-MAX(T$10:T$109))^2 +(U73-MAX(U$10:U$109))^2))</f>
        <v>0</v>
      </c>
      <c r="W73" s="35">
        <f>IF('Topsis LP Auto'!$M73=0, 0, SQRT((N73-MIN(N$10:N$109))^2 + (O73-MIN(O$10:O$109))^2 + (P73-MIN(P$10:P$109))^2 + (Q73-MIN(Q$10:Q$109))^2 + (R73-MIN(R$10:R$109))^2 + (S73-MIN(S$10:S$109))^2 + (T73-MIN(T$10:T$109))^2 +(U73-MIN(U$10:U$109))^2))</f>
        <v>0</v>
      </c>
      <c r="X73" s="34">
        <f>IF('Topsis LP Auto'!$M73 = 0, 0, W73/(V73+W73))</f>
        <v>0</v>
      </c>
    </row>
    <row r="74" spans="1:24" ht="16.5" thickBot="1" x14ac:dyDescent="0.3">
      <c r="A74" s="76">
        <f>'Topsis LP Auto'!$M74</f>
        <v>0</v>
      </c>
      <c r="B74" s="31">
        <v>0</v>
      </c>
      <c r="C74" s="31">
        <v>0</v>
      </c>
      <c r="D74" s="68">
        <f>SUM('Topsis LP Auto'!$B74:$C74)</f>
        <v>0</v>
      </c>
      <c r="E74" s="31">
        <f>IF('Topsis LP Auto'!$J74 = 0, 0, (B74/J74))</f>
        <v>0</v>
      </c>
      <c r="F74" s="68">
        <f>IF(I74 = 0, 0, ('Topsis LP Auto'!$D74)/I74)</f>
        <v>0</v>
      </c>
      <c r="G74" s="68">
        <f t="shared" si="1"/>
        <v>0</v>
      </c>
      <c r="H74" s="68">
        <f>'Topsis LP Auto'!$D74*K74</f>
        <v>0</v>
      </c>
      <c r="I74" s="31">
        <f>_xlfn.IFNA(VLOOKUP($A74, 'Input Screen'!$C$7:$M$101, 10, FALSE), 0)</f>
        <v>0</v>
      </c>
      <c r="J74" s="31">
        <f>_xlfn.IFNA(VLOOKUP($A74, 'Input Screen'!$C$7:$M$101, 11, FALSE), 0)</f>
        <v>0</v>
      </c>
      <c r="K74" s="31">
        <f>VLOOKUP('Topsis LP Auto'!$A74, 'Topsis LP Auto'!$M$10:$X$109, 12, FALSE)</f>
        <v>0</v>
      </c>
      <c r="M74" s="32">
        <f>'Input Screen'!C71</f>
        <v>0</v>
      </c>
      <c r="N74" s="33">
        <f>_xlfn.IFNA((VLOOKUP($M74,'Input Screen'!$C$7:$K$101, (N$8+1), 0)/SQRT(SUMSQ('Input Screen'!D$7:D$101)))*N$6, 0)</f>
        <v>0</v>
      </c>
      <c r="O74" s="33">
        <f>_xlfn.IFNA((VLOOKUP($M74,'Input Screen'!$C$7:$K$101, (O$8+1), 0)/SQRT(SUMSQ('Input Screen'!E$7:E$101)))*O$6, 0)</f>
        <v>0</v>
      </c>
      <c r="P74" s="33">
        <f>_xlfn.IFNA((VLOOKUP($M74,'Input Screen'!$C$7:$K$101, (P$8+1), 0)/SQRT(SUMSQ('Input Screen'!F$7:F$101)))*P$6, 0)</f>
        <v>0</v>
      </c>
      <c r="Q74" s="33">
        <f>_xlfn.IFNA((VLOOKUP($M74,'Input Screen'!$C$7:$K$101, (Q$8+1), 0)/SQRT(SUMSQ('Input Screen'!G$7:G$101)))*Q$6, 0)</f>
        <v>0</v>
      </c>
      <c r="R74" s="33">
        <f>_xlfn.IFNA((VLOOKUP($M74,'Input Screen'!$C$7:$K$101, (R$8+1), 0)/SQRT(SUMSQ('Input Screen'!H$7:H$101)))*R$6, 0)</f>
        <v>0</v>
      </c>
      <c r="S74" s="33">
        <f>_xlfn.IFNA((VLOOKUP($M74,'Input Screen'!$C$7:$K$101, (S$8+1), 0)/SQRT(SUMSQ('Input Screen'!I$7:I$101)))*S$6, 0)</f>
        <v>0</v>
      </c>
      <c r="T74" s="33">
        <f>_xlfn.IFNA((VLOOKUP($M74,'Input Screen'!$C$7:$K$101, (T$8+1), 0)/SQRT(SUMSQ('Input Screen'!J$7:J$101)))*T$6, 0)</f>
        <v>0</v>
      </c>
      <c r="U74" s="33">
        <f>_xlfn.IFNA((VLOOKUP($M74,'Input Screen'!$C$7:$K$101, (U$8+1), 0)/SQRT(SUMSQ('Input Screen'!K$7:K$101)))*U$6, 0)</f>
        <v>0</v>
      </c>
      <c r="V74" s="36">
        <f>IF('Topsis LP Auto'!$M74 = 0, 0, SQRT((N74-MAX(N$10:N$109))^2 + (O74-MAX(O$10:O$109))^2 + (P74-MAX(P$10:P$109))^2 + (Q74-MAX(Q$10:Q$109))^2 + (R74-MAX(R$10:R$109))^2 + (S74-MAX(S$10:S$109))^2 + (T74-MAX(T$10:T$109))^2 +(U74-MAX(U$10:U$109))^2))</f>
        <v>0</v>
      </c>
      <c r="W74" s="33">
        <f>IF('Topsis LP Auto'!$M74=0, 0, SQRT((N74-MIN(N$10:N$109))^2 + (O74-MIN(O$10:O$109))^2 + (P74-MIN(P$10:P$109))^2 + (Q74-MIN(Q$10:Q$109))^2 + (R74-MIN(R$10:R$109))^2 + (S74-MIN(S$10:S$109))^2 + (T74-MIN(T$10:T$109))^2 +(U74-MIN(U$10:U$109))^2))</f>
        <v>0</v>
      </c>
      <c r="X74" s="31">
        <f>IF('Topsis LP Auto'!$M74 = 0, 0, W74/(V74+W74))</f>
        <v>0</v>
      </c>
    </row>
    <row r="75" spans="1:24" ht="16.5" thickBot="1" x14ac:dyDescent="0.3">
      <c r="A75" s="78">
        <f>'Topsis LP Auto'!$M75</f>
        <v>0</v>
      </c>
      <c r="B75" s="34">
        <v>0</v>
      </c>
      <c r="C75" s="34">
        <v>0</v>
      </c>
      <c r="D75" s="67">
        <f>SUM('Topsis LP Auto'!$B75:$C75)</f>
        <v>0</v>
      </c>
      <c r="E75" s="34">
        <f>IF('Topsis LP Auto'!$J75 = 0, 0, (B75/J75))</f>
        <v>0</v>
      </c>
      <c r="F75" s="67">
        <f>IF(I75 = 0, 0, ('Topsis LP Auto'!$D75)/I75)</f>
        <v>0</v>
      </c>
      <c r="G75" s="67">
        <f t="shared" si="1"/>
        <v>0</v>
      </c>
      <c r="H75" s="67">
        <f>'Topsis LP Auto'!$D75*K75</f>
        <v>0</v>
      </c>
      <c r="I75" s="34">
        <f>_xlfn.IFNA(VLOOKUP($A75, 'Input Screen'!$C$7:$M$101, 10, FALSE), 0)</f>
        <v>0</v>
      </c>
      <c r="J75" s="34">
        <f>_xlfn.IFNA(VLOOKUP($A75, 'Input Screen'!$C$7:$M$101, 11, FALSE), 0)</f>
        <v>0</v>
      </c>
      <c r="K75" s="34">
        <f>VLOOKUP('Topsis LP Auto'!$A75, 'Topsis LP Auto'!$M$10:$X$109, 12, FALSE)</f>
        <v>0</v>
      </c>
      <c r="M75" s="26">
        <f>'Input Screen'!C72</f>
        <v>0</v>
      </c>
      <c r="N75" s="35">
        <f>_xlfn.IFNA((VLOOKUP($M75,'Input Screen'!$C$7:$K$101, (N$8+1), 0)/SQRT(SUMSQ('Input Screen'!D$7:D$101)))*N$6, 0)</f>
        <v>0</v>
      </c>
      <c r="O75" s="35">
        <f>_xlfn.IFNA((VLOOKUP($M75,'Input Screen'!$C$7:$K$101, (O$8+1), 0)/SQRT(SUMSQ('Input Screen'!E$7:E$101)))*O$6, 0)</f>
        <v>0</v>
      </c>
      <c r="P75" s="35">
        <f>_xlfn.IFNA((VLOOKUP($M75,'Input Screen'!$C$7:$K$101, (P$8+1), 0)/SQRT(SUMSQ('Input Screen'!F$7:F$101)))*P$6, 0)</f>
        <v>0</v>
      </c>
      <c r="Q75" s="35">
        <f>_xlfn.IFNA((VLOOKUP($M75,'Input Screen'!$C$7:$K$101, (Q$8+1), 0)/SQRT(SUMSQ('Input Screen'!G$7:G$101)))*Q$6, 0)</f>
        <v>0</v>
      </c>
      <c r="R75" s="35">
        <f>_xlfn.IFNA((VLOOKUP($M75,'Input Screen'!$C$7:$K$101, (R$8+1), 0)/SQRT(SUMSQ('Input Screen'!H$7:H$101)))*R$6, 0)</f>
        <v>0</v>
      </c>
      <c r="S75" s="35">
        <f>_xlfn.IFNA((VLOOKUP($M75,'Input Screen'!$C$7:$K$101, (S$8+1), 0)/SQRT(SUMSQ('Input Screen'!I$7:I$101)))*S$6, 0)</f>
        <v>0</v>
      </c>
      <c r="T75" s="35">
        <f>_xlfn.IFNA((VLOOKUP($M75,'Input Screen'!$C$7:$K$101, (T$8+1), 0)/SQRT(SUMSQ('Input Screen'!J$7:J$101)))*T$6, 0)</f>
        <v>0</v>
      </c>
      <c r="U75" s="35">
        <f>_xlfn.IFNA((VLOOKUP($M75,'Input Screen'!$C$7:$K$101, (U$8+1), 0)/SQRT(SUMSQ('Input Screen'!K$7:K$101)))*U$6, 0)</f>
        <v>0</v>
      </c>
      <c r="V75" s="37">
        <f>IF('Topsis LP Auto'!$M75 = 0, 0, SQRT((N75-MAX(N$10:N$109))^2 + (O75-MAX(O$10:O$109))^2 + (P75-MAX(P$10:P$109))^2 + (Q75-MAX(Q$10:Q$109))^2 + (R75-MAX(R$10:R$109))^2 + (S75-MAX(S$10:S$109))^2 + (T75-MAX(T$10:T$109))^2 +(U75-MAX(U$10:U$109))^2))</f>
        <v>0</v>
      </c>
      <c r="W75" s="35">
        <f>IF('Topsis LP Auto'!$M75=0, 0, SQRT((N75-MIN(N$10:N$109))^2 + (O75-MIN(O$10:O$109))^2 + (P75-MIN(P$10:P$109))^2 + (Q75-MIN(Q$10:Q$109))^2 + (R75-MIN(R$10:R$109))^2 + (S75-MIN(S$10:S$109))^2 + (T75-MIN(T$10:T$109))^2 +(U75-MIN(U$10:U$109))^2))</f>
        <v>0</v>
      </c>
      <c r="X75" s="34">
        <f>IF('Topsis LP Auto'!$M75 = 0, 0, W75/(V75+W75))</f>
        <v>0</v>
      </c>
    </row>
    <row r="76" spans="1:24" ht="16.5" thickBot="1" x14ac:dyDescent="0.3">
      <c r="A76" s="76">
        <f>'Topsis LP Auto'!$M76</f>
        <v>0</v>
      </c>
      <c r="B76" s="31">
        <v>0</v>
      </c>
      <c r="C76" s="31">
        <v>0</v>
      </c>
      <c r="D76" s="68">
        <f>SUM('Topsis LP Auto'!$B76:$C76)</f>
        <v>0</v>
      </c>
      <c r="E76" s="31">
        <f>IF('Topsis LP Auto'!$J76 = 0, 0, (B76/J76))</f>
        <v>0</v>
      </c>
      <c r="F76" s="68">
        <f>IF(I76 = 0, 0, ('Topsis LP Auto'!$D76)/I76)</f>
        <v>0</v>
      </c>
      <c r="G76" s="68">
        <f t="shared" si="1"/>
        <v>0</v>
      </c>
      <c r="H76" s="68">
        <f>'Topsis LP Auto'!$D76*K76</f>
        <v>0</v>
      </c>
      <c r="I76" s="31">
        <f>_xlfn.IFNA(VLOOKUP($A76, 'Input Screen'!$C$7:$M$101, 10, FALSE), 0)</f>
        <v>0</v>
      </c>
      <c r="J76" s="31">
        <f>_xlfn.IFNA(VLOOKUP($A76, 'Input Screen'!$C$7:$M$101, 11, FALSE), 0)</f>
        <v>0</v>
      </c>
      <c r="K76" s="31">
        <f>VLOOKUP('Topsis LP Auto'!$A76, 'Topsis LP Auto'!$M$10:$X$109, 12, FALSE)</f>
        <v>0</v>
      </c>
      <c r="M76" s="32">
        <f>'Input Screen'!C73</f>
        <v>0</v>
      </c>
      <c r="N76" s="33">
        <f>_xlfn.IFNA((VLOOKUP($M76,'Input Screen'!$C$7:$K$101, (N$8+1), 0)/SQRT(SUMSQ('Input Screen'!D$7:D$101)))*N$6, 0)</f>
        <v>0</v>
      </c>
      <c r="O76" s="33">
        <f>_xlfn.IFNA((VLOOKUP($M76,'Input Screen'!$C$7:$K$101, (O$8+1), 0)/SQRT(SUMSQ('Input Screen'!E$7:E$101)))*O$6, 0)</f>
        <v>0</v>
      </c>
      <c r="P76" s="33">
        <f>_xlfn.IFNA((VLOOKUP($M76,'Input Screen'!$C$7:$K$101, (P$8+1), 0)/SQRT(SUMSQ('Input Screen'!F$7:F$101)))*P$6, 0)</f>
        <v>0</v>
      </c>
      <c r="Q76" s="33">
        <f>_xlfn.IFNA((VLOOKUP($M76,'Input Screen'!$C$7:$K$101, (Q$8+1), 0)/SQRT(SUMSQ('Input Screen'!G$7:G$101)))*Q$6, 0)</f>
        <v>0</v>
      </c>
      <c r="R76" s="33">
        <f>_xlfn.IFNA((VLOOKUP($M76,'Input Screen'!$C$7:$K$101, (R$8+1), 0)/SQRT(SUMSQ('Input Screen'!H$7:H$101)))*R$6, 0)</f>
        <v>0</v>
      </c>
      <c r="S76" s="33">
        <f>_xlfn.IFNA((VLOOKUP($M76,'Input Screen'!$C$7:$K$101, (S$8+1), 0)/SQRT(SUMSQ('Input Screen'!I$7:I$101)))*S$6, 0)</f>
        <v>0</v>
      </c>
      <c r="T76" s="33">
        <f>_xlfn.IFNA((VLOOKUP($M76,'Input Screen'!$C$7:$K$101, (T$8+1), 0)/SQRT(SUMSQ('Input Screen'!J$7:J$101)))*T$6, 0)</f>
        <v>0</v>
      </c>
      <c r="U76" s="33">
        <f>_xlfn.IFNA((VLOOKUP($M76,'Input Screen'!$C$7:$K$101, (U$8+1), 0)/SQRT(SUMSQ('Input Screen'!K$7:K$101)))*U$6, 0)</f>
        <v>0</v>
      </c>
      <c r="V76" s="36">
        <f>IF('Topsis LP Auto'!$M76 = 0, 0, SQRT((N76-MAX(N$10:N$109))^2 + (O76-MAX(O$10:O$109))^2 + (P76-MAX(P$10:P$109))^2 + (Q76-MAX(Q$10:Q$109))^2 + (R76-MAX(R$10:R$109))^2 + (S76-MAX(S$10:S$109))^2 + (T76-MAX(T$10:T$109))^2 +(U76-MAX(U$10:U$109))^2))</f>
        <v>0</v>
      </c>
      <c r="W76" s="33">
        <f>IF('Topsis LP Auto'!$M76=0, 0, SQRT((N76-MIN(N$10:N$109))^2 + (O76-MIN(O$10:O$109))^2 + (P76-MIN(P$10:P$109))^2 + (Q76-MIN(Q$10:Q$109))^2 + (R76-MIN(R$10:R$109))^2 + (S76-MIN(S$10:S$109))^2 + (T76-MIN(T$10:T$109))^2 +(U76-MIN(U$10:U$109))^2))</f>
        <v>0</v>
      </c>
      <c r="X76" s="31">
        <f>IF('Topsis LP Auto'!$M76 = 0, 0, W76/(V76+W76))</f>
        <v>0</v>
      </c>
    </row>
    <row r="77" spans="1:24" ht="16.5" thickBot="1" x14ac:dyDescent="0.3">
      <c r="A77" s="78">
        <f>'Topsis LP Auto'!$M77</f>
        <v>0</v>
      </c>
      <c r="B77" s="34">
        <v>0</v>
      </c>
      <c r="C77" s="34">
        <v>0</v>
      </c>
      <c r="D77" s="67">
        <f>SUM('Topsis LP Auto'!$B77:$C77)</f>
        <v>0</v>
      </c>
      <c r="E77" s="34">
        <f>IF('Topsis LP Auto'!$J77 = 0, 0, (B77/J77))</f>
        <v>0</v>
      </c>
      <c r="F77" s="67">
        <f>IF(I77 = 0, 0, ('Topsis LP Auto'!$D77)/I77)</f>
        <v>0</v>
      </c>
      <c r="G77" s="67">
        <f t="shared" si="1"/>
        <v>0</v>
      </c>
      <c r="H77" s="67">
        <f>'Topsis LP Auto'!$D77*K77</f>
        <v>0</v>
      </c>
      <c r="I77" s="34">
        <f>_xlfn.IFNA(VLOOKUP($A77, 'Input Screen'!$C$7:$M$101, 10, FALSE), 0)</f>
        <v>0</v>
      </c>
      <c r="J77" s="34">
        <f>_xlfn.IFNA(VLOOKUP($A77, 'Input Screen'!$C$7:$M$101, 11, FALSE), 0)</f>
        <v>0</v>
      </c>
      <c r="K77" s="34">
        <f>VLOOKUP('Topsis LP Auto'!$A77, 'Topsis LP Auto'!$M$10:$X$109, 12, FALSE)</f>
        <v>0</v>
      </c>
      <c r="M77" s="26">
        <f>'Input Screen'!C74</f>
        <v>0</v>
      </c>
      <c r="N77" s="35">
        <f>_xlfn.IFNA((VLOOKUP($M77,'Input Screen'!$C$7:$K$101, (N$8+1), 0)/SQRT(SUMSQ('Input Screen'!D$7:D$101)))*N$6, 0)</f>
        <v>0</v>
      </c>
      <c r="O77" s="35">
        <f>_xlfn.IFNA((VLOOKUP($M77,'Input Screen'!$C$7:$K$101, (O$8+1), 0)/SQRT(SUMSQ('Input Screen'!E$7:E$101)))*O$6, 0)</f>
        <v>0</v>
      </c>
      <c r="P77" s="35">
        <f>_xlfn.IFNA((VLOOKUP($M77,'Input Screen'!$C$7:$K$101, (P$8+1), 0)/SQRT(SUMSQ('Input Screen'!F$7:F$101)))*P$6, 0)</f>
        <v>0</v>
      </c>
      <c r="Q77" s="35">
        <f>_xlfn.IFNA((VLOOKUP($M77,'Input Screen'!$C$7:$K$101, (Q$8+1), 0)/SQRT(SUMSQ('Input Screen'!G$7:G$101)))*Q$6, 0)</f>
        <v>0</v>
      </c>
      <c r="R77" s="35">
        <f>_xlfn.IFNA((VLOOKUP($M77,'Input Screen'!$C$7:$K$101, (R$8+1), 0)/SQRT(SUMSQ('Input Screen'!H$7:H$101)))*R$6, 0)</f>
        <v>0</v>
      </c>
      <c r="S77" s="35">
        <f>_xlfn.IFNA((VLOOKUP($M77,'Input Screen'!$C$7:$K$101, (S$8+1), 0)/SQRT(SUMSQ('Input Screen'!I$7:I$101)))*S$6, 0)</f>
        <v>0</v>
      </c>
      <c r="T77" s="35">
        <f>_xlfn.IFNA((VLOOKUP($M77,'Input Screen'!$C$7:$K$101, (T$8+1), 0)/SQRT(SUMSQ('Input Screen'!J$7:J$101)))*T$6, 0)</f>
        <v>0</v>
      </c>
      <c r="U77" s="35">
        <f>_xlfn.IFNA((VLOOKUP($M77,'Input Screen'!$C$7:$K$101, (U$8+1), 0)/SQRT(SUMSQ('Input Screen'!K$7:K$101)))*U$6, 0)</f>
        <v>0</v>
      </c>
      <c r="V77" s="37">
        <f>IF('Topsis LP Auto'!$M77 = 0, 0, SQRT((N77-MAX(N$10:N$109))^2 + (O77-MAX(O$10:O$109))^2 + (P77-MAX(P$10:P$109))^2 + (Q77-MAX(Q$10:Q$109))^2 + (R77-MAX(R$10:R$109))^2 + (S77-MAX(S$10:S$109))^2 + (T77-MAX(T$10:T$109))^2 +(U77-MAX(U$10:U$109))^2))</f>
        <v>0</v>
      </c>
      <c r="W77" s="35">
        <f>IF('Topsis LP Auto'!$M77=0, 0, SQRT((N77-MIN(N$10:N$109))^2 + (O77-MIN(O$10:O$109))^2 + (P77-MIN(P$10:P$109))^2 + (Q77-MIN(Q$10:Q$109))^2 + (R77-MIN(R$10:R$109))^2 + (S77-MIN(S$10:S$109))^2 + (T77-MIN(T$10:T$109))^2 +(U77-MIN(U$10:U$109))^2))</f>
        <v>0</v>
      </c>
      <c r="X77" s="34">
        <f>IF('Topsis LP Auto'!$M77 = 0, 0, W77/(V77+W77))</f>
        <v>0</v>
      </c>
    </row>
    <row r="78" spans="1:24" ht="16.5" thickBot="1" x14ac:dyDescent="0.3">
      <c r="A78" s="76">
        <f>'Topsis LP Auto'!$M78</f>
        <v>0</v>
      </c>
      <c r="B78" s="31">
        <v>0</v>
      </c>
      <c r="C78" s="31">
        <v>0</v>
      </c>
      <c r="D78" s="68">
        <f>SUM('Topsis LP Auto'!$B78:$C78)</f>
        <v>0</v>
      </c>
      <c r="E78" s="31">
        <f>IF('Topsis LP Auto'!$J78 = 0, 0, (B78/J78))</f>
        <v>0</v>
      </c>
      <c r="F78" s="68">
        <f>IF(I78 = 0, 0, ('Topsis LP Auto'!$D78)/I78)</f>
        <v>0</v>
      </c>
      <c r="G78" s="68">
        <f t="shared" si="1"/>
        <v>0</v>
      </c>
      <c r="H78" s="68">
        <f>'Topsis LP Auto'!$D78*K78</f>
        <v>0</v>
      </c>
      <c r="I78" s="31">
        <f>_xlfn.IFNA(VLOOKUP($A78, 'Input Screen'!$C$7:$M$101, 10, FALSE), 0)</f>
        <v>0</v>
      </c>
      <c r="J78" s="31">
        <f>_xlfn.IFNA(VLOOKUP($A78, 'Input Screen'!$C$7:$M$101, 11, FALSE), 0)</f>
        <v>0</v>
      </c>
      <c r="K78" s="31">
        <f>VLOOKUP('Topsis LP Auto'!$A78, 'Topsis LP Auto'!$M$10:$X$109, 12, FALSE)</f>
        <v>0</v>
      </c>
      <c r="M78" s="32">
        <f>'Input Screen'!C75</f>
        <v>0</v>
      </c>
      <c r="N78" s="33">
        <f>_xlfn.IFNA((VLOOKUP($M78,'Input Screen'!$C$7:$K$101, (N$8+1), 0)/SQRT(SUMSQ('Input Screen'!D$7:D$101)))*N$6, 0)</f>
        <v>0</v>
      </c>
      <c r="O78" s="33">
        <f>_xlfn.IFNA((VLOOKUP($M78,'Input Screen'!$C$7:$K$101, (O$8+1), 0)/SQRT(SUMSQ('Input Screen'!E$7:E$101)))*O$6, 0)</f>
        <v>0</v>
      </c>
      <c r="P78" s="33">
        <f>_xlfn.IFNA((VLOOKUP($M78,'Input Screen'!$C$7:$K$101, (P$8+1), 0)/SQRT(SUMSQ('Input Screen'!F$7:F$101)))*P$6, 0)</f>
        <v>0</v>
      </c>
      <c r="Q78" s="33">
        <f>_xlfn.IFNA((VLOOKUP($M78,'Input Screen'!$C$7:$K$101, (Q$8+1), 0)/SQRT(SUMSQ('Input Screen'!G$7:G$101)))*Q$6, 0)</f>
        <v>0</v>
      </c>
      <c r="R78" s="33">
        <f>_xlfn.IFNA((VLOOKUP($M78,'Input Screen'!$C$7:$K$101, (R$8+1), 0)/SQRT(SUMSQ('Input Screen'!H$7:H$101)))*R$6, 0)</f>
        <v>0</v>
      </c>
      <c r="S78" s="33">
        <f>_xlfn.IFNA((VLOOKUP($M78,'Input Screen'!$C$7:$K$101, (S$8+1), 0)/SQRT(SUMSQ('Input Screen'!I$7:I$101)))*S$6, 0)</f>
        <v>0</v>
      </c>
      <c r="T78" s="33">
        <f>_xlfn.IFNA((VLOOKUP($M78,'Input Screen'!$C$7:$K$101, (T$8+1), 0)/SQRT(SUMSQ('Input Screen'!J$7:J$101)))*T$6, 0)</f>
        <v>0</v>
      </c>
      <c r="U78" s="33">
        <f>_xlfn.IFNA((VLOOKUP($M78,'Input Screen'!$C$7:$K$101, (U$8+1), 0)/SQRT(SUMSQ('Input Screen'!K$7:K$101)))*U$6, 0)</f>
        <v>0</v>
      </c>
      <c r="V78" s="36">
        <f>IF('Topsis LP Auto'!$M78 = 0, 0, SQRT((N78-MAX(N$10:N$109))^2 + (O78-MAX(O$10:O$109))^2 + (P78-MAX(P$10:P$109))^2 + (Q78-MAX(Q$10:Q$109))^2 + (R78-MAX(R$10:R$109))^2 + (S78-MAX(S$10:S$109))^2 + (T78-MAX(T$10:T$109))^2 +(U78-MAX(U$10:U$109))^2))</f>
        <v>0</v>
      </c>
      <c r="W78" s="33">
        <f>IF('Topsis LP Auto'!$M78=0, 0, SQRT((N78-MIN(N$10:N$109))^2 + (O78-MIN(O$10:O$109))^2 + (P78-MIN(P$10:P$109))^2 + (Q78-MIN(Q$10:Q$109))^2 + (R78-MIN(R$10:R$109))^2 + (S78-MIN(S$10:S$109))^2 + (T78-MIN(T$10:T$109))^2 +(U78-MIN(U$10:U$109))^2))</f>
        <v>0</v>
      </c>
      <c r="X78" s="31">
        <f>IF('Topsis LP Auto'!$M78 = 0, 0, W78/(V78+W78))</f>
        <v>0</v>
      </c>
    </row>
    <row r="79" spans="1:24" ht="16.5" thickBot="1" x14ac:dyDescent="0.3">
      <c r="A79" s="78">
        <f>'Topsis LP Auto'!$M79</f>
        <v>0</v>
      </c>
      <c r="B79" s="34">
        <v>0</v>
      </c>
      <c r="C79" s="34">
        <v>0</v>
      </c>
      <c r="D79" s="67">
        <f>SUM('Topsis LP Auto'!$B79:$C79)</f>
        <v>0</v>
      </c>
      <c r="E79" s="34">
        <f>IF('Topsis LP Auto'!$J79 = 0, 0, (B79/J79))</f>
        <v>0</v>
      </c>
      <c r="F79" s="67">
        <f>IF(I79 = 0, 0, ('Topsis LP Auto'!$D79)/I79)</f>
        <v>0</v>
      </c>
      <c r="G79" s="67">
        <f t="shared" si="1"/>
        <v>0</v>
      </c>
      <c r="H79" s="67">
        <f>'Topsis LP Auto'!$D79*K79</f>
        <v>0</v>
      </c>
      <c r="I79" s="34">
        <f>_xlfn.IFNA(VLOOKUP($A79, 'Input Screen'!$C$7:$M$101, 10, FALSE), 0)</f>
        <v>0</v>
      </c>
      <c r="J79" s="34">
        <f>_xlfn.IFNA(VLOOKUP($A79, 'Input Screen'!$C$7:$M$101, 11, FALSE), 0)</f>
        <v>0</v>
      </c>
      <c r="K79" s="34">
        <f>VLOOKUP('Topsis LP Auto'!$A79, 'Topsis LP Auto'!$M$10:$X$109, 12, FALSE)</f>
        <v>0</v>
      </c>
      <c r="M79" s="26">
        <f>'Input Screen'!C76</f>
        <v>0</v>
      </c>
      <c r="N79" s="35">
        <f>_xlfn.IFNA((VLOOKUP($M79,'Input Screen'!$C$7:$K$101, (N$8+1), 0)/SQRT(SUMSQ('Input Screen'!D$7:D$101)))*N$6, 0)</f>
        <v>0</v>
      </c>
      <c r="O79" s="35">
        <f>_xlfn.IFNA((VLOOKUP($M79,'Input Screen'!$C$7:$K$101, (O$8+1), 0)/SQRT(SUMSQ('Input Screen'!E$7:E$101)))*O$6, 0)</f>
        <v>0</v>
      </c>
      <c r="P79" s="35">
        <f>_xlfn.IFNA((VLOOKUP($M79,'Input Screen'!$C$7:$K$101, (P$8+1), 0)/SQRT(SUMSQ('Input Screen'!F$7:F$101)))*P$6, 0)</f>
        <v>0</v>
      </c>
      <c r="Q79" s="35">
        <f>_xlfn.IFNA((VLOOKUP($M79,'Input Screen'!$C$7:$K$101, (Q$8+1), 0)/SQRT(SUMSQ('Input Screen'!G$7:G$101)))*Q$6, 0)</f>
        <v>0</v>
      </c>
      <c r="R79" s="35">
        <f>_xlfn.IFNA((VLOOKUP($M79,'Input Screen'!$C$7:$K$101, (R$8+1), 0)/SQRT(SUMSQ('Input Screen'!H$7:H$101)))*R$6, 0)</f>
        <v>0</v>
      </c>
      <c r="S79" s="35">
        <f>_xlfn.IFNA((VLOOKUP($M79,'Input Screen'!$C$7:$K$101, (S$8+1), 0)/SQRT(SUMSQ('Input Screen'!I$7:I$101)))*S$6, 0)</f>
        <v>0</v>
      </c>
      <c r="T79" s="35">
        <f>_xlfn.IFNA((VLOOKUP($M79,'Input Screen'!$C$7:$K$101, (T$8+1), 0)/SQRT(SUMSQ('Input Screen'!J$7:J$101)))*T$6, 0)</f>
        <v>0</v>
      </c>
      <c r="U79" s="35">
        <f>_xlfn.IFNA((VLOOKUP($M79,'Input Screen'!$C$7:$K$101, (U$8+1), 0)/SQRT(SUMSQ('Input Screen'!K$7:K$101)))*U$6, 0)</f>
        <v>0</v>
      </c>
      <c r="V79" s="37">
        <f>IF('Topsis LP Auto'!$M79 = 0, 0, SQRT((N79-MAX(N$10:N$109))^2 + (O79-MAX(O$10:O$109))^2 + (P79-MAX(P$10:P$109))^2 + (Q79-MAX(Q$10:Q$109))^2 + (R79-MAX(R$10:R$109))^2 + (S79-MAX(S$10:S$109))^2 + (T79-MAX(T$10:T$109))^2 +(U79-MAX(U$10:U$109))^2))</f>
        <v>0</v>
      </c>
      <c r="W79" s="35">
        <f>IF('Topsis LP Auto'!$M79=0, 0, SQRT((N79-MIN(N$10:N$109))^2 + (O79-MIN(O$10:O$109))^2 + (P79-MIN(P$10:P$109))^2 + (Q79-MIN(Q$10:Q$109))^2 + (R79-MIN(R$10:R$109))^2 + (S79-MIN(S$10:S$109))^2 + (T79-MIN(T$10:T$109))^2 +(U79-MIN(U$10:U$109))^2))</f>
        <v>0</v>
      </c>
      <c r="X79" s="34">
        <f>IF('Topsis LP Auto'!$M79 = 0, 0, W79/(V79+W79))</f>
        <v>0</v>
      </c>
    </row>
    <row r="80" spans="1:24" ht="16.5" thickBot="1" x14ac:dyDescent="0.3">
      <c r="A80" s="76">
        <f>'Topsis LP Auto'!$M80</f>
        <v>0</v>
      </c>
      <c r="B80" s="31">
        <v>0</v>
      </c>
      <c r="C80" s="31">
        <v>0</v>
      </c>
      <c r="D80" s="68">
        <f>SUM('Topsis LP Auto'!$B80:$C80)</f>
        <v>0</v>
      </c>
      <c r="E80" s="31">
        <f>IF('Topsis LP Auto'!$J80 = 0, 0, (B80/J80))</f>
        <v>0</v>
      </c>
      <c r="F80" s="68">
        <f>IF(I80 = 0, 0, ('Topsis LP Auto'!$D80)/I80)</f>
        <v>0</v>
      </c>
      <c r="G80" s="68">
        <f t="shared" si="1"/>
        <v>0</v>
      </c>
      <c r="H80" s="68">
        <f>'Topsis LP Auto'!$D80*K80</f>
        <v>0</v>
      </c>
      <c r="I80" s="31">
        <f>_xlfn.IFNA(VLOOKUP($A80, 'Input Screen'!$C$7:$M$101, 10, FALSE), 0)</f>
        <v>0</v>
      </c>
      <c r="J80" s="31">
        <f>_xlfn.IFNA(VLOOKUP($A80, 'Input Screen'!$C$7:$M$101, 11, FALSE), 0)</f>
        <v>0</v>
      </c>
      <c r="K80" s="31">
        <f>VLOOKUP('Topsis LP Auto'!$A80, 'Topsis LP Auto'!$M$10:$X$109, 12, FALSE)</f>
        <v>0</v>
      </c>
      <c r="M80" s="32">
        <f>'Input Screen'!C77</f>
        <v>0</v>
      </c>
      <c r="N80" s="33">
        <f>_xlfn.IFNA((VLOOKUP($M80,'Input Screen'!$C$7:$K$101, (N$8+1), 0)/SQRT(SUMSQ('Input Screen'!D$7:D$101)))*N$6, 0)</f>
        <v>0</v>
      </c>
      <c r="O80" s="33">
        <f>_xlfn.IFNA((VLOOKUP($M80,'Input Screen'!$C$7:$K$101, (O$8+1), 0)/SQRT(SUMSQ('Input Screen'!E$7:E$101)))*O$6, 0)</f>
        <v>0</v>
      </c>
      <c r="P80" s="33">
        <f>_xlfn.IFNA((VLOOKUP($M80,'Input Screen'!$C$7:$K$101, (P$8+1), 0)/SQRT(SUMSQ('Input Screen'!F$7:F$101)))*P$6, 0)</f>
        <v>0</v>
      </c>
      <c r="Q80" s="33">
        <f>_xlfn.IFNA((VLOOKUP($M80,'Input Screen'!$C$7:$K$101, (Q$8+1), 0)/SQRT(SUMSQ('Input Screen'!G$7:G$101)))*Q$6, 0)</f>
        <v>0</v>
      </c>
      <c r="R80" s="33">
        <f>_xlfn.IFNA((VLOOKUP($M80,'Input Screen'!$C$7:$K$101, (R$8+1), 0)/SQRT(SUMSQ('Input Screen'!H$7:H$101)))*R$6, 0)</f>
        <v>0</v>
      </c>
      <c r="S80" s="33">
        <f>_xlfn.IFNA((VLOOKUP($M80,'Input Screen'!$C$7:$K$101, (S$8+1), 0)/SQRT(SUMSQ('Input Screen'!I$7:I$101)))*S$6, 0)</f>
        <v>0</v>
      </c>
      <c r="T80" s="33">
        <f>_xlfn.IFNA((VLOOKUP($M80,'Input Screen'!$C$7:$K$101, (T$8+1), 0)/SQRT(SUMSQ('Input Screen'!J$7:J$101)))*T$6, 0)</f>
        <v>0</v>
      </c>
      <c r="U80" s="33">
        <f>_xlfn.IFNA((VLOOKUP($M80,'Input Screen'!$C$7:$K$101, (U$8+1), 0)/SQRT(SUMSQ('Input Screen'!K$7:K$101)))*U$6, 0)</f>
        <v>0</v>
      </c>
      <c r="V80" s="36">
        <f>IF('Topsis LP Auto'!$M80 = 0, 0, SQRT((N80-MAX(N$10:N$109))^2 + (O80-MAX(O$10:O$109))^2 + (P80-MAX(P$10:P$109))^2 + (Q80-MAX(Q$10:Q$109))^2 + (R80-MAX(R$10:R$109))^2 + (S80-MAX(S$10:S$109))^2 + (T80-MAX(T$10:T$109))^2 +(U80-MAX(U$10:U$109))^2))</f>
        <v>0</v>
      </c>
      <c r="W80" s="33">
        <f>IF('Topsis LP Auto'!$M80=0, 0, SQRT((N80-MIN(N$10:N$109))^2 + (O80-MIN(O$10:O$109))^2 + (P80-MIN(P$10:P$109))^2 + (Q80-MIN(Q$10:Q$109))^2 + (R80-MIN(R$10:R$109))^2 + (S80-MIN(S$10:S$109))^2 + (T80-MIN(T$10:T$109))^2 +(U80-MIN(U$10:U$109))^2))</f>
        <v>0</v>
      </c>
      <c r="X80" s="31">
        <f>IF('Topsis LP Auto'!$M80 = 0, 0, W80/(V80+W80))</f>
        <v>0</v>
      </c>
    </row>
    <row r="81" spans="1:24" ht="16.5" thickBot="1" x14ac:dyDescent="0.3">
      <c r="A81" s="78">
        <f>'Topsis LP Auto'!$M81</f>
        <v>0</v>
      </c>
      <c r="B81" s="34">
        <v>0</v>
      </c>
      <c r="C81" s="34">
        <v>0</v>
      </c>
      <c r="D81" s="67">
        <f>SUM('Topsis LP Auto'!$B81:$C81)</f>
        <v>0</v>
      </c>
      <c r="E81" s="34">
        <f>IF('Topsis LP Auto'!$J81 = 0, 0, (B81/J81))</f>
        <v>0</v>
      </c>
      <c r="F81" s="67">
        <f>IF(I81 = 0, 0, ('Topsis LP Auto'!$D81)/I81)</f>
        <v>0</v>
      </c>
      <c r="G81" s="67">
        <f t="shared" si="1"/>
        <v>0</v>
      </c>
      <c r="H81" s="67">
        <f>'Topsis LP Auto'!$D81*K81</f>
        <v>0</v>
      </c>
      <c r="I81" s="34">
        <f>_xlfn.IFNA(VLOOKUP($A81, 'Input Screen'!$C$7:$M$101, 10, FALSE), 0)</f>
        <v>0</v>
      </c>
      <c r="J81" s="34">
        <f>_xlfn.IFNA(VLOOKUP($A81, 'Input Screen'!$C$7:$M$101, 11, FALSE), 0)</f>
        <v>0</v>
      </c>
      <c r="K81" s="34">
        <f>VLOOKUP('Topsis LP Auto'!$A81, 'Topsis LP Auto'!$M$10:$X$109, 12, FALSE)</f>
        <v>0</v>
      </c>
      <c r="M81" s="26">
        <f>'Input Screen'!C78</f>
        <v>0</v>
      </c>
      <c r="N81" s="35">
        <f>_xlfn.IFNA((VLOOKUP($M81,'Input Screen'!$C$7:$K$101, (N$8+1), 0)/SQRT(SUMSQ('Input Screen'!D$7:D$101)))*N$6, 0)</f>
        <v>0</v>
      </c>
      <c r="O81" s="35">
        <f>_xlfn.IFNA((VLOOKUP($M81,'Input Screen'!$C$7:$K$101, (O$8+1), 0)/SQRT(SUMSQ('Input Screen'!E$7:E$101)))*O$6, 0)</f>
        <v>0</v>
      </c>
      <c r="P81" s="35">
        <f>_xlfn.IFNA((VLOOKUP($M81,'Input Screen'!$C$7:$K$101, (P$8+1), 0)/SQRT(SUMSQ('Input Screen'!F$7:F$101)))*P$6, 0)</f>
        <v>0</v>
      </c>
      <c r="Q81" s="35">
        <f>_xlfn.IFNA((VLOOKUP($M81,'Input Screen'!$C$7:$K$101, (Q$8+1), 0)/SQRT(SUMSQ('Input Screen'!G$7:G$101)))*Q$6, 0)</f>
        <v>0</v>
      </c>
      <c r="R81" s="35">
        <f>_xlfn.IFNA((VLOOKUP($M81,'Input Screen'!$C$7:$K$101, (R$8+1), 0)/SQRT(SUMSQ('Input Screen'!H$7:H$101)))*R$6, 0)</f>
        <v>0</v>
      </c>
      <c r="S81" s="35">
        <f>_xlfn.IFNA((VLOOKUP($M81,'Input Screen'!$C$7:$K$101, (S$8+1), 0)/SQRT(SUMSQ('Input Screen'!I$7:I$101)))*S$6, 0)</f>
        <v>0</v>
      </c>
      <c r="T81" s="35">
        <f>_xlfn.IFNA((VLOOKUP($M81,'Input Screen'!$C$7:$K$101, (T$8+1), 0)/SQRT(SUMSQ('Input Screen'!J$7:J$101)))*T$6, 0)</f>
        <v>0</v>
      </c>
      <c r="U81" s="35">
        <f>_xlfn.IFNA((VLOOKUP($M81,'Input Screen'!$C$7:$K$101, (U$8+1), 0)/SQRT(SUMSQ('Input Screen'!K$7:K$101)))*U$6, 0)</f>
        <v>0</v>
      </c>
      <c r="V81" s="37">
        <f>IF('Topsis LP Auto'!$M81 = 0, 0, SQRT((N81-MAX(N$10:N$109))^2 + (O81-MAX(O$10:O$109))^2 + (P81-MAX(P$10:P$109))^2 + (Q81-MAX(Q$10:Q$109))^2 + (R81-MAX(R$10:R$109))^2 + (S81-MAX(S$10:S$109))^2 + (T81-MAX(T$10:T$109))^2 +(U81-MAX(U$10:U$109))^2))</f>
        <v>0</v>
      </c>
      <c r="W81" s="35">
        <f>IF('Topsis LP Auto'!$M81=0, 0, SQRT((N81-MIN(N$10:N$109))^2 + (O81-MIN(O$10:O$109))^2 + (P81-MIN(P$10:P$109))^2 + (Q81-MIN(Q$10:Q$109))^2 + (R81-MIN(R$10:R$109))^2 + (S81-MIN(S$10:S$109))^2 + (T81-MIN(T$10:T$109))^2 +(U81-MIN(U$10:U$109))^2))</f>
        <v>0</v>
      </c>
      <c r="X81" s="34">
        <f>IF('Topsis LP Auto'!$M81 = 0, 0, W81/(V81+W81))</f>
        <v>0</v>
      </c>
    </row>
    <row r="82" spans="1:24" ht="16.5" thickBot="1" x14ac:dyDescent="0.3">
      <c r="A82" s="76">
        <f>'Topsis LP Auto'!$M82</f>
        <v>0</v>
      </c>
      <c r="B82" s="31">
        <v>0</v>
      </c>
      <c r="C82" s="31">
        <v>0</v>
      </c>
      <c r="D82" s="68">
        <f>SUM('Topsis LP Auto'!$B82:$C82)</f>
        <v>0</v>
      </c>
      <c r="E82" s="31">
        <f>IF('Topsis LP Auto'!$J82 = 0, 0, (B82/J82))</f>
        <v>0</v>
      </c>
      <c r="F82" s="68">
        <f>IF(I82 = 0, 0, ('Topsis LP Auto'!$D82)/I82)</f>
        <v>0</v>
      </c>
      <c r="G82" s="68">
        <f t="shared" si="1"/>
        <v>0</v>
      </c>
      <c r="H82" s="68">
        <f>'Topsis LP Auto'!$D82*K82</f>
        <v>0</v>
      </c>
      <c r="I82" s="31">
        <f>_xlfn.IFNA(VLOOKUP($A82, 'Input Screen'!$C$7:$M$101, 10, FALSE), 0)</f>
        <v>0</v>
      </c>
      <c r="J82" s="31">
        <f>_xlfn.IFNA(VLOOKUP($A82, 'Input Screen'!$C$7:$M$101, 11, FALSE), 0)</f>
        <v>0</v>
      </c>
      <c r="K82" s="31">
        <f>VLOOKUP('Topsis LP Auto'!$A82, 'Topsis LP Auto'!$M$10:$X$109, 12, FALSE)</f>
        <v>0</v>
      </c>
      <c r="M82" s="32">
        <f>'Input Screen'!C79</f>
        <v>0</v>
      </c>
      <c r="N82" s="33">
        <f>_xlfn.IFNA((VLOOKUP($M82,'Input Screen'!$C$7:$K$101, (N$8+1), 0)/SQRT(SUMSQ('Input Screen'!D$7:D$101)))*N$6, 0)</f>
        <v>0</v>
      </c>
      <c r="O82" s="33">
        <f>_xlfn.IFNA((VLOOKUP($M82,'Input Screen'!$C$7:$K$101, (O$8+1), 0)/SQRT(SUMSQ('Input Screen'!E$7:E$101)))*O$6, 0)</f>
        <v>0</v>
      </c>
      <c r="P82" s="33">
        <f>_xlfn.IFNA((VLOOKUP($M82,'Input Screen'!$C$7:$K$101, (P$8+1), 0)/SQRT(SUMSQ('Input Screen'!F$7:F$101)))*P$6, 0)</f>
        <v>0</v>
      </c>
      <c r="Q82" s="33">
        <f>_xlfn.IFNA((VLOOKUP($M82,'Input Screen'!$C$7:$K$101, (Q$8+1), 0)/SQRT(SUMSQ('Input Screen'!G$7:G$101)))*Q$6, 0)</f>
        <v>0</v>
      </c>
      <c r="R82" s="33">
        <f>_xlfn.IFNA((VLOOKUP($M82,'Input Screen'!$C$7:$K$101, (R$8+1), 0)/SQRT(SUMSQ('Input Screen'!H$7:H$101)))*R$6, 0)</f>
        <v>0</v>
      </c>
      <c r="S82" s="33">
        <f>_xlfn.IFNA((VLOOKUP($M82,'Input Screen'!$C$7:$K$101, (S$8+1), 0)/SQRT(SUMSQ('Input Screen'!I$7:I$101)))*S$6, 0)</f>
        <v>0</v>
      </c>
      <c r="T82" s="33">
        <f>_xlfn.IFNA((VLOOKUP($M82,'Input Screen'!$C$7:$K$101, (T$8+1), 0)/SQRT(SUMSQ('Input Screen'!J$7:J$101)))*T$6, 0)</f>
        <v>0</v>
      </c>
      <c r="U82" s="33">
        <f>_xlfn.IFNA((VLOOKUP($M82,'Input Screen'!$C$7:$K$101, (U$8+1), 0)/SQRT(SUMSQ('Input Screen'!K$7:K$101)))*U$6, 0)</f>
        <v>0</v>
      </c>
      <c r="V82" s="36">
        <f>IF('Topsis LP Auto'!$M82 = 0, 0, SQRT((N82-MAX(N$10:N$109))^2 + (O82-MAX(O$10:O$109))^2 + (P82-MAX(P$10:P$109))^2 + (Q82-MAX(Q$10:Q$109))^2 + (R82-MAX(R$10:R$109))^2 + (S82-MAX(S$10:S$109))^2 + (T82-MAX(T$10:T$109))^2 +(U82-MAX(U$10:U$109))^2))</f>
        <v>0</v>
      </c>
      <c r="W82" s="33">
        <f>IF('Topsis LP Auto'!$M82=0, 0, SQRT((N82-MIN(N$10:N$109))^2 + (O82-MIN(O$10:O$109))^2 + (P82-MIN(P$10:P$109))^2 + (Q82-MIN(Q$10:Q$109))^2 + (R82-MIN(R$10:R$109))^2 + (S82-MIN(S$10:S$109))^2 + (T82-MIN(T$10:T$109))^2 +(U82-MIN(U$10:U$109))^2))</f>
        <v>0</v>
      </c>
      <c r="X82" s="31">
        <f>IF('Topsis LP Auto'!$M82 = 0, 0, W82/(V82+W82))</f>
        <v>0</v>
      </c>
    </row>
    <row r="83" spans="1:24" ht="16.5" thickBot="1" x14ac:dyDescent="0.3">
      <c r="A83" s="78">
        <f>'Topsis LP Auto'!$M83</f>
        <v>0</v>
      </c>
      <c r="B83" s="34">
        <v>0</v>
      </c>
      <c r="C83" s="34">
        <v>0</v>
      </c>
      <c r="D83" s="67">
        <f>SUM('Topsis LP Auto'!$B83:$C83)</f>
        <v>0</v>
      </c>
      <c r="E83" s="34">
        <f>IF('Topsis LP Auto'!$J83 = 0, 0, (B83/J83))</f>
        <v>0</v>
      </c>
      <c r="F83" s="67">
        <f>IF(I83 = 0, 0, ('Topsis LP Auto'!$D83)/I83)</f>
        <v>0</v>
      </c>
      <c r="G83" s="67">
        <f t="shared" si="1"/>
        <v>0</v>
      </c>
      <c r="H83" s="67">
        <f>'Topsis LP Auto'!$D83*K83</f>
        <v>0</v>
      </c>
      <c r="I83" s="34">
        <f>_xlfn.IFNA(VLOOKUP($A83, 'Input Screen'!$C$7:$M$101, 10, FALSE), 0)</f>
        <v>0</v>
      </c>
      <c r="J83" s="34">
        <f>_xlfn.IFNA(VLOOKUP($A83, 'Input Screen'!$C$7:$M$101, 11, FALSE), 0)</f>
        <v>0</v>
      </c>
      <c r="K83" s="34">
        <f>VLOOKUP('Topsis LP Auto'!$A83, 'Topsis LP Auto'!$M$10:$X$109, 12, FALSE)</f>
        <v>0</v>
      </c>
      <c r="M83" s="26">
        <f>'Input Screen'!C80</f>
        <v>0</v>
      </c>
      <c r="N83" s="35">
        <f>_xlfn.IFNA((VLOOKUP($M83,'Input Screen'!$C$7:$K$101, (N$8+1), 0)/SQRT(SUMSQ('Input Screen'!D$7:D$101)))*N$6, 0)</f>
        <v>0</v>
      </c>
      <c r="O83" s="35">
        <f>_xlfn.IFNA((VLOOKUP($M83,'Input Screen'!$C$7:$K$101, (O$8+1), 0)/SQRT(SUMSQ('Input Screen'!E$7:E$101)))*O$6, 0)</f>
        <v>0</v>
      </c>
      <c r="P83" s="35">
        <f>_xlfn.IFNA((VLOOKUP($M83,'Input Screen'!$C$7:$K$101, (P$8+1), 0)/SQRT(SUMSQ('Input Screen'!F$7:F$101)))*P$6, 0)</f>
        <v>0</v>
      </c>
      <c r="Q83" s="35">
        <f>_xlfn.IFNA((VLOOKUP($M83,'Input Screen'!$C$7:$K$101, (Q$8+1), 0)/SQRT(SUMSQ('Input Screen'!G$7:G$101)))*Q$6, 0)</f>
        <v>0</v>
      </c>
      <c r="R83" s="35">
        <f>_xlfn.IFNA((VLOOKUP($M83,'Input Screen'!$C$7:$K$101, (R$8+1), 0)/SQRT(SUMSQ('Input Screen'!H$7:H$101)))*R$6, 0)</f>
        <v>0</v>
      </c>
      <c r="S83" s="35">
        <f>_xlfn.IFNA((VLOOKUP($M83,'Input Screen'!$C$7:$K$101, (S$8+1), 0)/SQRT(SUMSQ('Input Screen'!I$7:I$101)))*S$6, 0)</f>
        <v>0</v>
      </c>
      <c r="T83" s="35">
        <f>_xlfn.IFNA((VLOOKUP($M83,'Input Screen'!$C$7:$K$101, (T$8+1), 0)/SQRT(SUMSQ('Input Screen'!J$7:J$101)))*T$6, 0)</f>
        <v>0</v>
      </c>
      <c r="U83" s="35">
        <f>_xlfn.IFNA((VLOOKUP($M83,'Input Screen'!$C$7:$K$101, (U$8+1), 0)/SQRT(SUMSQ('Input Screen'!K$7:K$101)))*U$6, 0)</f>
        <v>0</v>
      </c>
      <c r="V83" s="37">
        <f>IF('Topsis LP Auto'!$M83 = 0, 0, SQRT((N83-MAX(N$10:N$109))^2 + (O83-MAX(O$10:O$109))^2 + (P83-MAX(P$10:P$109))^2 + (Q83-MAX(Q$10:Q$109))^2 + (R83-MAX(R$10:R$109))^2 + (S83-MAX(S$10:S$109))^2 + (T83-MAX(T$10:T$109))^2 +(U83-MAX(U$10:U$109))^2))</f>
        <v>0</v>
      </c>
      <c r="W83" s="35">
        <f>IF('Topsis LP Auto'!$M83=0, 0, SQRT((N83-MIN(N$10:N$109))^2 + (O83-MIN(O$10:O$109))^2 + (P83-MIN(P$10:P$109))^2 + (Q83-MIN(Q$10:Q$109))^2 + (R83-MIN(R$10:R$109))^2 + (S83-MIN(S$10:S$109))^2 + (T83-MIN(T$10:T$109))^2 +(U83-MIN(U$10:U$109))^2))</f>
        <v>0</v>
      </c>
      <c r="X83" s="34">
        <f>IF('Topsis LP Auto'!$M83 = 0, 0, W83/(V83+W83))</f>
        <v>0</v>
      </c>
    </row>
    <row r="84" spans="1:24" ht="16.5" thickBot="1" x14ac:dyDescent="0.3">
      <c r="A84" s="76">
        <f>'Topsis LP Auto'!$M84</f>
        <v>0</v>
      </c>
      <c r="B84" s="31">
        <v>0</v>
      </c>
      <c r="C84" s="31">
        <v>0</v>
      </c>
      <c r="D84" s="68">
        <f>SUM('Topsis LP Auto'!$B84:$C84)</f>
        <v>0</v>
      </c>
      <c r="E84" s="31">
        <f>IF('Topsis LP Auto'!$J84 = 0, 0, (B84/J84))</f>
        <v>0</v>
      </c>
      <c r="F84" s="68">
        <f>IF(I84 = 0, 0, ('Topsis LP Auto'!$D84)/I84)</f>
        <v>0</v>
      </c>
      <c r="G84" s="68">
        <f t="shared" si="1"/>
        <v>0</v>
      </c>
      <c r="H84" s="68">
        <f>'Topsis LP Auto'!$D84*K84</f>
        <v>0</v>
      </c>
      <c r="I84" s="31">
        <f>_xlfn.IFNA(VLOOKUP($A84, 'Input Screen'!$C$7:$M$101, 10, FALSE), 0)</f>
        <v>0</v>
      </c>
      <c r="J84" s="31">
        <f>_xlfn.IFNA(VLOOKUP($A84, 'Input Screen'!$C$7:$M$101, 11, FALSE), 0)</f>
        <v>0</v>
      </c>
      <c r="K84" s="31">
        <f>VLOOKUP('Topsis LP Auto'!$A84, 'Topsis LP Auto'!$M$10:$X$109, 12, FALSE)</f>
        <v>0</v>
      </c>
      <c r="M84" s="32">
        <f>'Input Screen'!C81</f>
        <v>0</v>
      </c>
      <c r="N84" s="33">
        <f>_xlfn.IFNA((VLOOKUP($M84,'Input Screen'!$C$7:$K$101, (N$8+1), 0)/SQRT(SUMSQ('Input Screen'!D$7:D$101)))*N$6, 0)</f>
        <v>0</v>
      </c>
      <c r="O84" s="33">
        <f>_xlfn.IFNA((VLOOKUP($M84,'Input Screen'!$C$7:$K$101, (O$8+1), 0)/SQRT(SUMSQ('Input Screen'!E$7:E$101)))*O$6, 0)</f>
        <v>0</v>
      </c>
      <c r="P84" s="33">
        <f>_xlfn.IFNA((VLOOKUP($M84,'Input Screen'!$C$7:$K$101, (P$8+1), 0)/SQRT(SUMSQ('Input Screen'!F$7:F$101)))*P$6, 0)</f>
        <v>0</v>
      </c>
      <c r="Q84" s="33">
        <f>_xlfn.IFNA((VLOOKUP($M84,'Input Screen'!$C$7:$K$101, (Q$8+1), 0)/SQRT(SUMSQ('Input Screen'!G$7:G$101)))*Q$6, 0)</f>
        <v>0</v>
      </c>
      <c r="R84" s="33">
        <f>_xlfn.IFNA((VLOOKUP($M84,'Input Screen'!$C$7:$K$101, (R$8+1), 0)/SQRT(SUMSQ('Input Screen'!H$7:H$101)))*R$6, 0)</f>
        <v>0</v>
      </c>
      <c r="S84" s="33">
        <f>_xlfn.IFNA((VLOOKUP($M84,'Input Screen'!$C$7:$K$101, (S$8+1), 0)/SQRT(SUMSQ('Input Screen'!I$7:I$101)))*S$6, 0)</f>
        <v>0</v>
      </c>
      <c r="T84" s="33">
        <f>_xlfn.IFNA((VLOOKUP($M84,'Input Screen'!$C$7:$K$101, (T$8+1), 0)/SQRT(SUMSQ('Input Screen'!J$7:J$101)))*T$6, 0)</f>
        <v>0</v>
      </c>
      <c r="U84" s="33">
        <f>_xlfn.IFNA((VLOOKUP($M84,'Input Screen'!$C$7:$K$101, (U$8+1), 0)/SQRT(SUMSQ('Input Screen'!K$7:K$101)))*U$6, 0)</f>
        <v>0</v>
      </c>
      <c r="V84" s="36">
        <f>IF('Topsis LP Auto'!$M84 = 0, 0, SQRT((N84-MAX(N$10:N$109))^2 + (O84-MAX(O$10:O$109))^2 + (P84-MAX(P$10:P$109))^2 + (Q84-MAX(Q$10:Q$109))^2 + (R84-MAX(R$10:R$109))^2 + (S84-MAX(S$10:S$109))^2 + (T84-MAX(T$10:T$109))^2 +(U84-MAX(U$10:U$109))^2))</f>
        <v>0</v>
      </c>
      <c r="W84" s="33">
        <f>IF('Topsis LP Auto'!$M84=0, 0, SQRT((N84-MIN(N$10:N$109))^2 + (O84-MIN(O$10:O$109))^2 + (P84-MIN(P$10:P$109))^2 + (Q84-MIN(Q$10:Q$109))^2 + (R84-MIN(R$10:R$109))^2 + (S84-MIN(S$10:S$109))^2 + (T84-MIN(T$10:T$109))^2 +(U84-MIN(U$10:U$109))^2))</f>
        <v>0</v>
      </c>
      <c r="X84" s="31">
        <f>IF('Topsis LP Auto'!$M84 = 0, 0, W84/(V84+W84))</f>
        <v>0</v>
      </c>
    </row>
    <row r="85" spans="1:24" ht="16.5" thickBot="1" x14ac:dyDescent="0.3">
      <c r="A85" s="78">
        <f>'Topsis LP Auto'!$M85</f>
        <v>0</v>
      </c>
      <c r="B85" s="34">
        <v>0</v>
      </c>
      <c r="C85" s="34">
        <v>0</v>
      </c>
      <c r="D85" s="67">
        <f>SUM('Topsis LP Auto'!$B85:$C85)</f>
        <v>0</v>
      </c>
      <c r="E85" s="34">
        <f>IF('Topsis LP Auto'!$J85 = 0, 0, (B85/J85))</f>
        <v>0</v>
      </c>
      <c r="F85" s="67">
        <f>IF(I85 = 0, 0, ('Topsis LP Auto'!$D85)/I85)</f>
        <v>0</v>
      </c>
      <c r="G85" s="67">
        <f t="shared" si="1"/>
        <v>0</v>
      </c>
      <c r="H85" s="67">
        <f>'Topsis LP Auto'!$D85*K85</f>
        <v>0</v>
      </c>
      <c r="I85" s="34">
        <f>_xlfn.IFNA(VLOOKUP($A85, 'Input Screen'!$C$7:$M$101, 10, FALSE), 0)</f>
        <v>0</v>
      </c>
      <c r="J85" s="34">
        <f>_xlfn.IFNA(VLOOKUP($A85, 'Input Screen'!$C$7:$M$101, 11, FALSE), 0)</f>
        <v>0</v>
      </c>
      <c r="K85" s="34">
        <f>VLOOKUP('Topsis LP Auto'!$A85, 'Topsis LP Auto'!$M$10:$X$109, 12, FALSE)</f>
        <v>0</v>
      </c>
      <c r="M85" s="26">
        <f>'Input Screen'!C82</f>
        <v>0</v>
      </c>
      <c r="N85" s="35">
        <f>_xlfn.IFNA((VLOOKUP($M85,'Input Screen'!$C$7:$K$101, (N$8+1), 0)/SQRT(SUMSQ('Input Screen'!D$7:D$101)))*N$6, 0)</f>
        <v>0</v>
      </c>
      <c r="O85" s="35">
        <f>_xlfn.IFNA((VLOOKUP($M85,'Input Screen'!$C$7:$K$101, (O$8+1), 0)/SQRT(SUMSQ('Input Screen'!E$7:E$101)))*O$6, 0)</f>
        <v>0</v>
      </c>
      <c r="P85" s="35">
        <f>_xlfn.IFNA((VLOOKUP($M85,'Input Screen'!$C$7:$K$101, (P$8+1), 0)/SQRT(SUMSQ('Input Screen'!F$7:F$101)))*P$6, 0)</f>
        <v>0</v>
      </c>
      <c r="Q85" s="35">
        <f>_xlfn.IFNA((VLOOKUP($M85,'Input Screen'!$C$7:$K$101, (Q$8+1), 0)/SQRT(SUMSQ('Input Screen'!G$7:G$101)))*Q$6, 0)</f>
        <v>0</v>
      </c>
      <c r="R85" s="35">
        <f>_xlfn.IFNA((VLOOKUP($M85,'Input Screen'!$C$7:$K$101, (R$8+1), 0)/SQRT(SUMSQ('Input Screen'!H$7:H$101)))*R$6, 0)</f>
        <v>0</v>
      </c>
      <c r="S85" s="35">
        <f>_xlfn.IFNA((VLOOKUP($M85,'Input Screen'!$C$7:$K$101, (S$8+1), 0)/SQRT(SUMSQ('Input Screen'!I$7:I$101)))*S$6, 0)</f>
        <v>0</v>
      </c>
      <c r="T85" s="35">
        <f>_xlfn.IFNA((VLOOKUP($M85,'Input Screen'!$C$7:$K$101, (T$8+1), 0)/SQRT(SUMSQ('Input Screen'!J$7:J$101)))*T$6, 0)</f>
        <v>0</v>
      </c>
      <c r="U85" s="35">
        <f>_xlfn.IFNA((VLOOKUP($M85,'Input Screen'!$C$7:$K$101, (U$8+1), 0)/SQRT(SUMSQ('Input Screen'!K$7:K$101)))*U$6, 0)</f>
        <v>0</v>
      </c>
      <c r="V85" s="37">
        <f>IF('Topsis LP Auto'!$M85 = 0, 0, SQRT((N85-MAX(N$10:N$109))^2 + (O85-MAX(O$10:O$109))^2 + (P85-MAX(P$10:P$109))^2 + (Q85-MAX(Q$10:Q$109))^2 + (R85-MAX(R$10:R$109))^2 + (S85-MAX(S$10:S$109))^2 + (T85-MAX(T$10:T$109))^2 +(U85-MAX(U$10:U$109))^2))</f>
        <v>0</v>
      </c>
      <c r="W85" s="35">
        <f>IF('Topsis LP Auto'!$M85=0, 0, SQRT((N85-MIN(N$10:N$109))^2 + (O85-MIN(O$10:O$109))^2 + (P85-MIN(P$10:P$109))^2 + (Q85-MIN(Q$10:Q$109))^2 + (R85-MIN(R$10:R$109))^2 + (S85-MIN(S$10:S$109))^2 + (T85-MIN(T$10:T$109))^2 +(U85-MIN(U$10:U$109))^2))</f>
        <v>0</v>
      </c>
      <c r="X85" s="34">
        <f>IF('Topsis LP Auto'!$M85 = 0, 0, W85/(V85+W85))</f>
        <v>0</v>
      </c>
    </row>
    <row r="86" spans="1:24" ht="16.5" thickBot="1" x14ac:dyDescent="0.3">
      <c r="A86" s="76">
        <f>'Topsis LP Auto'!$M86</f>
        <v>0</v>
      </c>
      <c r="B86" s="31">
        <v>0</v>
      </c>
      <c r="C86" s="31">
        <v>0</v>
      </c>
      <c r="D86" s="68">
        <f>SUM('Topsis LP Auto'!$B86:$C86)</f>
        <v>0</v>
      </c>
      <c r="E86" s="31">
        <f>IF('Topsis LP Auto'!$J86 = 0, 0, (B86/J86))</f>
        <v>0</v>
      </c>
      <c r="F86" s="68">
        <f>IF(I86 = 0, 0, ('Topsis LP Auto'!$D86)/I86)</f>
        <v>0</v>
      </c>
      <c r="G86" s="68">
        <f t="shared" si="1"/>
        <v>0</v>
      </c>
      <c r="H86" s="68">
        <f>'Topsis LP Auto'!$D86*K86</f>
        <v>0</v>
      </c>
      <c r="I86" s="31">
        <f>_xlfn.IFNA(VLOOKUP($A86, 'Input Screen'!$C$7:$M$101, 10, FALSE), 0)</f>
        <v>0</v>
      </c>
      <c r="J86" s="31">
        <f>_xlfn.IFNA(VLOOKUP($A86, 'Input Screen'!$C$7:$M$101, 11, FALSE), 0)</f>
        <v>0</v>
      </c>
      <c r="K86" s="31">
        <f>VLOOKUP('Topsis LP Auto'!$A86, 'Topsis LP Auto'!$M$10:$X$109, 12, FALSE)</f>
        <v>0</v>
      </c>
      <c r="M86" s="32">
        <f>'Input Screen'!C83</f>
        <v>0</v>
      </c>
      <c r="N86" s="33">
        <f>_xlfn.IFNA((VLOOKUP($M86,'Input Screen'!$C$7:$K$101, (N$8+1), 0)/SQRT(SUMSQ('Input Screen'!D$7:D$101)))*N$6, 0)</f>
        <v>0</v>
      </c>
      <c r="O86" s="33">
        <f>_xlfn.IFNA((VLOOKUP($M86,'Input Screen'!$C$7:$K$101, (O$8+1), 0)/SQRT(SUMSQ('Input Screen'!E$7:E$101)))*O$6, 0)</f>
        <v>0</v>
      </c>
      <c r="P86" s="33">
        <f>_xlfn.IFNA((VLOOKUP($M86,'Input Screen'!$C$7:$K$101, (P$8+1), 0)/SQRT(SUMSQ('Input Screen'!F$7:F$101)))*P$6, 0)</f>
        <v>0</v>
      </c>
      <c r="Q86" s="33">
        <f>_xlfn.IFNA((VLOOKUP($M86,'Input Screen'!$C$7:$K$101, (Q$8+1), 0)/SQRT(SUMSQ('Input Screen'!G$7:G$101)))*Q$6, 0)</f>
        <v>0</v>
      </c>
      <c r="R86" s="33">
        <f>_xlfn.IFNA((VLOOKUP($M86,'Input Screen'!$C$7:$K$101, (R$8+1), 0)/SQRT(SUMSQ('Input Screen'!H$7:H$101)))*R$6, 0)</f>
        <v>0</v>
      </c>
      <c r="S86" s="33">
        <f>_xlfn.IFNA((VLOOKUP($M86,'Input Screen'!$C$7:$K$101, (S$8+1), 0)/SQRT(SUMSQ('Input Screen'!I$7:I$101)))*S$6, 0)</f>
        <v>0</v>
      </c>
      <c r="T86" s="33">
        <f>_xlfn.IFNA((VLOOKUP($M86,'Input Screen'!$C$7:$K$101, (T$8+1), 0)/SQRT(SUMSQ('Input Screen'!J$7:J$101)))*T$6, 0)</f>
        <v>0</v>
      </c>
      <c r="U86" s="33">
        <f>_xlfn.IFNA((VLOOKUP($M86,'Input Screen'!$C$7:$K$101, (U$8+1), 0)/SQRT(SUMSQ('Input Screen'!K$7:K$101)))*U$6, 0)</f>
        <v>0</v>
      </c>
      <c r="V86" s="36">
        <f>IF('Topsis LP Auto'!$M86 = 0, 0, SQRT((N86-MAX(N$10:N$109))^2 + (O86-MAX(O$10:O$109))^2 + (P86-MAX(P$10:P$109))^2 + (Q86-MAX(Q$10:Q$109))^2 + (R86-MAX(R$10:R$109))^2 + (S86-MAX(S$10:S$109))^2 + (T86-MAX(T$10:T$109))^2 +(U86-MAX(U$10:U$109))^2))</f>
        <v>0</v>
      </c>
      <c r="W86" s="33">
        <f>IF('Topsis LP Auto'!$M86=0, 0, SQRT((N86-MIN(N$10:N$109))^2 + (O86-MIN(O$10:O$109))^2 + (P86-MIN(P$10:P$109))^2 + (Q86-MIN(Q$10:Q$109))^2 + (R86-MIN(R$10:R$109))^2 + (S86-MIN(S$10:S$109))^2 + (T86-MIN(T$10:T$109))^2 +(U86-MIN(U$10:U$109))^2))</f>
        <v>0</v>
      </c>
      <c r="X86" s="31">
        <f>IF('Topsis LP Auto'!$M86 = 0, 0, W86/(V86+W86))</f>
        <v>0</v>
      </c>
    </row>
    <row r="87" spans="1:24" ht="16.5" thickBot="1" x14ac:dyDescent="0.3">
      <c r="A87" s="78">
        <f>'Topsis LP Auto'!$M87</f>
        <v>0</v>
      </c>
      <c r="B87" s="34">
        <v>0</v>
      </c>
      <c r="C87" s="34">
        <v>0</v>
      </c>
      <c r="D87" s="67">
        <f>SUM('Topsis LP Auto'!$B87:$C87)</f>
        <v>0</v>
      </c>
      <c r="E87" s="34">
        <f>IF('Topsis LP Auto'!$J87 = 0, 0, (B87/J87))</f>
        <v>0</v>
      </c>
      <c r="F87" s="67">
        <f>IF(I87 = 0, 0, ('Topsis LP Auto'!$D87)/I87)</f>
        <v>0</v>
      </c>
      <c r="G87" s="67">
        <f t="shared" si="1"/>
        <v>0</v>
      </c>
      <c r="H87" s="67">
        <f>'Topsis LP Auto'!$D87*K87</f>
        <v>0</v>
      </c>
      <c r="I87" s="34">
        <f>_xlfn.IFNA(VLOOKUP($A87, 'Input Screen'!$C$7:$M$101, 10, FALSE), 0)</f>
        <v>0</v>
      </c>
      <c r="J87" s="34">
        <f>_xlfn.IFNA(VLOOKUP($A87, 'Input Screen'!$C$7:$M$101, 11, FALSE), 0)</f>
        <v>0</v>
      </c>
      <c r="K87" s="34">
        <f>VLOOKUP('Topsis LP Auto'!$A87, 'Topsis LP Auto'!$M$10:$X$109, 12, FALSE)</f>
        <v>0</v>
      </c>
      <c r="M87" s="26">
        <f>'Input Screen'!C84</f>
        <v>0</v>
      </c>
      <c r="N87" s="35">
        <f>_xlfn.IFNA((VLOOKUP($M87,'Input Screen'!$C$7:$K$101, (N$8+1), 0)/SQRT(SUMSQ('Input Screen'!D$7:D$101)))*N$6, 0)</f>
        <v>0</v>
      </c>
      <c r="O87" s="35">
        <f>_xlfn.IFNA((VLOOKUP($M87,'Input Screen'!$C$7:$K$101, (O$8+1), 0)/SQRT(SUMSQ('Input Screen'!E$7:E$101)))*O$6, 0)</f>
        <v>0</v>
      </c>
      <c r="P87" s="35">
        <f>_xlfn.IFNA((VLOOKUP($M87,'Input Screen'!$C$7:$K$101, (P$8+1), 0)/SQRT(SUMSQ('Input Screen'!F$7:F$101)))*P$6, 0)</f>
        <v>0</v>
      </c>
      <c r="Q87" s="35">
        <f>_xlfn.IFNA((VLOOKUP($M87,'Input Screen'!$C$7:$K$101, (Q$8+1), 0)/SQRT(SUMSQ('Input Screen'!G$7:G$101)))*Q$6, 0)</f>
        <v>0</v>
      </c>
      <c r="R87" s="35">
        <f>_xlfn.IFNA((VLOOKUP($M87,'Input Screen'!$C$7:$K$101, (R$8+1), 0)/SQRT(SUMSQ('Input Screen'!H$7:H$101)))*R$6, 0)</f>
        <v>0</v>
      </c>
      <c r="S87" s="35">
        <f>_xlfn.IFNA((VLOOKUP($M87,'Input Screen'!$C$7:$K$101, (S$8+1), 0)/SQRT(SUMSQ('Input Screen'!I$7:I$101)))*S$6, 0)</f>
        <v>0</v>
      </c>
      <c r="T87" s="35">
        <f>_xlfn.IFNA((VLOOKUP($M87,'Input Screen'!$C$7:$K$101, (T$8+1), 0)/SQRT(SUMSQ('Input Screen'!J$7:J$101)))*T$6, 0)</f>
        <v>0</v>
      </c>
      <c r="U87" s="35">
        <f>_xlfn.IFNA((VLOOKUP($M87,'Input Screen'!$C$7:$K$101, (U$8+1), 0)/SQRT(SUMSQ('Input Screen'!K$7:K$101)))*U$6, 0)</f>
        <v>0</v>
      </c>
      <c r="V87" s="37">
        <f>IF('Topsis LP Auto'!$M87 = 0, 0, SQRT((N87-MAX(N$10:N$109))^2 + (O87-MAX(O$10:O$109))^2 + (P87-MAX(P$10:P$109))^2 + (Q87-MAX(Q$10:Q$109))^2 + (R87-MAX(R$10:R$109))^2 + (S87-MAX(S$10:S$109))^2 + (T87-MAX(T$10:T$109))^2 +(U87-MAX(U$10:U$109))^2))</f>
        <v>0</v>
      </c>
      <c r="W87" s="35">
        <f>IF('Topsis LP Auto'!$M87=0, 0, SQRT((N87-MIN(N$10:N$109))^2 + (O87-MIN(O$10:O$109))^2 + (P87-MIN(P$10:P$109))^2 + (Q87-MIN(Q$10:Q$109))^2 + (R87-MIN(R$10:R$109))^2 + (S87-MIN(S$10:S$109))^2 + (T87-MIN(T$10:T$109))^2 +(U87-MIN(U$10:U$109))^2))</f>
        <v>0</v>
      </c>
      <c r="X87" s="34">
        <f>IF('Topsis LP Auto'!$M87 = 0, 0, W87/(V87+W87))</f>
        <v>0</v>
      </c>
    </row>
    <row r="88" spans="1:24" ht="16.5" thickBot="1" x14ac:dyDescent="0.3">
      <c r="A88" s="76">
        <f>'Topsis LP Auto'!$M88</f>
        <v>0</v>
      </c>
      <c r="B88" s="31">
        <v>0</v>
      </c>
      <c r="C88" s="31">
        <v>0</v>
      </c>
      <c r="D88" s="68">
        <f>SUM('Topsis LP Auto'!$B88:$C88)</f>
        <v>0</v>
      </c>
      <c r="E88" s="31">
        <f>IF('Topsis LP Auto'!$J88 = 0, 0, (B88/J88))</f>
        <v>0</v>
      </c>
      <c r="F88" s="68">
        <f>IF(I88 = 0, 0, ('Topsis LP Auto'!$D88)/I88)</f>
        <v>0</v>
      </c>
      <c r="G88" s="68">
        <f t="shared" si="1"/>
        <v>0</v>
      </c>
      <c r="H88" s="68">
        <f>'Topsis LP Auto'!$D88*K88</f>
        <v>0</v>
      </c>
      <c r="I88" s="31">
        <f>_xlfn.IFNA(VLOOKUP($A88, 'Input Screen'!$C$7:$M$101, 10, FALSE), 0)</f>
        <v>0</v>
      </c>
      <c r="J88" s="31">
        <f>_xlfn.IFNA(VLOOKUP($A88, 'Input Screen'!$C$7:$M$101, 11, FALSE), 0)</f>
        <v>0</v>
      </c>
      <c r="K88" s="31">
        <f>VLOOKUP('Topsis LP Auto'!$A88, 'Topsis LP Auto'!$M$10:$X$109, 12, FALSE)</f>
        <v>0</v>
      </c>
      <c r="M88" s="32">
        <f>'Input Screen'!C85</f>
        <v>0</v>
      </c>
      <c r="N88" s="33">
        <f>_xlfn.IFNA((VLOOKUP($M88,'Input Screen'!$C$7:$K$101, (N$8+1), 0)/SQRT(SUMSQ('Input Screen'!D$7:D$101)))*N$6, 0)</f>
        <v>0</v>
      </c>
      <c r="O88" s="33">
        <f>_xlfn.IFNA((VLOOKUP($M88,'Input Screen'!$C$7:$K$101, (O$8+1), 0)/SQRT(SUMSQ('Input Screen'!E$7:E$101)))*O$6, 0)</f>
        <v>0</v>
      </c>
      <c r="P88" s="33">
        <f>_xlfn.IFNA((VLOOKUP($M88,'Input Screen'!$C$7:$K$101, (P$8+1), 0)/SQRT(SUMSQ('Input Screen'!F$7:F$101)))*P$6, 0)</f>
        <v>0</v>
      </c>
      <c r="Q88" s="33">
        <f>_xlfn.IFNA((VLOOKUP($M88,'Input Screen'!$C$7:$K$101, (Q$8+1), 0)/SQRT(SUMSQ('Input Screen'!G$7:G$101)))*Q$6, 0)</f>
        <v>0</v>
      </c>
      <c r="R88" s="33">
        <f>_xlfn.IFNA((VLOOKUP($M88,'Input Screen'!$C$7:$K$101, (R$8+1), 0)/SQRT(SUMSQ('Input Screen'!H$7:H$101)))*R$6, 0)</f>
        <v>0</v>
      </c>
      <c r="S88" s="33">
        <f>_xlfn.IFNA((VLOOKUP($M88,'Input Screen'!$C$7:$K$101, (S$8+1), 0)/SQRT(SUMSQ('Input Screen'!I$7:I$101)))*S$6, 0)</f>
        <v>0</v>
      </c>
      <c r="T88" s="33">
        <f>_xlfn.IFNA((VLOOKUP($M88,'Input Screen'!$C$7:$K$101, (T$8+1), 0)/SQRT(SUMSQ('Input Screen'!J$7:J$101)))*T$6, 0)</f>
        <v>0</v>
      </c>
      <c r="U88" s="33">
        <f>_xlfn.IFNA((VLOOKUP($M88,'Input Screen'!$C$7:$K$101, (U$8+1), 0)/SQRT(SUMSQ('Input Screen'!K$7:K$101)))*U$6, 0)</f>
        <v>0</v>
      </c>
      <c r="V88" s="36">
        <f>IF('Topsis LP Auto'!$M88 = 0, 0, SQRT((N88-MAX(N$10:N$109))^2 + (O88-MAX(O$10:O$109))^2 + (P88-MAX(P$10:P$109))^2 + (Q88-MAX(Q$10:Q$109))^2 + (R88-MAX(R$10:R$109))^2 + (S88-MAX(S$10:S$109))^2 + (T88-MAX(T$10:T$109))^2 +(U88-MAX(U$10:U$109))^2))</f>
        <v>0</v>
      </c>
      <c r="W88" s="33">
        <f>IF('Topsis LP Auto'!$M88=0, 0, SQRT((N88-MIN(N$10:N$109))^2 + (O88-MIN(O$10:O$109))^2 + (P88-MIN(P$10:P$109))^2 + (Q88-MIN(Q$10:Q$109))^2 + (R88-MIN(R$10:R$109))^2 + (S88-MIN(S$10:S$109))^2 + (T88-MIN(T$10:T$109))^2 +(U88-MIN(U$10:U$109))^2))</f>
        <v>0</v>
      </c>
      <c r="X88" s="31">
        <f>IF('Topsis LP Auto'!$M88 = 0, 0, W88/(V88+W88))</f>
        <v>0</v>
      </c>
    </row>
    <row r="89" spans="1:24" ht="16.5" thickBot="1" x14ac:dyDescent="0.3">
      <c r="A89" s="78">
        <f>'Topsis LP Auto'!$M89</f>
        <v>0</v>
      </c>
      <c r="B89" s="34">
        <v>0</v>
      </c>
      <c r="C89" s="34">
        <v>0</v>
      </c>
      <c r="D89" s="67">
        <f>SUM('Topsis LP Auto'!$B89:$C89)</f>
        <v>0</v>
      </c>
      <c r="E89" s="34">
        <f>IF('Topsis LP Auto'!$J89 = 0, 0, (B89/J89))</f>
        <v>0</v>
      </c>
      <c r="F89" s="67">
        <f>IF(I89 = 0, 0, ('Topsis LP Auto'!$D89)/I89)</f>
        <v>0</v>
      </c>
      <c r="G89" s="67">
        <f t="shared" si="1"/>
        <v>0</v>
      </c>
      <c r="H89" s="67">
        <f>'Topsis LP Auto'!$D89*K89</f>
        <v>0</v>
      </c>
      <c r="I89" s="34">
        <f>_xlfn.IFNA(VLOOKUP($A89, 'Input Screen'!$C$7:$M$101, 10, FALSE), 0)</f>
        <v>0</v>
      </c>
      <c r="J89" s="34">
        <f>_xlfn.IFNA(VLOOKUP($A89, 'Input Screen'!$C$7:$M$101, 11, FALSE), 0)</f>
        <v>0</v>
      </c>
      <c r="K89" s="34">
        <f>VLOOKUP('Topsis LP Auto'!$A89, 'Topsis LP Auto'!$M$10:$X$109, 12, FALSE)</f>
        <v>0</v>
      </c>
      <c r="M89" s="26">
        <f>'Input Screen'!C86</f>
        <v>0</v>
      </c>
      <c r="N89" s="35">
        <f>_xlfn.IFNA((VLOOKUP($M89,'Input Screen'!$C$7:$K$101, (N$8+1), 0)/SQRT(SUMSQ('Input Screen'!D$7:D$101)))*N$6, 0)</f>
        <v>0</v>
      </c>
      <c r="O89" s="35">
        <f>_xlfn.IFNA((VLOOKUP($M89,'Input Screen'!$C$7:$K$101, (O$8+1), 0)/SQRT(SUMSQ('Input Screen'!E$7:E$101)))*O$6, 0)</f>
        <v>0</v>
      </c>
      <c r="P89" s="35">
        <f>_xlfn.IFNA((VLOOKUP($M89,'Input Screen'!$C$7:$K$101, (P$8+1), 0)/SQRT(SUMSQ('Input Screen'!F$7:F$101)))*P$6, 0)</f>
        <v>0</v>
      </c>
      <c r="Q89" s="35">
        <f>_xlfn.IFNA((VLOOKUP($M89,'Input Screen'!$C$7:$K$101, (Q$8+1), 0)/SQRT(SUMSQ('Input Screen'!G$7:G$101)))*Q$6, 0)</f>
        <v>0</v>
      </c>
      <c r="R89" s="35">
        <f>_xlfn.IFNA((VLOOKUP($M89,'Input Screen'!$C$7:$K$101, (R$8+1), 0)/SQRT(SUMSQ('Input Screen'!H$7:H$101)))*R$6, 0)</f>
        <v>0</v>
      </c>
      <c r="S89" s="35">
        <f>_xlfn.IFNA((VLOOKUP($M89,'Input Screen'!$C$7:$K$101, (S$8+1), 0)/SQRT(SUMSQ('Input Screen'!I$7:I$101)))*S$6, 0)</f>
        <v>0</v>
      </c>
      <c r="T89" s="35">
        <f>_xlfn.IFNA((VLOOKUP($M89,'Input Screen'!$C$7:$K$101, (T$8+1), 0)/SQRT(SUMSQ('Input Screen'!J$7:J$101)))*T$6, 0)</f>
        <v>0</v>
      </c>
      <c r="U89" s="35">
        <f>_xlfn.IFNA((VLOOKUP($M89,'Input Screen'!$C$7:$K$101, (U$8+1), 0)/SQRT(SUMSQ('Input Screen'!K$7:K$101)))*U$6, 0)</f>
        <v>0</v>
      </c>
      <c r="V89" s="37">
        <f>IF('Topsis LP Auto'!$M89 = 0, 0, SQRT((N89-MAX(N$10:N$109))^2 + (O89-MAX(O$10:O$109))^2 + (P89-MAX(P$10:P$109))^2 + (Q89-MAX(Q$10:Q$109))^2 + (R89-MAX(R$10:R$109))^2 + (S89-MAX(S$10:S$109))^2 + (T89-MAX(T$10:T$109))^2 +(U89-MAX(U$10:U$109))^2))</f>
        <v>0</v>
      </c>
      <c r="W89" s="35">
        <f>IF('Topsis LP Auto'!$M89=0, 0, SQRT((N89-MIN(N$10:N$109))^2 + (O89-MIN(O$10:O$109))^2 + (P89-MIN(P$10:P$109))^2 + (Q89-MIN(Q$10:Q$109))^2 + (R89-MIN(R$10:R$109))^2 + (S89-MIN(S$10:S$109))^2 + (T89-MIN(T$10:T$109))^2 +(U89-MIN(U$10:U$109))^2))</f>
        <v>0</v>
      </c>
      <c r="X89" s="34">
        <f>IF('Topsis LP Auto'!$M89 = 0, 0, W89/(V89+W89))</f>
        <v>0</v>
      </c>
    </row>
    <row r="90" spans="1:24" ht="16.5" thickBot="1" x14ac:dyDescent="0.3">
      <c r="A90" s="76">
        <f>'Topsis LP Auto'!$M90</f>
        <v>0</v>
      </c>
      <c r="B90" s="31">
        <v>0</v>
      </c>
      <c r="C90" s="31">
        <v>0</v>
      </c>
      <c r="D90" s="68">
        <f>SUM('Topsis LP Auto'!$B90:$C90)</f>
        <v>0</v>
      </c>
      <c r="E90" s="31">
        <f>IF('Topsis LP Auto'!$J90 = 0, 0, (B90/J90))</f>
        <v>0</v>
      </c>
      <c r="F90" s="68">
        <f>IF(I90 = 0, 0, ('Topsis LP Auto'!$D90)/I90)</f>
        <v>0</v>
      </c>
      <c r="G90" s="68">
        <f t="shared" si="1"/>
        <v>0</v>
      </c>
      <c r="H90" s="68">
        <f>'Topsis LP Auto'!$D90*K90</f>
        <v>0</v>
      </c>
      <c r="I90" s="31">
        <f>_xlfn.IFNA(VLOOKUP($A90, 'Input Screen'!$C$7:$M$101, 10, FALSE), 0)</f>
        <v>0</v>
      </c>
      <c r="J90" s="31">
        <f>_xlfn.IFNA(VLOOKUP($A90, 'Input Screen'!$C$7:$M$101, 11, FALSE), 0)</f>
        <v>0</v>
      </c>
      <c r="K90" s="31">
        <f>VLOOKUP('Topsis LP Auto'!$A90, 'Topsis LP Auto'!$M$10:$X$109, 12, FALSE)</f>
        <v>0</v>
      </c>
      <c r="M90" s="32">
        <f>'Input Screen'!C87</f>
        <v>0</v>
      </c>
      <c r="N90" s="33">
        <f>_xlfn.IFNA((VLOOKUP($M90,'Input Screen'!$C$7:$K$101, (N$8+1), 0)/SQRT(SUMSQ('Input Screen'!D$7:D$101)))*N$6, 0)</f>
        <v>0</v>
      </c>
      <c r="O90" s="33">
        <f>_xlfn.IFNA((VLOOKUP($M90,'Input Screen'!$C$7:$K$101, (O$8+1), 0)/SQRT(SUMSQ('Input Screen'!E$7:E$101)))*O$6, 0)</f>
        <v>0</v>
      </c>
      <c r="P90" s="33">
        <f>_xlfn.IFNA((VLOOKUP($M90,'Input Screen'!$C$7:$K$101, (P$8+1), 0)/SQRT(SUMSQ('Input Screen'!F$7:F$101)))*P$6, 0)</f>
        <v>0</v>
      </c>
      <c r="Q90" s="33">
        <f>_xlfn.IFNA((VLOOKUP($M90,'Input Screen'!$C$7:$K$101, (Q$8+1), 0)/SQRT(SUMSQ('Input Screen'!G$7:G$101)))*Q$6, 0)</f>
        <v>0</v>
      </c>
      <c r="R90" s="33">
        <f>_xlfn.IFNA((VLOOKUP($M90,'Input Screen'!$C$7:$K$101, (R$8+1), 0)/SQRT(SUMSQ('Input Screen'!H$7:H$101)))*R$6, 0)</f>
        <v>0</v>
      </c>
      <c r="S90" s="33">
        <f>_xlfn.IFNA((VLOOKUP($M90,'Input Screen'!$C$7:$K$101, (S$8+1), 0)/SQRT(SUMSQ('Input Screen'!I$7:I$101)))*S$6, 0)</f>
        <v>0</v>
      </c>
      <c r="T90" s="33">
        <f>_xlfn.IFNA((VLOOKUP($M90,'Input Screen'!$C$7:$K$101, (T$8+1), 0)/SQRT(SUMSQ('Input Screen'!J$7:J$101)))*T$6, 0)</f>
        <v>0</v>
      </c>
      <c r="U90" s="33">
        <f>_xlfn.IFNA((VLOOKUP($M90,'Input Screen'!$C$7:$K$101, (U$8+1), 0)/SQRT(SUMSQ('Input Screen'!K$7:K$101)))*U$6, 0)</f>
        <v>0</v>
      </c>
      <c r="V90" s="36">
        <f>IF('Topsis LP Auto'!$M90 = 0, 0, SQRT((N90-MAX(N$10:N$109))^2 + (O90-MAX(O$10:O$109))^2 + (P90-MAX(P$10:P$109))^2 + (Q90-MAX(Q$10:Q$109))^2 + (R90-MAX(R$10:R$109))^2 + (S90-MAX(S$10:S$109))^2 + (T90-MAX(T$10:T$109))^2 +(U90-MAX(U$10:U$109))^2))</f>
        <v>0</v>
      </c>
      <c r="W90" s="33">
        <f>IF('Topsis LP Auto'!$M90=0, 0, SQRT((N90-MIN(N$10:N$109))^2 + (O90-MIN(O$10:O$109))^2 + (P90-MIN(P$10:P$109))^2 + (Q90-MIN(Q$10:Q$109))^2 + (R90-MIN(R$10:R$109))^2 + (S90-MIN(S$10:S$109))^2 + (T90-MIN(T$10:T$109))^2 +(U90-MIN(U$10:U$109))^2))</f>
        <v>0</v>
      </c>
      <c r="X90" s="31">
        <f>IF('Topsis LP Auto'!$M90 = 0, 0, W90/(V90+W90))</f>
        <v>0</v>
      </c>
    </row>
    <row r="91" spans="1:24" ht="16.5" thickBot="1" x14ac:dyDescent="0.3">
      <c r="A91" s="78">
        <f>'Topsis LP Auto'!$M91</f>
        <v>0</v>
      </c>
      <c r="B91" s="34">
        <v>0</v>
      </c>
      <c r="C91" s="34">
        <v>0</v>
      </c>
      <c r="D91" s="67">
        <f>SUM('Topsis LP Auto'!$B91:$C91)</f>
        <v>0</v>
      </c>
      <c r="E91" s="34">
        <f>IF('Topsis LP Auto'!$J91 = 0, 0, (B91/J91))</f>
        <v>0</v>
      </c>
      <c r="F91" s="67">
        <f>IF(I91 = 0, 0, ('Topsis LP Auto'!$D91)/I91)</f>
        <v>0</v>
      </c>
      <c r="G91" s="67">
        <f t="shared" si="1"/>
        <v>0</v>
      </c>
      <c r="H91" s="67">
        <f>'Topsis LP Auto'!$D91*K91</f>
        <v>0</v>
      </c>
      <c r="I91" s="34">
        <f>_xlfn.IFNA(VLOOKUP($A91, 'Input Screen'!$C$7:$M$101, 10, FALSE), 0)</f>
        <v>0</v>
      </c>
      <c r="J91" s="34">
        <f>_xlfn.IFNA(VLOOKUP($A91, 'Input Screen'!$C$7:$M$101, 11, FALSE), 0)</f>
        <v>0</v>
      </c>
      <c r="K91" s="34">
        <f>VLOOKUP('Topsis LP Auto'!$A91, 'Topsis LP Auto'!$M$10:$X$109, 12, FALSE)</f>
        <v>0</v>
      </c>
      <c r="M91" s="26">
        <f>'Input Screen'!C88</f>
        <v>0</v>
      </c>
      <c r="N91" s="35">
        <f>_xlfn.IFNA((VLOOKUP($M91,'Input Screen'!$C$7:$K$101, (N$8+1), 0)/SQRT(SUMSQ('Input Screen'!D$7:D$101)))*N$6, 0)</f>
        <v>0</v>
      </c>
      <c r="O91" s="35">
        <f>_xlfn.IFNA((VLOOKUP($M91,'Input Screen'!$C$7:$K$101, (O$8+1), 0)/SQRT(SUMSQ('Input Screen'!E$7:E$101)))*O$6, 0)</f>
        <v>0</v>
      </c>
      <c r="P91" s="35">
        <f>_xlfn.IFNA((VLOOKUP($M91,'Input Screen'!$C$7:$K$101, (P$8+1), 0)/SQRT(SUMSQ('Input Screen'!F$7:F$101)))*P$6, 0)</f>
        <v>0</v>
      </c>
      <c r="Q91" s="35">
        <f>_xlfn.IFNA((VLOOKUP($M91,'Input Screen'!$C$7:$K$101, (Q$8+1), 0)/SQRT(SUMSQ('Input Screen'!G$7:G$101)))*Q$6, 0)</f>
        <v>0</v>
      </c>
      <c r="R91" s="35">
        <f>_xlfn.IFNA((VLOOKUP($M91,'Input Screen'!$C$7:$K$101, (R$8+1), 0)/SQRT(SUMSQ('Input Screen'!H$7:H$101)))*R$6, 0)</f>
        <v>0</v>
      </c>
      <c r="S91" s="35">
        <f>_xlfn.IFNA((VLOOKUP($M91,'Input Screen'!$C$7:$K$101, (S$8+1), 0)/SQRT(SUMSQ('Input Screen'!I$7:I$101)))*S$6, 0)</f>
        <v>0</v>
      </c>
      <c r="T91" s="35">
        <f>_xlfn.IFNA((VLOOKUP($M91,'Input Screen'!$C$7:$K$101, (T$8+1), 0)/SQRT(SUMSQ('Input Screen'!J$7:J$101)))*T$6, 0)</f>
        <v>0</v>
      </c>
      <c r="U91" s="35">
        <f>_xlfn.IFNA((VLOOKUP($M91,'Input Screen'!$C$7:$K$101, (U$8+1), 0)/SQRT(SUMSQ('Input Screen'!K$7:K$101)))*U$6, 0)</f>
        <v>0</v>
      </c>
      <c r="V91" s="37">
        <f>IF('Topsis LP Auto'!$M91 = 0, 0, SQRT((N91-MAX(N$10:N$109))^2 + (O91-MAX(O$10:O$109))^2 + (P91-MAX(P$10:P$109))^2 + (Q91-MAX(Q$10:Q$109))^2 + (R91-MAX(R$10:R$109))^2 + (S91-MAX(S$10:S$109))^2 + (T91-MAX(T$10:T$109))^2 +(U91-MAX(U$10:U$109))^2))</f>
        <v>0</v>
      </c>
      <c r="W91" s="35">
        <f>IF('Topsis LP Auto'!$M91=0, 0, SQRT((N91-MIN(N$10:N$109))^2 + (O91-MIN(O$10:O$109))^2 + (P91-MIN(P$10:P$109))^2 + (Q91-MIN(Q$10:Q$109))^2 + (R91-MIN(R$10:R$109))^2 + (S91-MIN(S$10:S$109))^2 + (T91-MIN(T$10:T$109))^2 +(U91-MIN(U$10:U$109))^2))</f>
        <v>0</v>
      </c>
      <c r="X91" s="34">
        <f>IF('Topsis LP Auto'!$M91 = 0, 0, W91/(V91+W91))</f>
        <v>0</v>
      </c>
    </row>
    <row r="92" spans="1:24" ht="16.5" thickBot="1" x14ac:dyDescent="0.3">
      <c r="A92" s="76">
        <f>'Topsis LP Auto'!$M92</f>
        <v>0</v>
      </c>
      <c r="B92" s="31">
        <v>0</v>
      </c>
      <c r="C92" s="31">
        <v>0</v>
      </c>
      <c r="D92" s="68">
        <f>SUM('Topsis LP Auto'!$B92:$C92)</f>
        <v>0</v>
      </c>
      <c r="E92" s="31">
        <f>IF('Topsis LP Auto'!$J92 = 0, 0, (B92/J92))</f>
        <v>0</v>
      </c>
      <c r="F92" s="68">
        <f>IF(I92 = 0, 0, ('Topsis LP Auto'!$D92)/I92)</f>
        <v>0</v>
      </c>
      <c r="G92" s="68">
        <f t="shared" si="1"/>
        <v>0</v>
      </c>
      <c r="H92" s="68">
        <f>'Topsis LP Auto'!$D92*K92</f>
        <v>0</v>
      </c>
      <c r="I92" s="31">
        <f>_xlfn.IFNA(VLOOKUP($A92, 'Input Screen'!$C$7:$M$101, 10, FALSE), 0)</f>
        <v>0</v>
      </c>
      <c r="J92" s="31">
        <f>_xlfn.IFNA(VLOOKUP($A92, 'Input Screen'!$C$7:$M$101, 11, FALSE), 0)</f>
        <v>0</v>
      </c>
      <c r="K92" s="31">
        <f>VLOOKUP('Topsis LP Auto'!$A92, 'Topsis LP Auto'!$M$10:$X$109, 12, FALSE)</f>
        <v>0</v>
      </c>
      <c r="M92" s="32">
        <f>'Input Screen'!C89</f>
        <v>0</v>
      </c>
      <c r="N92" s="33">
        <f>_xlfn.IFNA((VLOOKUP($M92,'Input Screen'!$C$7:$K$101, (N$8+1), 0)/SQRT(SUMSQ('Input Screen'!D$7:D$101)))*N$6, 0)</f>
        <v>0</v>
      </c>
      <c r="O92" s="33">
        <f>_xlfn.IFNA((VLOOKUP($M92,'Input Screen'!$C$7:$K$101, (O$8+1), 0)/SQRT(SUMSQ('Input Screen'!E$7:E$101)))*O$6, 0)</f>
        <v>0</v>
      </c>
      <c r="P92" s="33">
        <f>_xlfn.IFNA((VLOOKUP($M92,'Input Screen'!$C$7:$K$101, (P$8+1), 0)/SQRT(SUMSQ('Input Screen'!F$7:F$101)))*P$6, 0)</f>
        <v>0</v>
      </c>
      <c r="Q92" s="33">
        <f>_xlfn.IFNA((VLOOKUP($M92,'Input Screen'!$C$7:$K$101, (Q$8+1), 0)/SQRT(SUMSQ('Input Screen'!G$7:G$101)))*Q$6, 0)</f>
        <v>0</v>
      </c>
      <c r="R92" s="33">
        <f>_xlfn.IFNA((VLOOKUP($M92,'Input Screen'!$C$7:$K$101, (R$8+1), 0)/SQRT(SUMSQ('Input Screen'!H$7:H$101)))*R$6, 0)</f>
        <v>0</v>
      </c>
      <c r="S92" s="33">
        <f>_xlfn.IFNA((VLOOKUP($M92,'Input Screen'!$C$7:$K$101, (S$8+1), 0)/SQRT(SUMSQ('Input Screen'!I$7:I$101)))*S$6, 0)</f>
        <v>0</v>
      </c>
      <c r="T92" s="33">
        <f>_xlfn.IFNA((VLOOKUP($M92,'Input Screen'!$C$7:$K$101, (T$8+1), 0)/SQRT(SUMSQ('Input Screen'!J$7:J$101)))*T$6, 0)</f>
        <v>0</v>
      </c>
      <c r="U92" s="33">
        <f>_xlfn.IFNA((VLOOKUP($M92,'Input Screen'!$C$7:$K$101, (U$8+1), 0)/SQRT(SUMSQ('Input Screen'!K$7:K$101)))*U$6, 0)</f>
        <v>0</v>
      </c>
      <c r="V92" s="36">
        <f>IF('Topsis LP Auto'!$M92 = 0, 0, SQRT((N92-MAX(N$10:N$109))^2 + (O92-MAX(O$10:O$109))^2 + (P92-MAX(P$10:P$109))^2 + (Q92-MAX(Q$10:Q$109))^2 + (R92-MAX(R$10:R$109))^2 + (S92-MAX(S$10:S$109))^2 + (T92-MAX(T$10:T$109))^2 +(U92-MAX(U$10:U$109))^2))</f>
        <v>0</v>
      </c>
      <c r="W92" s="33">
        <f>IF('Topsis LP Auto'!$M92=0, 0, SQRT((N92-MIN(N$10:N$109))^2 + (O92-MIN(O$10:O$109))^2 + (P92-MIN(P$10:P$109))^2 + (Q92-MIN(Q$10:Q$109))^2 + (R92-MIN(R$10:R$109))^2 + (S92-MIN(S$10:S$109))^2 + (T92-MIN(T$10:T$109))^2 +(U92-MIN(U$10:U$109))^2))</f>
        <v>0</v>
      </c>
      <c r="X92" s="31">
        <f>IF('Topsis LP Auto'!$M92 = 0, 0, W92/(V92+W92))</f>
        <v>0</v>
      </c>
    </row>
    <row r="93" spans="1:24" ht="16.5" thickBot="1" x14ac:dyDescent="0.3">
      <c r="A93" s="78">
        <f>'Topsis LP Auto'!$M93</f>
        <v>0</v>
      </c>
      <c r="B93" s="34">
        <v>0</v>
      </c>
      <c r="C93" s="34">
        <v>0</v>
      </c>
      <c r="D93" s="67">
        <f>SUM('Topsis LP Auto'!$B93:$C93)</f>
        <v>0</v>
      </c>
      <c r="E93" s="34">
        <f>IF('Topsis LP Auto'!$J93 = 0, 0, (B93/J93))</f>
        <v>0</v>
      </c>
      <c r="F93" s="67">
        <f>IF(I93 = 0, 0, ('Topsis LP Auto'!$D93)/I93)</f>
        <v>0</v>
      </c>
      <c r="G93" s="67">
        <f t="shared" si="1"/>
        <v>0</v>
      </c>
      <c r="H93" s="67">
        <f>'Topsis LP Auto'!$D93*K93</f>
        <v>0</v>
      </c>
      <c r="I93" s="34">
        <f>_xlfn.IFNA(VLOOKUP($A93, 'Input Screen'!$C$7:$M$101, 10, FALSE), 0)</f>
        <v>0</v>
      </c>
      <c r="J93" s="34">
        <f>_xlfn.IFNA(VLOOKUP($A93, 'Input Screen'!$C$7:$M$101, 11, FALSE), 0)</f>
        <v>0</v>
      </c>
      <c r="K93" s="34">
        <f>VLOOKUP('Topsis LP Auto'!$A93, 'Topsis LP Auto'!$M$10:$X$109, 12, FALSE)</f>
        <v>0</v>
      </c>
      <c r="M93" s="26">
        <f>'Input Screen'!C90</f>
        <v>0</v>
      </c>
      <c r="N93" s="35">
        <f>_xlfn.IFNA((VLOOKUP($M93,'Input Screen'!$C$7:$K$101, (N$8+1), 0)/SQRT(SUMSQ('Input Screen'!D$7:D$101)))*N$6, 0)</f>
        <v>0</v>
      </c>
      <c r="O93" s="35">
        <f>_xlfn.IFNA((VLOOKUP($M93,'Input Screen'!$C$7:$K$101, (O$8+1), 0)/SQRT(SUMSQ('Input Screen'!E$7:E$101)))*O$6, 0)</f>
        <v>0</v>
      </c>
      <c r="P93" s="35">
        <f>_xlfn.IFNA((VLOOKUP($M93,'Input Screen'!$C$7:$K$101, (P$8+1), 0)/SQRT(SUMSQ('Input Screen'!F$7:F$101)))*P$6, 0)</f>
        <v>0</v>
      </c>
      <c r="Q93" s="35">
        <f>_xlfn.IFNA((VLOOKUP($M93,'Input Screen'!$C$7:$K$101, (Q$8+1), 0)/SQRT(SUMSQ('Input Screen'!G$7:G$101)))*Q$6, 0)</f>
        <v>0</v>
      </c>
      <c r="R93" s="35">
        <f>_xlfn.IFNA((VLOOKUP($M93,'Input Screen'!$C$7:$K$101, (R$8+1), 0)/SQRT(SUMSQ('Input Screen'!H$7:H$101)))*R$6, 0)</f>
        <v>0</v>
      </c>
      <c r="S93" s="35">
        <f>_xlfn.IFNA((VLOOKUP($M93,'Input Screen'!$C$7:$K$101, (S$8+1), 0)/SQRT(SUMSQ('Input Screen'!I$7:I$101)))*S$6, 0)</f>
        <v>0</v>
      </c>
      <c r="T93" s="35">
        <f>_xlfn.IFNA((VLOOKUP($M93,'Input Screen'!$C$7:$K$101, (T$8+1), 0)/SQRT(SUMSQ('Input Screen'!J$7:J$101)))*T$6, 0)</f>
        <v>0</v>
      </c>
      <c r="U93" s="35">
        <f>_xlfn.IFNA((VLOOKUP($M93,'Input Screen'!$C$7:$K$101, (U$8+1), 0)/SQRT(SUMSQ('Input Screen'!K$7:K$101)))*U$6, 0)</f>
        <v>0</v>
      </c>
      <c r="V93" s="37">
        <f>IF('Topsis LP Auto'!$M93 = 0, 0, SQRT((N93-MAX(N$10:N$109))^2 + (O93-MAX(O$10:O$109))^2 + (P93-MAX(P$10:P$109))^2 + (Q93-MAX(Q$10:Q$109))^2 + (R93-MAX(R$10:R$109))^2 + (S93-MAX(S$10:S$109))^2 + (T93-MAX(T$10:T$109))^2 +(U93-MAX(U$10:U$109))^2))</f>
        <v>0</v>
      </c>
      <c r="W93" s="35">
        <f>IF('Topsis LP Auto'!$M93=0, 0, SQRT((N93-MIN(N$10:N$109))^2 + (O93-MIN(O$10:O$109))^2 + (P93-MIN(P$10:P$109))^2 + (Q93-MIN(Q$10:Q$109))^2 + (R93-MIN(R$10:R$109))^2 + (S93-MIN(S$10:S$109))^2 + (T93-MIN(T$10:T$109))^2 +(U93-MIN(U$10:U$109))^2))</f>
        <v>0</v>
      </c>
      <c r="X93" s="34">
        <f>IF('Topsis LP Auto'!$M93 = 0, 0, W93/(V93+W93))</f>
        <v>0</v>
      </c>
    </row>
    <row r="94" spans="1:24" ht="16.5" thickBot="1" x14ac:dyDescent="0.3">
      <c r="A94" s="76">
        <f>'Topsis LP Auto'!$M94</f>
        <v>0</v>
      </c>
      <c r="B94" s="31">
        <v>0</v>
      </c>
      <c r="C94" s="31">
        <v>0</v>
      </c>
      <c r="D94" s="68">
        <f>SUM('Topsis LP Auto'!$B94:$C94)</f>
        <v>0</v>
      </c>
      <c r="E94" s="31">
        <f>IF('Topsis LP Auto'!$J94 = 0, 0, (B94/J94))</f>
        <v>0</v>
      </c>
      <c r="F94" s="68">
        <f>IF(I94 = 0, 0, ('Topsis LP Auto'!$D94)/I94)</f>
        <v>0</v>
      </c>
      <c r="G94" s="68">
        <f t="shared" si="1"/>
        <v>0</v>
      </c>
      <c r="H94" s="68">
        <f>'Topsis LP Auto'!$D94*K94</f>
        <v>0</v>
      </c>
      <c r="I94" s="31">
        <f>_xlfn.IFNA(VLOOKUP($A94, 'Input Screen'!$C$7:$M$101, 10, FALSE), 0)</f>
        <v>0</v>
      </c>
      <c r="J94" s="31">
        <f>_xlfn.IFNA(VLOOKUP($A94, 'Input Screen'!$C$7:$M$101, 11, FALSE), 0)</f>
        <v>0</v>
      </c>
      <c r="K94" s="31">
        <f>VLOOKUP('Topsis LP Auto'!$A94, 'Topsis LP Auto'!$M$10:$X$109, 12, FALSE)</f>
        <v>0</v>
      </c>
      <c r="M94" s="32">
        <f>'Input Screen'!C91</f>
        <v>0</v>
      </c>
      <c r="N94" s="33">
        <f>_xlfn.IFNA((VLOOKUP($M94,'Input Screen'!$C$7:$K$101, (N$8+1), 0)/SQRT(SUMSQ('Input Screen'!D$7:D$101)))*N$6, 0)</f>
        <v>0</v>
      </c>
      <c r="O94" s="33">
        <f>_xlfn.IFNA((VLOOKUP($M94,'Input Screen'!$C$7:$K$101, (O$8+1), 0)/SQRT(SUMSQ('Input Screen'!E$7:E$101)))*O$6, 0)</f>
        <v>0</v>
      </c>
      <c r="P94" s="33">
        <f>_xlfn.IFNA((VLOOKUP($M94,'Input Screen'!$C$7:$K$101, (P$8+1), 0)/SQRT(SUMSQ('Input Screen'!F$7:F$101)))*P$6, 0)</f>
        <v>0</v>
      </c>
      <c r="Q94" s="33">
        <f>_xlfn.IFNA((VLOOKUP($M94,'Input Screen'!$C$7:$K$101, (Q$8+1), 0)/SQRT(SUMSQ('Input Screen'!G$7:G$101)))*Q$6, 0)</f>
        <v>0</v>
      </c>
      <c r="R94" s="33">
        <f>_xlfn.IFNA((VLOOKUP($M94,'Input Screen'!$C$7:$K$101, (R$8+1), 0)/SQRT(SUMSQ('Input Screen'!H$7:H$101)))*R$6, 0)</f>
        <v>0</v>
      </c>
      <c r="S94" s="33">
        <f>_xlfn.IFNA((VLOOKUP($M94,'Input Screen'!$C$7:$K$101, (S$8+1), 0)/SQRT(SUMSQ('Input Screen'!I$7:I$101)))*S$6, 0)</f>
        <v>0</v>
      </c>
      <c r="T94" s="33">
        <f>_xlfn.IFNA((VLOOKUP($M94,'Input Screen'!$C$7:$K$101, (T$8+1), 0)/SQRT(SUMSQ('Input Screen'!J$7:J$101)))*T$6, 0)</f>
        <v>0</v>
      </c>
      <c r="U94" s="33">
        <f>_xlfn.IFNA((VLOOKUP($M94,'Input Screen'!$C$7:$K$101, (U$8+1), 0)/SQRT(SUMSQ('Input Screen'!K$7:K$101)))*U$6, 0)</f>
        <v>0</v>
      </c>
      <c r="V94" s="36">
        <f>IF('Topsis LP Auto'!$M94 = 0, 0, SQRT((N94-MAX(N$10:N$109))^2 + (O94-MAX(O$10:O$109))^2 + (P94-MAX(P$10:P$109))^2 + (Q94-MAX(Q$10:Q$109))^2 + (R94-MAX(R$10:R$109))^2 + (S94-MAX(S$10:S$109))^2 + (T94-MAX(T$10:T$109))^2 +(U94-MAX(U$10:U$109))^2))</f>
        <v>0</v>
      </c>
      <c r="W94" s="33">
        <f>IF('Topsis LP Auto'!$M94=0, 0, SQRT((N94-MIN(N$10:N$109))^2 + (O94-MIN(O$10:O$109))^2 + (P94-MIN(P$10:P$109))^2 + (Q94-MIN(Q$10:Q$109))^2 + (R94-MIN(R$10:R$109))^2 + (S94-MIN(S$10:S$109))^2 + (T94-MIN(T$10:T$109))^2 +(U94-MIN(U$10:U$109))^2))</f>
        <v>0</v>
      </c>
      <c r="X94" s="31">
        <f>IF('Topsis LP Auto'!$M94 = 0, 0, W94/(V94+W94))</f>
        <v>0</v>
      </c>
    </row>
    <row r="95" spans="1:24" ht="16.5" thickBot="1" x14ac:dyDescent="0.3">
      <c r="A95" s="78">
        <f>'Topsis LP Auto'!$M95</f>
        <v>0</v>
      </c>
      <c r="B95" s="34">
        <v>0</v>
      </c>
      <c r="C95" s="34">
        <v>0</v>
      </c>
      <c r="D95" s="67">
        <f>SUM('Topsis LP Auto'!$B95:$C95)</f>
        <v>0</v>
      </c>
      <c r="E95" s="34">
        <f>IF('Topsis LP Auto'!$J95 = 0, 0, (B95/J95))</f>
        <v>0</v>
      </c>
      <c r="F95" s="67">
        <f>IF(I95 = 0, 0, ('Topsis LP Auto'!$D95)/I95)</f>
        <v>0</v>
      </c>
      <c r="G95" s="67">
        <f t="shared" si="1"/>
        <v>0</v>
      </c>
      <c r="H95" s="67">
        <f>'Topsis LP Auto'!$D95*K95</f>
        <v>0</v>
      </c>
      <c r="I95" s="34">
        <f>_xlfn.IFNA(VLOOKUP($A95, 'Input Screen'!$C$7:$M$101, 10, FALSE), 0)</f>
        <v>0</v>
      </c>
      <c r="J95" s="34">
        <f>_xlfn.IFNA(VLOOKUP($A95, 'Input Screen'!$C$7:$M$101, 11, FALSE), 0)</f>
        <v>0</v>
      </c>
      <c r="K95" s="34">
        <f>VLOOKUP('Topsis LP Auto'!$A95, 'Topsis LP Auto'!$M$10:$X$109, 12, FALSE)</f>
        <v>0</v>
      </c>
      <c r="M95" s="26">
        <f>'Input Screen'!C92</f>
        <v>0</v>
      </c>
      <c r="N95" s="35">
        <f>_xlfn.IFNA((VLOOKUP($M95,'Input Screen'!$C$7:$K$101, (N$8+1), 0)/SQRT(SUMSQ('Input Screen'!D$7:D$101)))*N$6, 0)</f>
        <v>0</v>
      </c>
      <c r="O95" s="35">
        <f>_xlfn.IFNA((VLOOKUP($M95,'Input Screen'!$C$7:$K$101, (O$8+1), 0)/SQRT(SUMSQ('Input Screen'!E$7:E$101)))*O$6, 0)</f>
        <v>0</v>
      </c>
      <c r="P95" s="35">
        <f>_xlfn.IFNA((VLOOKUP($M95,'Input Screen'!$C$7:$K$101, (P$8+1), 0)/SQRT(SUMSQ('Input Screen'!F$7:F$101)))*P$6, 0)</f>
        <v>0</v>
      </c>
      <c r="Q95" s="35">
        <f>_xlfn.IFNA((VLOOKUP($M95,'Input Screen'!$C$7:$K$101, (Q$8+1), 0)/SQRT(SUMSQ('Input Screen'!G$7:G$101)))*Q$6, 0)</f>
        <v>0</v>
      </c>
      <c r="R95" s="35">
        <f>_xlfn.IFNA((VLOOKUP($M95,'Input Screen'!$C$7:$K$101, (R$8+1), 0)/SQRT(SUMSQ('Input Screen'!H$7:H$101)))*R$6, 0)</f>
        <v>0</v>
      </c>
      <c r="S95" s="35">
        <f>_xlfn.IFNA((VLOOKUP($M95,'Input Screen'!$C$7:$K$101, (S$8+1), 0)/SQRT(SUMSQ('Input Screen'!I$7:I$101)))*S$6, 0)</f>
        <v>0</v>
      </c>
      <c r="T95" s="35">
        <f>_xlfn.IFNA((VLOOKUP($M95,'Input Screen'!$C$7:$K$101, (T$8+1), 0)/SQRT(SUMSQ('Input Screen'!J$7:J$101)))*T$6, 0)</f>
        <v>0</v>
      </c>
      <c r="U95" s="35">
        <f>_xlfn.IFNA((VLOOKUP($M95,'Input Screen'!$C$7:$K$101, (U$8+1), 0)/SQRT(SUMSQ('Input Screen'!K$7:K$101)))*U$6, 0)</f>
        <v>0</v>
      </c>
      <c r="V95" s="37">
        <f>IF('Topsis LP Auto'!$M95 = 0, 0, SQRT((N95-MAX(N$10:N$109))^2 + (O95-MAX(O$10:O$109))^2 + (P95-MAX(P$10:P$109))^2 + (Q95-MAX(Q$10:Q$109))^2 + (R95-MAX(R$10:R$109))^2 + (S95-MAX(S$10:S$109))^2 + (T95-MAX(T$10:T$109))^2 +(U95-MAX(U$10:U$109))^2))</f>
        <v>0</v>
      </c>
      <c r="W95" s="35">
        <f>IF('Topsis LP Auto'!$M95=0, 0, SQRT((N95-MIN(N$10:N$109))^2 + (O95-MIN(O$10:O$109))^2 + (P95-MIN(P$10:P$109))^2 + (Q95-MIN(Q$10:Q$109))^2 + (R95-MIN(R$10:R$109))^2 + (S95-MIN(S$10:S$109))^2 + (T95-MIN(T$10:T$109))^2 +(U95-MIN(U$10:U$109))^2))</f>
        <v>0</v>
      </c>
      <c r="X95" s="34">
        <f>IF('Topsis LP Auto'!$M95 = 0, 0, W95/(V95+W95))</f>
        <v>0</v>
      </c>
    </row>
    <row r="96" spans="1:24" ht="16.5" thickBot="1" x14ac:dyDescent="0.3">
      <c r="A96" s="76">
        <f>'Topsis LP Auto'!$M96</f>
        <v>0</v>
      </c>
      <c r="B96" s="31">
        <v>0</v>
      </c>
      <c r="C96" s="31">
        <v>0</v>
      </c>
      <c r="D96" s="68">
        <f>SUM('Topsis LP Auto'!$B96:$C96)</f>
        <v>0</v>
      </c>
      <c r="E96" s="31">
        <f>IF('Topsis LP Auto'!$J96 = 0, 0, (B96/J96))</f>
        <v>0</v>
      </c>
      <c r="F96" s="68">
        <f>IF(I96 = 0, 0, ('Topsis LP Auto'!$D96)/I96)</f>
        <v>0</v>
      </c>
      <c r="G96" s="68">
        <f t="shared" si="1"/>
        <v>0</v>
      </c>
      <c r="H96" s="68">
        <f>'Topsis LP Auto'!$D96*K96</f>
        <v>0</v>
      </c>
      <c r="I96" s="31">
        <f>_xlfn.IFNA(VLOOKUP($A96, 'Input Screen'!$C$7:$M$101, 10, FALSE), 0)</f>
        <v>0</v>
      </c>
      <c r="J96" s="31">
        <f>_xlfn.IFNA(VLOOKUP($A96, 'Input Screen'!$C$7:$M$101, 11, FALSE), 0)</f>
        <v>0</v>
      </c>
      <c r="K96" s="31">
        <f>VLOOKUP('Topsis LP Auto'!$A96, 'Topsis LP Auto'!$M$10:$X$109, 12, FALSE)</f>
        <v>0</v>
      </c>
      <c r="M96" s="32">
        <f>'Input Screen'!C93</f>
        <v>0</v>
      </c>
      <c r="N96" s="33">
        <f>_xlfn.IFNA((VLOOKUP($M96,'Input Screen'!$C$7:$K$101, (N$8+1), 0)/SQRT(SUMSQ('Input Screen'!D$7:D$101)))*N$6, 0)</f>
        <v>0</v>
      </c>
      <c r="O96" s="33">
        <f>_xlfn.IFNA((VLOOKUP($M96,'Input Screen'!$C$7:$K$101, (O$8+1), 0)/SQRT(SUMSQ('Input Screen'!E$7:E$101)))*O$6, 0)</f>
        <v>0</v>
      </c>
      <c r="P96" s="33">
        <f>_xlfn.IFNA((VLOOKUP($M96,'Input Screen'!$C$7:$K$101, (P$8+1), 0)/SQRT(SUMSQ('Input Screen'!F$7:F$101)))*P$6, 0)</f>
        <v>0</v>
      </c>
      <c r="Q96" s="33">
        <f>_xlfn.IFNA((VLOOKUP($M96,'Input Screen'!$C$7:$K$101, (Q$8+1), 0)/SQRT(SUMSQ('Input Screen'!G$7:G$101)))*Q$6, 0)</f>
        <v>0</v>
      </c>
      <c r="R96" s="33">
        <f>_xlfn.IFNA((VLOOKUP($M96,'Input Screen'!$C$7:$K$101, (R$8+1), 0)/SQRT(SUMSQ('Input Screen'!H$7:H$101)))*R$6, 0)</f>
        <v>0</v>
      </c>
      <c r="S96" s="33">
        <f>_xlfn.IFNA((VLOOKUP($M96,'Input Screen'!$C$7:$K$101, (S$8+1), 0)/SQRT(SUMSQ('Input Screen'!I$7:I$101)))*S$6, 0)</f>
        <v>0</v>
      </c>
      <c r="T96" s="33">
        <f>_xlfn.IFNA((VLOOKUP($M96,'Input Screen'!$C$7:$K$101, (T$8+1), 0)/SQRT(SUMSQ('Input Screen'!J$7:J$101)))*T$6, 0)</f>
        <v>0</v>
      </c>
      <c r="U96" s="33">
        <f>_xlfn.IFNA((VLOOKUP($M96,'Input Screen'!$C$7:$K$101, (U$8+1), 0)/SQRT(SUMSQ('Input Screen'!K$7:K$101)))*U$6, 0)</f>
        <v>0</v>
      </c>
      <c r="V96" s="36">
        <f>IF('Topsis LP Auto'!$M96 = 0, 0, SQRT((N96-MAX(N$10:N$109))^2 + (O96-MAX(O$10:O$109))^2 + (P96-MAX(P$10:P$109))^2 + (Q96-MAX(Q$10:Q$109))^2 + (R96-MAX(R$10:R$109))^2 + (S96-MAX(S$10:S$109))^2 + (T96-MAX(T$10:T$109))^2 +(U96-MAX(U$10:U$109))^2))</f>
        <v>0</v>
      </c>
      <c r="W96" s="33">
        <f>IF('Topsis LP Auto'!$M96=0, 0, SQRT((N96-MIN(N$10:N$109))^2 + (O96-MIN(O$10:O$109))^2 + (P96-MIN(P$10:P$109))^2 + (Q96-MIN(Q$10:Q$109))^2 + (R96-MIN(R$10:R$109))^2 + (S96-MIN(S$10:S$109))^2 + (T96-MIN(T$10:T$109))^2 +(U96-MIN(U$10:U$109))^2))</f>
        <v>0</v>
      </c>
      <c r="X96" s="31">
        <f>IF('Topsis LP Auto'!$M96 = 0, 0, W96/(V96+W96))</f>
        <v>0</v>
      </c>
    </row>
    <row r="97" spans="1:24" ht="16.5" thickBot="1" x14ac:dyDescent="0.3">
      <c r="A97" s="78">
        <f>'Topsis LP Auto'!$M97</f>
        <v>0</v>
      </c>
      <c r="B97" s="34">
        <v>0</v>
      </c>
      <c r="C97" s="34">
        <v>0</v>
      </c>
      <c r="D97" s="67">
        <f>SUM('Topsis LP Auto'!$B97:$C97)</f>
        <v>0</v>
      </c>
      <c r="E97" s="34">
        <f>IF('Topsis LP Auto'!$J97 = 0, 0, (B97/J97))</f>
        <v>0</v>
      </c>
      <c r="F97" s="67">
        <f>IF(I97 = 0, 0, ('Topsis LP Auto'!$D97)/I97)</f>
        <v>0</v>
      </c>
      <c r="G97" s="67">
        <f t="shared" si="1"/>
        <v>0</v>
      </c>
      <c r="H97" s="67">
        <f>'Topsis LP Auto'!$D97*K97</f>
        <v>0</v>
      </c>
      <c r="I97" s="34">
        <f>_xlfn.IFNA(VLOOKUP($A97, 'Input Screen'!$C$7:$M$101, 10, FALSE), 0)</f>
        <v>0</v>
      </c>
      <c r="J97" s="34">
        <f>_xlfn.IFNA(VLOOKUP($A97, 'Input Screen'!$C$7:$M$101, 11, FALSE), 0)</f>
        <v>0</v>
      </c>
      <c r="K97" s="34">
        <f>VLOOKUP('Topsis LP Auto'!$A97, 'Topsis LP Auto'!$M$10:$X$109, 12, FALSE)</f>
        <v>0</v>
      </c>
      <c r="M97" s="26">
        <f>'Input Screen'!C94</f>
        <v>0</v>
      </c>
      <c r="N97" s="35">
        <f>_xlfn.IFNA((VLOOKUP($M97,'Input Screen'!$C$7:$K$101, (N$8+1), 0)/SQRT(SUMSQ('Input Screen'!D$7:D$101)))*N$6, 0)</f>
        <v>0</v>
      </c>
      <c r="O97" s="35">
        <f>_xlfn.IFNA((VLOOKUP($M97,'Input Screen'!$C$7:$K$101, (O$8+1), 0)/SQRT(SUMSQ('Input Screen'!E$7:E$101)))*O$6, 0)</f>
        <v>0</v>
      </c>
      <c r="P97" s="35">
        <f>_xlfn.IFNA((VLOOKUP($M97,'Input Screen'!$C$7:$K$101, (P$8+1), 0)/SQRT(SUMSQ('Input Screen'!F$7:F$101)))*P$6, 0)</f>
        <v>0</v>
      </c>
      <c r="Q97" s="35">
        <f>_xlfn.IFNA((VLOOKUP($M97,'Input Screen'!$C$7:$K$101, (Q$8+1), 0)/SQRT(SUMSQ('Input Screen'!G$7:G$101)))*Q$6, 0)</f>
        <v>0</v>
      </c>
      <c r="R97" s="35">
        <f>_xlfn.IFNA((VLOOKUP($M97,'Input Screen'!$C$7:$K$101, (R$8+1), 0)/SQRT(SUMSQ('Input Screen'!H$7:H$101)))*R$6, 0)</f>
        <v>0</v>
      </c>
      <c r="S97" s="35">
        <f>_xlfn.IFNA((VLOOKUP($M97,'Input Screen'!$C$7:$K$101, (S$8+1), 0)/SQRT(SUMSQ('Input Screen'!I$7:I$101)))*S$6, 0)</f>
        <v>0</v>
      </c>
      <c r="T97" s="35">
        <f>_xlfn.IFNA((VLOOKUP($M97,'Input Screen'!$C$7:$K$101, (T$8+1), 0)/SQRT(SUMSQ('Input Screen'!J$7:J$101)))*T$6, 0)</f>
        <v>0</v>
      </c>
      <c r="U97" s="35">
        <f>_xlfn.IFNA((VLOOKUP($M97,'Input Screen'!$C$7:$K$101, (U$8+1), 0)/SQRT(SUMSQ('Input Screen'!K$7:K$101)))*U$6, 0)</f>
        <v>0</v>
      </c>
      <c r="V97" s="37">
        <f>IF('Topsis LP Auto'!$M97 = 0, 0, SQRT((N97-MAX(N$10:N$109))^2 + (O97-MAX(O$10:O$109))^2 + (P97-MAX(P$10:P$109))^2 + (Q97-MAX(Q$10:Q$109))^2 + (R97-MAX(R$10:R$109))^2 + (S97-MAX(S$10:S$109))^2 + (T97-MAX(T$10:T$109))^2 +(U97-MAX(U$10:U$109))^2))</f>
        <v>0</v>
      </c>
      <c r="W97" s="35">
        <f>IF('Topsis LP Auto'!$M97=0, 0, SQRT((N97-MIN(N$10:N$109))^2 + (O97-MIN(O$10:O$109))^2 + (P97-MIN(P$10:P$109))^2 + (Q97-MIN(Q$10:Q$109))^2 + (R97-MIN(R$10:R$109))^2 + (S97-MIN(S$10:S$109))^2 + (T97-MIN(T$10:T$109))^2 +(U97-MIN(U$10:U$109))^2))</f>
        <v>0</v>
      </c>
      <c r="X97" s="34">
        <f>IF('Topsis LP Auto'!$M97 = 0, 0, W97/(V97+W97))</f>
        <v>0</v>
      </c>
    </row>
    <row r="98" spans="1:24" ht="16.5" thickBot="1" x14ac:dyDescent="0.3">
      <c r="A98" s="76">
        <f>'Topsis LP Auto'!$M98</f>
        <v>0</v>
      </c>
      <c r="B98" s="31">
        <v>0</v>
      </c>
      <c r="C98" s="31">
        <v>0</v>
      </c>
      <c r="D98" s="68">
        <f>SUM('Topsis LP Auto'!$B98:$C98)</f>
        <v>0</v>
      </c>
      <c r="E98" s="31">
        <f>IF('Topsis LP Auto'!$J98 = 0, 0, (B98/J98))</f>
        <v>0</v>
      </c>
      <c r="F98" s="68">
        <f>IF(I98 = 0, 0, ('Topsis LP Auto'!$D98)/I98)</f>
        <v>0</v>
      </c>
      <c r="G98" s="68">
        <f t="shared" si="1"/>
        <v>0</v>
      </c>
      <c r="H98" s="68">
        <f>'Topsis LP Auto'!$D98*K98</f>
        <v>0</v>
      </c>
      <c r="I98" s="31">
        <f>_xlfn.IFNA(VLOOKUP($A98, 'Input Screen'!$C$7:$M$101, 10, FALSE), 0)</f>
        <v>0</v>
      </c>
      <c r="J98" s="31">
        <f>_xlfn.IFNA(VLOOKUP($A98, 'Input Screen'!$C$7:$M$101, 11, FALSE), 0)</f>
        <v>0</v>
      </c>
      <c r="K98" s="31">
        <f>VLOOKUP('Topsis LP Auto'!$A98, 'Topsis LP Auto'!$M$10:$X$109, 12, FALSE)</f>
        <v>0</v>
      </c>
      <c r="M98" s="32">
        <f>'Input Screen'!C95</f>
        <v>0</v>
      </c>
      <c r="N98" s="33">
        <f>_xlfn.IFNA((VLOOKUP($M98,'Input Screen'!$C$7:$K$101, (N$8+1), 0)/SQRT(SUMSQ('Input Screen'!D$7:D$101)))*N$6, 0)</f>
        <v>0</v>
      </c>
      <c r="O98" s="33">
        <f>_xlfn.IFNA((VLOOKUP($M98,'Input Screen'!$C$7:$K$101, (O$8+1), 0)/SQRT(SUMSQ('Input Screen'!E$7:E$101)))*O$6, 0)</f>
        <v>0</v>
      </c>
      <c r="P98" s="33">
        <f>_xlfn.IFNA((VLOOKUP($M98,'Input Screen'!$C$7:$K$101, (P$8+1), 0)/SQRT(SUMSQ('Input Screen'!F$7:F$101)))*P$6, 0)</f>
        <v>0</v>
      </c>
      <c r="Q98" s="33">
        <f>_xlfn.IFNA((VLOOKUP($M98,'Input Screen'!$C$7:$K$101, (Q$8+1), 0)/SQRT(SUMSQ('Input Screen'!G$7:G$101)))*Q$6, 0)</f>
        <v>0</v>
      </c>
      <c r="R98" s="33">
        <f>_xlfn.IFNA((VLOOKUP($M98,'Input Screen'!$C$7:$K$101, (R$8+1), 0)/SQRT(SUMSQ('Input Screen'!H$7:H$101)))*R$6, 0)</f>
        <v>0</v>
      </c>
      <c r="S98" s="33">
        <f>_xlfn.IFNA((VLOOKUP($M98,'Input Screen'!$C$7:$K$101, (S$8+1), 0)/SQRT(SUMSQ('Input Screen'!I$7:I$101)))*S$6, 0)</f>
        <v>0</v>
      </c>
      <c r="T98" s="33">
        <f>_xlfn.IFNA((VLOOKUP($M98,'Input Screen'!$C$7:$K$101, (T$8+1), 0)/SQRT(SUMSQ('Input Screen'!J$7:J$101)))*T$6, 0)</f>
        <v>0</v>
      </c>
      <c r="U98" s="33">
        <f>_xlfn.IFNA((VLOOKUP($M98,'Input Screen'!$C$7:$K$101, (U$8+1), 0)/SQRT(SUMSQ('Input Screen'!K$7:K$101)))*U$6, 0)</f>
        <v>0</v>
      </c>
      <c r="V98" s="36">
        <f>IF('Topsis LP Auto'!$M98 = 0, 0, SQRT((N98-MAX(N$10:N$109))^2 + (O98-MAX(O$10:O$109))^2 + (P98-MAX(P$10:P$109))^2 + (Q98-MAX(Q$10:Q$109))^2 + (R98-MAX(R$10:R$109))^2 + (S98-MAX(S$10:S$109))^2 + (T98-MAX(T$10:T$109))^2 +(U98-MAX(U$10:U$109))^2))</f>
        <v>0</v>
      </c>
      <c r="W98" s="33">
        <f>IF('Topsis LP Auto'!$M98=0, 0, SQRT((N98-MIN(N$10:N$109))^2 + (O98-MIN(O$10:O$109))^2 + (P98-MIN(P$10:P$109))^2 + (Q98-MIN(Q$10:Q$109))^2 + (R98-MIN(R$10:R$109))^2 + (S98-MIN(S$10:S$109))^2 + (T98-MIN(T$10:T$109))^2 +(U98-MIN(U$10:U$109))^2))</f>
        <v>0</v>
      </c>
      <c r="X98" s="31">
        <f>IF('Topsis LP Auto'!$M98 = 0, 0, W98/(V98+W98))</f>
        <v>0</v>
      </c>
    </row>
    <row r="99" spans="1:24" ht="16.5" thickBot="1" x14ac:dyDescent="0.3">
      <c r="A99" s="78">
        <f>'Topsis LP Auto'!$M99</f>
        <v>0</v>
      </c>
      <c r="B99" s="34">
        <v>0</v>
      </c>
      <c r="C99" s="34">
        <v>0</v>
      </c>
      <c r="D99" s="67">
        <f>SUM('Topsis LP Auto'!$B99:$C99)</f>
        <v>0</v>
      </c>
      <c r="E99" s="34">
        <f>IF('Topsis LP Auto'!$J99 = 0, 0, (B99/J99))</f>
        <v>0</v>
      </c>
      <c r="F99" s="67">
        <f>IF(I99 = 0, 0, ('Topsis LP Auto'!$D99)/I99)</f>
        <v>0</v>
      </c>
      <c r="G99" s="67">
        <f t="shared" si="1"/>
        <v>0</v>
      </c>
      <c r="H99" s="67">
        <f>'Topsis LP Auto'!$D99*K99</f>
        <v>0</v>
      </c>
      <c r="I99" s="34">
        <f>_xlfn.IFNA(VLOOKUP($A99, 'Input Screen'!$C$7:$M$101, 10, FALSE), 0)</f>
        <v>0</v>
      </c>
      <c r="J99" s="34">
        <f>_xlfn.IFNA(VLOOKUP($A99, 'Input Screen'!$C$7:$M$101, 11, FALSE), 0)</f>
        <v>0</v>
      </c>
      <c r="K99" s="34">
        <f>VLOOKUP('Topsis LP Auto'!$A99, 'Topsis LP Auto'!$M$10:$X$109, 12, FALSE)</f>
        <v>0</v>
      </c>
      <c r="M99" s="26">
        <f>'Input Screen'!C96</f>
        <v>0</v>
      </c>
      <c r="N99" s="35">
        <f>_xlfn.IFNA((VLOOKUP($M99,'Input Screen'!$C$7:$K$101, (N$8+1), 0)/SQRT(SUMSQ('Input Screen'!D$7:D$101)))*N$6, 0)</f>
        <v>0</v>
      </c>
      <c r="O99" s="35">
        <f>_xlfn.IFNA((VLOOKUP($M99,'Input Screen'!$C$7:$K$101, (O$8+1), 0)/SQRT(SUMSQ('Input Screen'!E$7:E$101)))*O$6, 0)</f>
        <v>0</v>
      </c>
      <c r="P99" s="35">
        <f>_xlfn.IFNA((VLOOKUP($M99,'Input Screen'!$C$7:$K$101, (P$8+1), 0)/SQRT(SUMSQ('Input Screen'!F$7:F$101)))*P$6, 0)</f>
        <v>0</v>
      </c>
      <c r="Q99" s="35">
        <f>_xlfn.IFNA((VLOOKUP($M99,'Input Screen'!$C$7:$K$101, (Q$8+1), 0)/SQRT(SUMSQ('Input Screen'!G$7:G$101)))*Q$6, 0)</f>
        <v>0</v>
      </c>
      <c r="R99" s="35">
        <f>_xlfn.IFNA((VLOOKUP($M99,'Input Screen'!$C$7:$K$101, (R$8+1), 0)/SQRT(SUMSQ('Input Screen'!H$7:H$101)))*R$6, 0)</f>
        <v>0</v>
      </c>
      <c r="S99" s="35">
        <f>_xlfn.IFNA((VLOOKUP($M99,'Input Screen'!$C$7:$K$101, (S$8+1), 0)/SQRT(SUMSQ('Input Screen'!I$7:I$101)))*S$6, 0)</f>
        <v>0</v>
      </c>
      <c r="T99" s="35">
        <f>_xlfn.IFNA((VLOOKUP($M99,'Input Screen'!$C$7:$K$101, (T$8+1), 0)/SQRT(SUMSQ('Input Screen'!J$7:J$101)))*T$6, 0)</f>
        <v>0</v>
      </c>
      <c r="U99" s="35">
        <f>_xlfn.IFNA((VLOOKUP($M99,'Input Screen'!$C$7:$K$101, (U$8+1), 0)/SQRT(SUMSQ('Input Screen'!K$7:K$101)))*U$6, 0)</f>
        <v>0</v>
      </c>
      <c r="V99" s="37">
        <f>IF('Topsis LP Auto'!$M99 = 0, 0, SQRT((N99-MAX(N$10:N$109))^2 + (O99-MAX(O$10:O$109))^2 + (P99-MAX(P$10:P$109))^2 + (Q99-MAX(Q$10:Q$109))^2 + (R99-MAX(R$10:R$109))^2 + (S99-MAX(S$10:S$109))^2 + (T99-MAX(T$10:T$109))^2 +(U99-MAX(U$10:U$109))^2))</f>
        <v>0</v>
      </c>
      <c r="W99" s="35">
        <f>IF('Topsis LP Auto'!$M99=0, 0, SQRT((N99-MIN(N$10:N$109))^2 + (O99-MIN(O$10:O$109))^2 + (P99-MIN(P$10:P$109))^2 + (Q99-MIN(Q$10:Q$109))^2 + (R99-MIN(R$10:R$109))^2 + (S99-MIN(S$10:S$109))^2 + (T99-MIN(T$10:T$109))^2 +(U99-MIN(U$10:U$109))^2))</f>
        <v>0</v>
      </c>
      <c r="X99" s="34">
        <f>IF('Topsis LP Auto'!$M99 = 0, 0, W99/(V99+W99))</f>
        <v>0</v>
      </c>
    </row>
    <row r="100" spans="1:24" ht="16.5" thickBot="1" x14ac:dyDescent="0.3">
      <c r="A100" s="76">
        <f>'Topsis LP Auto'!$M100</f>
        <v>0</v>
      </c>
      <c r="B100" s="31">
        <v>0</v>
      </c>
      <c r="C100" s="31">
        <v>0</v>
      </c>
      <c r="D100" s="68">
        <f>SUM('Topsis LP Auto'!$B100:$C100)</f>
        <v>0</v>
      </c>
      <c r="E100" s="31">
        <f>IF('Topsis LP Auto'!$J100 = 0, 0, (B100/J100))</f>
        <v>0</v>
      </c>
      <c r="F100" s="68">
        <f>IF(I100 = 0, 0, ('Topsis LP Auto'!$D100)/I100)</f>
        <v>0</v>
      </c>
      <c r="G100" s="68">
        <f t="shared" si="1"/>
        <v>0</v>
      </c>
      <c r="H100" s="68">
        <f>'Topsis LP Auto'!$D100*K100</f>
        <v>0</v>
      </c>
      <c r="I100" s="31">
        <f>_xlfn.IFNA(VLOOKUP($A100, 'Input Screen'!$C$7:$M$101, 10, FALSE), 0)</f>
        <v>0</v>
      </c>
      <c r="J100" s="31">
        <f>_xlfn.IFNA(VLOOKUP($A100, 'Input Screen'!$C$7:$M$101, 11, FALSE), 0)</f>
        <v>0</v>
      </c>
      <c r="K100" s="31">
        <f>VLOOKUP('Topsis LP Auto'!$A100, 'Topsis LP Auto'!$M$10:$X$109, 12, FALSE)</f>
        <v>0</v>
      </c>
      <c r="M100" s="32">
        <f>'Input Screen'!C97</f>
        <v>0</v>
      </c>
      <c r="N100" s="33">
        <f>_xlfn.IFNA((VLOOKUP($M100,'Input Screen'!$C$7:$K$101, (N$8+1), 0)/SQRT(SUMSQ('Input Screen'!D$7:D$101)))*N$6, 0)</f>
        <v>0</v>
      </c>
      <c r="O100" s="33">
        <f>_xlfn.IFNA((VLOOKUP($M100,'Input Screen'!$C$7:$K$101, (O$8+1), 0)/SQRT(SUMSQ('Input Screen'!E$7:E$101)))*O$6, 0)</f>
        <v>0</v>
      </c>
      <c r="P100" s="33">
        <f>_xlfn.IFNA((VLOOKUP($M100,'Input Screen'!$C$7:$K$101, (P$8+1), 0)/SQRT(SUMSQ('Input Screen'!F$7:F$101)))*P$6, 0)</f>
        <v>0</v>
      </c>
      <c r="Q100" s="33">
        <f>_xlfn.IFNA((VLOOKUP($M100,'Input Screen'!$C$7:$K$101, (Q$8+1), 0)/SQRT(SUMSQ('Input Screen'!G$7:G$101)))*Q$6, 0)</f>
        <v>0</v>
      </c>
      <c r="R100" s="33">
        <f>_xlfn.IFNA((VLOOKUP($M100,'Input Screen'!$C$7:$K$101, (R$8+1), 0)/SQRT(SUMSQ('Input Screen'!H$7:H$101)))*R$6, 0)</f>
        <v>0</v>
      </c>
      <c r="S100" s="33">
        <f>_xlfn.IFNA((VLOOKUP($M100,'Input Screen'!$C$7:$K$101, (S$8+1), 0)/SQRT(SUMSQ('Input Screen'!I$7:I$101)))*S$6, 0)</f>
        <v>0</v>
      </c>
      <c r="T100" s="33">
        <f>_xlfn.IFNA((VLOOKUP($M100,'Input Screen'!$C$7:$K$101, (T$8+1), 0)/SQRT(SUMSQ('Input Screen'!J$7:J$101)))*T$6, 0)</f>
        <v>0</v>
      </c>
      <c r="U100" s="33">
        <f>_xlfn.IFNA((VLOOKUP($M100,'Input Screen'!$C$7:$K$101, (U$8+1), 0)/SQRT(SUMSQ('Input Screen'!K$7:K$101)))*U$6, 0)</f>
        <v>0</v>
      </c>
      <c r="V100" s="36">
        <f>IF('Topsis LP Auto'!$M100 = 0, 0, SQRT((N100-MAX(N$10:N$109))^2 + (O100-MAX(O$10:O$109))^2 + (P100-MAX(P$10:P$109))^2 + (Q100-MAX(Q$10:Q$109))^2 + (R100-MAX(R$10:R$109))^2 + (S100-MAX(S$10:S$109))^2 + (T100-MAX(T$10:T$109))^2 +(U100-MAX(U$10:U$109))^2))</f>
        <v>0</v>
      </c>
      <c r="W100" s="33">
        <f>IF('Topsis LP Auto'!$M100=0, 0, SQRT((N100-MIN(N$10:N$109))^2 + (O100-MIN(O$10:O$109))^2 + (P100-MIN(P$10:P$109))^2 + (Q100-MIN(Q$10:Q$109))^2 + (R100-MIN(R$10:R$109))^2 + (S100-MIN(S$10:S$109))^2 + (T100-MIN(T$10:T$109))^2 +(U100-MIN(U$10:U$109))^2))</f>
        <v>0</v>
      </c>
      <c r="X100" s="31">
        <f>IF('Topsis LP Auto'!$M100 = 0, 0, W100/(V100+W100))</f>
        <v>0</v>
      </c>
    </row>
    <row r="101" spans="1:24" ht="16.5" thickBot="1" x14ac:dyDescent="0.3">
      <c r="A101" s="78">
        <f>'Topsis LP Auto'!$M101</f>
        <v>0</v>
      </c>
      <c r="B101" s="34">
        <v>0</v>
      </c>
      <c r="C101" s="34">
        <v>0</v>
      </c>
      <c r="D101" s="67">
        <f>SUM('Topsis LP Auto'!$B101:$C101)</f>
        <v>0</v>
      </c>
      <c r="E101" s="34">
        <f>IF('Topsis LP Auto'!$J101 = 0, 0, (B101/J101))</f>
        <v>0</v>
      </c>
      <c r="F101" s="67">
        <f>IF(I101 = 0, 0, ('Topsis LP Auto'!$D101)/I101)</f>
        <v>0</v>
      </c>
      <c r="G101" s="67">
        <f t="shared" si="1"/>
        <v>0</v>
      </c>
      <c r="H101" s="67">
        <f>'Topsis LP Auto'!$D101*K101</f>
        <v>0</v>
      </c>
      <c r="I101" s="34">
        <f>_xlfn.IFNA(VLOOKUP($A101, 'Input Screen'!$C$7:$M$101, 10, FALSE), 0)</f>
        <v>0</v>
      </c>
      <c r="J101" s="34">
        <f>_xlfn.IFNA(VLOOKUP($A101, 'Input Screen'!$C$7:$M$101, 11, FALSE), 0)</f>
        <v>0</v>
      </c>
      <c r="K101" s="34">
        <f>VLOOKUP('Topsis LP Auto'!$A101, 'Topsis LP Auto'!$M$10:$X$109, 12, FALSE)</f>
        <v>0</v>
      </c>
      <c r="M101" s="26">
        <f>'Input Screen'!C98</f>
        <v>0</v>
      </c>
      <c r="N101" s="35">
        <f>_xlfn.IFNA((VLOOKUP($M101,'Input Screen'!$C$7:$K$101, (N$8+1), 0)/SQRT(SUMSQ('Input Screen'!D$7:D$101)))*N$6, 0)</f>
        <v>0</v>
      </c>
      <c r="O101" s="35">
        <f>_xlfn.IFNA((VLOOKUP($M101,'Input Screen'!$C$7:$K$101, (O$8+1), 0)/SQRT(SUMSQ('Input Screen'!E$7:E$101)))*O$6, 0)</f>
        <v>0</v>
      </c>
      <c r="P101" s="35">
        <f>_xlfn.IFNA((VLOOKUP($M101,'Input Screen'!$C$7:$K$101, (P$8+1), 0)/SQRT(SUMSQ('Input Screen'!F$7:F$101)))*P$6, 0)</f>
        <v>0</v>
      </c>
      <c r="Q101" s="35">
        <f>_xlfn.IFNA((VLOOKUP($M101,'Input Screen'!$C$7:$K$101, (Q$8+1), 0)/SQRT(SUMSQ('Input Screen'!G$7:G$101)))*Q$6, 0)</f>
        <v>0</v>
      </c>
      <c r="R101" s="35">
        <f>_xlfn.IFNA((VLOOKUP($M101,'Input Screen'!$C$7:$K$101, (R$8+1), 0)/SQRT(SUMSQ('Input Screen'!H$7:H$101)))*R$6, 0)</f>
        <v>0</v>
      </c>
      <c r="S101" s="35">
        <f>_xlfn.IFNA((VLOOKUP($M101,'Input Screen'!$C$7:$K$101, (S$8+1), 0)/SQRT(SUMSQ('Input Screen'!I$7:I$101)))*S$6, 0)</f>
        <v>0</v>
      </c>
      <c r="T101" s="35">
        <f>_xlfn.IFNA((VLOOKUP($M101,'Input Screen'!$C$7:$K$101, (T$8+1), 0)/SQRT(SUMSQ('Input Screen'!J$7:J$101)))*T$6, 0)</f>
        <v>0</v>
      </c>
      <c r="U101" s="35">
        <f>_xlfn.IFNA((VLOOKUP($M101,'Input Screen'!$C$7:$K$101, (U$8+1), 0)/SQRT(SUMSQ('Input Screen'!K$7:K$101)))*U$6, 0)</f>
        <v>0</v>
      </c>
      <c r="V101" s="37">
        <f>IF('Topsis LP Auto'!$M101 = 0, 0, SQRT((N101-MAX(N$10:N$109))^2 + (O101-MAX(O$10:O$109))^2 + (P101-MAX(P$10:P$109))^2 + (Q101-MAX(Q$10:Q$109))^2 + (R101-MAX(R$10:R$109))^2 + (S101-MAX(S$10:S$109))^2 + (T101-MAX(T$10:T$109))^2 +(U101-MAX(U$10:U$109))^2))</f>
        <v>0</v>
      </c>
      <c r="W101" s="35">
        <f>IF('Topsis LP Auto'!$M101=0, 0, SQRT((N101-MIN(N$10:N$109))^2 + (O101-MIN(O$10:O$109))^2 + (P101-MIN(P$10:P$109))^2 + (Q101-MIN(Q$10:Q$109))^2 + (R101-MIN(R$10:R$109))^2 + (S101-MIN(S$10:S$109))^2 + (T101-MIN(T$10:T$109))^2 +(U101-MIN(U$10:U$109))^2))</f>
        <v>0</v>
      </c>
      <c r="X101" s="34">
        <f>IF('Topsis LP Auto'!$M101 = 0, 0, W101/(V101+W101))</f>
        <v>0</v>
      </c>
    </row>
    <row r="102" spans="1:24" ht="16.5" thickBot="1" x14ac:dyDescent="0.3">
      <c r="A102" s="76">
        <f>'Topsis LP Auto'!$M102</f>
        <v>0</v>
      </c>
      <c r="B102" s="31">
        <v>0</v>
      </c>
      <c r="C102" s="31">
        <v>0</v>
      </c>
      <c r="D102" s="68">
        <f>SUM('Topsis LP Auto'!$B102:$C102)</f>
        <v>0</v>
      </c>
      <c r="E102" s="31">
        <f>IF('Topsis LP Auto'!$J102 = 0, 0, (B102/J102))</f>
        <v>0</v>
      </c>
      <c r="F102" s="68">
        <f>IF(I102 = 0, 0, ('Topsis LP Auto'!$D102)/I102)</f>
        <v>0</v>
      </c>
      <c r="G102" s="68">
        <f t="shared" si="1"/>
        <v>0</v>
      </c>
      <c r="H102" s="68">
        <f>'Topsis LP Auto'!$D102*K102</f>
        <v>0</v>
      </c>
      <c r="I102" s="31">
        <f>_xlfn.IFNA(VLOOKUP($A102, 'Input Screen'!$C$7:$M$101, 10, FALSE), 0)</f>
        <v>0</v>
      </c>
      <c r="J102" s="31">
        <f>_xlfn.IFNA(VLOOKUP($A102, 'Input Screen'!$C$7:$M$101, 11, FALSE), 0)</f>
        <v>0</v>
      </c>
      <c r="K102" s="31">
        <f>VLOOKUP('Topsis LP Auto'!$A102, 'Topsis LP Auto'!$M$10:$X$109, 12, FALSE)</f>
        <v>0</v>
      </c>
      <c r="M102" s="32">
        <f>'Input Screen'!C99</f>
        <v>0</v>
      </c>
      <c r="N102" s="33">
        <f>_xlfn.IFNA((VLOOKUP($M102,'Input Screen'!$C$7:$K$101, (N$8+1), 0)/SQRT(SUMSQ('Input Screen'!D$7:D$101)))*N$6, 0)</f>
        <v>0</v>
      </c>
      <c r="O102" s="33">
        <f>_xlfn.IFNA((VLOOKUP($M102,'Input Screen'!$C$7:$K$101, (O$8+1), 0)/SQRT(SUMSQ('Input Screen'!E$7:E$101)))*O$6, 0)</f>
        <v>0</v>
      </c>
      <c r="P102" s="33">
        <f>_xlfn.IFNA((VLOOKUP($M102,'Input Screen'!$C$7:$K$101, (P$8+1), 0)/SQRT(SUMSQ('Input Screen'!F$7:F$101)))*P$6, 0)</f>
        <v>0</v>
      </c>
      <c r="Q102" s="33">
        <f>_xlfn.IFNA((VLOOKUP($M102,'Input Screen'!$C$7:$K$101, (Q$8+1), 0)/SQRT(SUMSQ('Input Screen'!G$7:G$101)))*Q$6, 0)</f>
        <v>0</v>
      </c>
      <c r="R102" s="33">
        <f>_xlfn.IFNA((VLOOKUP($M102,'Input Screen'!$C$7:$K$101, (R$8+1), 0)/SQRT(SUMSQ('Input Screen'!H$7:H$101)))*R$6, 0)</f>
        <v>0</v>
      </c>
      <c r="S102" s="33">
        <f>_xlfn.IFNA((VLOOKUP($M102,'Input Screen'!$C$7:$K$101, (S$8+1), 0)/SQRT(SUMSQ('Input Screen'!I$7:I$101)))*S$6, 0)</f>
        <v>0</v>
      </c>
      <c r="T102" s="33">
        <f>_xlfn.IFNA((VLOOKUP($M102,'Input Screen'!$C$7:$K$101, (T$8+1), 0)/SQRT(SUMSQ('Input Screen'!J$7:J$101)))*T$6, 0)</f>
        <v>0</v>
      </c>
      <c r="U102" s="33">
        <f>_xlfn.IFNA((VLOOKUP($M102,'Input Screen'!$C$7:$K$101, (U$8+1), 0)/SQRT(SUMSQ('Input Screen'!K$7:K$101)))*U$6, 0)</f>
        <v>0</v>
      </c>
      <c r="V102" s="36">
        <f>IF('Topsis LP Auto'!$M102 = 0, 0, SQRT((N102-MAX(N$10:N$109))^2 + (O102-MAX(O$10:O$109))^2 + (P102-MAX(P$10:P$109))^2 + (Q102-MAX(Q$10:Q$109))^2 + (R102-MAX(R$10:R$109))^2 + (S102-MAX(S$10:S$109))^2 + (T102-MAX(T$10:T$109))^2 +(U102-MAX(U$10:U$109))^2))</f>
        <v>0</v>
      </c>
      <c r="W102" s="33">
        <f>IF('Topsis LP Auto'!$M102=0, 0, SQRT((N102-MIN(N$10:N$109))^2 + (O102-MIN(O$10:O$109))^2 + (P102-MIN(P$10:P$109))^2 + (Q102-MIN(Q$10:Q$109))^2 + (R102-MIN(R$10:R$109))^2 + (S102-MIN(S$10:S$109))^2 + (T102-MIN(T$10:T$109))^2 +(U102-MIN(U$10:U$109))^2))</f>
        <v>0</v>
      </c>
      <c r="X102" s="31">
        <f>IF('Topsis LP Auto'!$M102 = 0, 0, W102/(V102+W102))</f>
        <v>0</v>
      </c>
    </row>
    <row r="103" spans="1:24" ht="16.5" thickBot="1" x14ac:dyDescent="0.3">
      <c r="A103" s="78">
        <f>'Topsis LP Auto'!$M103</f>
        <v>0</v>
      </c>
      <c r="B103" s="34">
        <v>0</v>
      </c>
      <c r="C103" s="34">
        <v>0</v>
      </c>
      <c r="D103" s="67">
        <f>SUM('Topsis LP Auto'!$B103:$C103)</f>
        <v>0</v>
      </c>
      <c r="E103" s="34">
        <f>IF('Topsis LP Auto'!$J103 = 0, 0, (B103/J103))</f>
        <v>0</v>
      </c>
      <c r="F103" s="67">
        <f>IF(I103 = 0, 0, ('Topsis LP Auto'!$D103)/I103)</f>
        <v>0</v>
      </c>
      <c r="G103" s="67">
        <f t="shared" si="1"/>
        <v>0</v>
      </c>
      <c r="H103" s="67">
        <f>'Topsis LP Auto'!$D103*K103</f>
        <v>0</v>
      </c>
      <c r="I103" s="34">
        <f>_xlfn.IFNA(VLOOKUP($A103, 'Input Screen'!$C$7:$M$101, 10, FALSE), 0)</f>
        <v>0</v>
      </c>
      <c r="J103" s="34">
        <f>_xlfn.IFNA(VLOOKUP($A103, 'Input Screen'!$C$7:$M$101, 11, FALSE), 0)</f>
        <v>0</v>
      </c>
      <c r="K103" s="34">
        <f>VLOOKUP('Topsis LP Auto'!$A103, 'Topsis LP Auto'!$M$10:$X$109, 12, FALSE)</f>
        <v>0</v>
      </c>
      <c r="M103" s="26">
        <f>'Input Screen'!C100</f>
        <v>0</v>
      </c>
      <c r="N103" s="35">
        <f>_xlfn.IFNA((VLOOKUP($M103,'Input Screen'!$C$7:$K$101, (N$8+1), 0)/SQRT(SUMSQ('Input Screen'!D$7:D$101)))*N$6, 0)</f>
        <v>0</v>
      </c>
      <c r="O103" s="35">
        <f>_xlfn.IFNA((VLOOKUP($M103,'Input Screen'!$C$7:$K$101, (O$8+1), 0)/SQRT(SUMSQ('Input Screen'!E$7:E$101)))*O$6, 0)</f>
        <v>0</v>
      </c>
      <c r="P103" s="35">
        <f>_xlfn.IFNA((VLOOKUP($M103,'Input Screen'!$C$7:$K$101, (P$8+1), 0)/SQRT(SUMSQ('Input Screen'!F$7:F$101)))*P$6, 0)</f>
        <v>0</v>
      </c>
      <c r="Q103" s="35">
        <f>_xlfn.IFNA((VLOOKUP($M103,'Input Screen'!$C$7:$K$101, (Q$8+1), 0)/SQRT(SUMSQ('Input Screen'!G$7:G$101)))*Q$6, 0)</f>
        <v>0</v>
      </c>
      <c r="R103" s="35">
        <f>_xlfn.IFNA((VLOOKUP($M103,'Input Screen'!$C$7:$K$101, (R$8+1), 0)/SQRT(SUMSQ('Input Screen'!H$7:H$101)))*R$6, 0)</f>
        <v>0</v>
      </c>
      <c r="S103" s="35">
        <f>_xlfn.IFNA((VLOOKUP($M103,'Input Screen'!$C$7:$K$101, (S$8+1), 0)/SQRT(SUMSQ('Input Screen'!I$7:I$101)))*S$6, 0)</f>
        <v>0</v>
      </c>
      <c r="T103" s="35">
        <f>_xlfn.IFNA((VLOOKUP($M103,'Input Screen'!$C$7:$K$101, (T$8+1), 0)/SQRT(SUMSQ('Input Screen'!J$7:J$101)))*T$6, 0)</f>
        <v>0</v>
      </c>
      <c r="U103" s="35">
        <f>_xlfn.IFNA((VLOOKUP($M103,'Input Screen'!$C$7:$K$101, (U$8+1), 0)/SQRT(SUMSQ('Input Screen'!K$7:K$101)))*U$6, 0)</f>
        <v>0</v>
      </c>
      <c r="V103" s="37">
        <f>IF('Topsis LP Auto'!$M103 = 0, 0, SQRT((N103-MAX(N$10:N$109))^2 + (O103-MAX(O$10:O$109))^2 + (P103-MAX(P$10:P$109))^2 + (Q103-MAX(Q$10:Q$109))^2 + (R103-MAX(R$10:R$109))^2 + (S103-MAX(S$10:S$109))^2 + (T103-MAX(T$10:T$109))^2 +(U103-MAX(U$10:U$109))^2))</f>
        <v>0</v>
      </c>
      <c r="W103" s="35">
        <f>IF('Topsis LP Auto'!$M103=0, 0, SQRT((N103-MIN(N$10:N$109))^2 + (O103-MIN(O$10:O$109))^2 + (P103-MIN(P$10:P$109))^2 + (Q103-MIN(Q$10:Q$109))^2 + (R103-MIN(R$10:R$109))^2 + (S103-MIN(S$10:S$109))^2 + (T103-MIN(T$10:T$109))^2 +(U103-MIN(U$10:U$109))^2))</f>
        <v>0</v>
      </c>
      <c r="X103" s="34">
        <f>IF('Topsis LP Auto'!$M103 = 0, 0, W103/(V103+W103))</f>
        <v>0</v>
      </c>
    </row>
    <row r="104" spans="1:24" ht="16.5" thickBot="1" x14ac:dyDescent="0.3">
      <c r="A104" s="76">
        <f>'Topsis LP Auto'!$M104</f>
        <v>0</v>
      </c>
      <c r="B104" s="31">
        <v>0</v>
      </c>
      <c r="C104" s="31">
        <v>0</v>
      </c>
      <c r="D104" s="68">
        <f>SUM('Topsis LP Auto'!$B104:$C104)</f>
        <v>0</v>
      </c>
      <c r="E104" s="31">
        <f>IF('Topsis LP Auto'!$J104 = 0, 0, (B104/J104))</f>
        <v>0</v>
      </c>
      <c r="F104" s="68">
        <f>IF(I104 = 0, 0, ('Topsis LP Auto'!$D104)/I104)</f>
        <v>0</v>
      </c>
      <c r="G104" s="68">
        <f t="shared" si="1"/>
        <v>0</v>
      </c>
      <c r="H104" s="68">
        <f>'Topsis LP Auto'!$D104*K104</f>
        <v>0</v>
      </c>
      <c r="I104" s="31">
        <f>_xlfn.IFNA(VLOOKUP($A104, 'Input Screen'!$C$7:$M$101, 10, FALSE), 0)</f>
        <v>0</v>
      </c>
      <c r="J104" s="31">
        <f>_xlfn.IFNA(VLOOKUP($A104, 'Input Screen'!$C$7:$M$101, 11, FALSE), 0)</f>
        <v>0</v>
      </c>
      <c r="K104" s="31">
        <f>VLOOKUP('Topsis LP Auto'!$A104, 'Topsis LP Auto'!$M$10:$X$109, 12, FALSE)</f>
        <v>0</v>
      </c>
      <c r="M104" s="32">
        <f>'Input Screen'!C101</f>
        <v>0</v>
      </c>
      <c r="N104" s="33">
        <f>_xlfn.IFNA((VLOOKUP($M104,'Input Screen'!$C$7:$K$101, (N$8+1), 0)/SQRT(SUMSQ('Input Screen'!D$7:D$101)))*N$6, 0)</f>
        <v>0</v>
      </c>
      <c r="O104" s="33">
        <f>_xlfn.IFNA((VLOOKUP($M104,'Input Screen'!$C$7:$K$101, (O$8+1), 0)/SQRT(SUMSQ('Input Screen'!E$7:E$101)))*O$6, 0)</f>
        <v>0</v>
      </c>
      <c r="P104" s="33">
        <f>_xlfn.IFNA((VLOOKUP($M104,'Input Screen'!$C$7:$K$101, (P$8+1), 0)/SQRT(SUMSQ('Input Screen'!F$7:F$101)))*P$6, 0)</f>
        <v>0</v>
      </c>
      <c r="Q104" s="33">
        <f>_xlfn.IFNA((VLOOKUP($M104,'Input Screen'!$C$7:$K$101, (Q$8+1), 0)/SQRT(SUMSQ('Input Screen'!G$7:G$101)))*Q$6, 0)</f>
        <v>0</v>
      </c>
      <c r="R104" s="33">
        <f>_xlfn.IFNA((VLOOKUP($M104,'Input Screen'!$C$7:$K$101, (R$8+1), 0)/SQRT(SUMSQ('Input Screen'!H$7:H$101)))*R$6, 0)</f>
        <v>0</v>
      </c>
      <c r="S104" s="33">
        <f>_xlfn.IFNA((VLOOKUP($M104,'Input Screen'!$C$7:$K$101, (S$8+1), 0)/SQRT(SUMSQ('Input Screen'!I$7:I$101)))*S$6, 0)</f>
        <v>0</v>
      </c>
      <c r="T104" s="33">
        <f>_xlfn.IFNA((VLOOKUP($M104,'Input Screen'!$C$7:$K$101, (T$8+1), 0)/SQRT(SUMSQ('Input Screen'!J$7:J$101)))*T$6, 0)</f>
        <v>0</v>
      </c>
      <c r="U104" s="33">
        <f>_xlfn.IFNA((VLOOKUP($M104,'Input Screen'!$C$7:$K$101, (U$8+1), 0)/SQRT(SUMSQ('Input Screen'!K$7:K$101)))*U$6, 0)</f>
        <v>0</v>
      </c>
      <c r="V104" s="36">
        <f>IF('Topsis LP Auto'!$M104 = 0, 0, SQRT((N104-MAX(N$10:N$109))^2 + (O104-MAX(O$10:O$109))^2 + (P104-MAX(P$10:P$109))^2 + (Q104-MAX(Q$10:Q$109))^2 + (R104-MAX(R$10:R$109))^2 + (S104-MAX(S$10:S$109))^2 + (T104-MAX(T$10:T$109))^2 +(U104-MAX(U$10:U$109))^2))</f>
        <v>0</v>
      </c>
      <c r="W104" s="33">
        <f>IF('Topsis LP Auto'!$M104=0, 0, SQRT((N104-MIN(N$10:N$109))^2 + (O104-MIN(O$10:O$109))^2 + (P104-MIN(P$10:P$109))^2 + (Q104-MIN(Q$10:Q$109))^2 + (R104-MIN(R$10:R$109))^2 + (S104-MIN(S$10:S$109))^2 + (T104-MIN(T$10:T$109))^2 +(U104-MIN(U$10:U$109))^2))</f>
        <v>0</v>
      </c>
      <c r="X104" s="31">
        <f>IF('Topsis LP Auto'!$M104 = 0, 0, W104/(V104+W104))</f>
        <v>0</v>
      </c>
    </row>
    <row r="105" spans="1:24" ht="16.5" thickBot="1" x14ac:dyDescent="0.3">
      <c r="A105" s="78">
        <f>'Topsis LP Auto'!$M105</f>
        <v>0</v>
      </c>
      <c r="B105" s="34">
        <v>0</v>
      </c>
      <c r="C105" s="34">
        <v>0</v>
      </c>
      <c r="D105" s="67">
        <f>SUM('Topsis LP Auto'!$B105:$C105)</f>
        <v>0</v>
      </c>
      <c r="E105" s="34">
        <f>IF('Topsis LP Auto'!$J105 = 0, 0, (B105/J105))</f>
        <v>0</v>
      </c>
      <c r="F105" s="67">
        <f>IF(I105 = 0, 0, ('Topsis LP Auto'!$D105)/I105)</f>
        <v>0</v>
      </c>
      <c r="G105" s="67">
        <f t="shared" si="1"/>
        <v>0</v>
      </c>
      <c r="H105" s="67">
        <f>'Topsis LP Auto'!$D105*K105</f>
        <v>0</v>
      </c>
      <c r="I105" s="34">
        <f>_xlfn.IFNA(VLOOKUP($A105, 'Input Screen'!$C$7:$M$101, 10, FALSE), 0)</f>
        <v>0</v>
      </c>
      <c r="J105" s="34">
        <f>_xlfn.IFNA(VLOOKUP($A105, 'Input Screen'!$C$7:$M$101, 11, FALSE), 0)</f>
        <v>0</v>
      </c>
      <c r="K105" s="34">
        <f>VLOOKUP('Topsis LP Auto'!$A105, 'Topsis LP Auto'!$M$10:$X$109, 12, FALSE)</f>
        <v>0</v>
      </c>
      <c r="M105" s="26">
        <f>'Input Screen'!C102</f>
        <v>0</v>
      </c>
      <c r="N105" s="35">
        <f>_xlfn.IFNA((VLOOKUP($M105,'Input Screen'!$C$7:$K$101, (N$8+1), 0)/SQRT(SUMSQ('Input Screen'!D$7:D$101)))*N$6, 0)</f>
        <v>0</v>
      </c>
      <c r="O105" s="35">
        <f>_xlfn.IFNA((VLOOKUP($M105,'Input Screen'!$C$7:$K$101, (O$8+1), 0)/SQRT(SUMSQ('Input Screen'!E$7:E$101)))*O$6, 0)</f>
        <v>0</v>
      </c>
      <c r="P105" s="35">
        <f>_xlfn.IFNA((VLOOKUP($M105,'Input Screen'!$C$7:$K$101, (P$8+1), 0)/SQRT(SUMSQ('Input Screen'!F$7:F$101)))*P$6, 0)</f>
        <v>0</v>
      </c>
      <c r="Q105" s="35">
        <f>_xlfn.IFNA((VLOOKUP($M105,'Input Screen'!$C$7:$K$101, (Q$8+1), 0)/SQRT(SUMSQ('Input Screen'!G$7:G$101)))*Q$6, 0)</f>
        <v>0</v>
      </c>
      <c r="R105" s="35">
        <f>_xlfn.IFNA((VLOOKUP($M105,'Input Screen'!$C$7:$K$101, (R$8+1), 0)/SQRT(SUMSQ('Input Screen'!H$7:H$101)))*R$6, 0)</f>
        <v>0</v>
      </c>
      <c r="S105" s="35">
        <f>_xlfn.IFNA((VLOOKUP($M105,'Input Screen'!$C$7:$K$101, (S$8+1), 0)/SQRT(SUMSQ('Input Screen'!I$7:I$101)))*S$6, 0)</f>
        <v>0</v>
      </c>
      <c r="T105" s="35">
        <f>_xlfn.IFNA((VLOOKUP($M105,'Input Screen'!$C$7:$K$101, (T$8+1), 0)/SQRT(SUMSQ('Input Screen'!J$7:J$101)))*T$6, 0)</f>
        <v>0</v>
      </c>
      <c r="U105" s="35">
        <f>_xlfn.IFNA((VLOOKUP($M105,'Input Screen'!$C$7:$K$101, (U$8+1), 0)/SQRT(SUMSQ('Input Screen'!K$7:K$101)))*U$6, 0)</f>
        <v>0</v>
      </c>
      <c r="V105" s="37">
        <f>IF('Topsis LP Auto'!$M105 = 0, 0, SQRT((N105-MAX(N$10:N$109))^2 + (O105-MAX(O$10:O$109))^2 + (P105-MAX(P$10:P$109))^2 + (Q105-MAX(Q$10:Q$109))^2 + (R105-MAX(R$10:R$109))^2 + (S105-MAX(S$10:S$109))^2 + (T105-MAX(T$10:T$109))^2 +(U105-MAX(U$10:U$109))^2))</f>
        <v>0</v>
      </c>
      <c r="W105" s="35">
        <f>IF('Topsis LP Auto'!$M105=0, 0, SQRT((N105-MIN(N$10:N$109))^2 + (O105-MIN(O$10:O$109))^2 + (P105-MIN(P$10:P$109))^2 + (Q105-MIN(Q$10:Q$109))^2 + (R105-MIN(R$10:R$109))^2 + (S105-MIN(S$10:S$109))^2 + (T105-MIN(T$10:T$109))^2 +(U105-MIN(U$10:U$109))^2))</f>
        <v>0</v>
      </c>
      <c r="X105" s="34">
        <f>IF('Topsis LP Auto'!$M105 = 0, 0, W105/(V105+W105))</f>
        <v>0</v>
      </c>
    </row>
    <row r="106" spans="1:24" ht="16.5" thickBot="1" x14ac:dyDescent="0.3">
      <c r="A106" s="76">
        <f>'Topsis LP Auto'!$M106</f>
        <v>0</v>
      </c>
      <c r="B106" s="31">
        <v>0</v>
      </c>
      <c r="C106" s="31">
        <v>0</v>
      </c>
      <c r="D106" s="68">
        <f>SUM('Topsis LP Auto'!$B106:$C106)</f>
        <v>0</v>
      </c>
      <c r="E106" s="31">
        <f>IF('Topsis LP Auto'!$J106 = 0, 0, (B106/J106))</f>
        <v>0</v>
      </c>
      <c r="F106" s="68">
        <f>IF(I106 = 0, 0, ('Topsis LP Auto'!$D106)/I106)</f>
        <v>0</v>
      </c>
      <c r="G106" s="68">
        <f t="shared" si="1"/>
        <v>0</v>
      </c>
      <c r="H106" s="68">
        <f>'Topsis LP Auto'!$D106*K106</f>
        <v>0</v>
      </c>
      <c r="I106" s="31">
        <f>_xlfn.IFNA(VLOOKUP($A106, 'Input Screen'!$C$7:$M$101, 10, FALSE), 0)</f>
        <v>0</v>
      </c>
      <c r="J106" s="31">
        <f>_xlfn.IFNA(VLOOKUP($A106, 'Input Screen'!$C$7:$M$101, 11, FALSE), 0)</f>
        <v>0</v>
      </c>
      <c r="K106" s="31">
        <f>VLOOKUP('Topsis LP Auto'!$A106, 'Topsis LP Auto'!$M$10:$X$109, 12, FALSE)</f>
        <v>0</v>
      </c>
      <c r="M106" s="32">
        <f>'Input Screen'!C103</f>
        <v>0</v>
      </c>
      <c r="N106" s="33">
        <f>_xlfn.IFNA((VLOOKUP($M106,'Input Screen'!$C$7:$K$101, (N$8+1), 0)/SQRT(SUMSQ('Input Screen'!D$7:D$101)))*N$6, 0)</f>
        <v>0</v>
      </c>
      <c r="O106" s="33">
        <f>_xlfn.IFNA((VLOOKUP($M106,'Input Screen'!$C$7:$K$101, (O$8+1), 0)/SQRT(SUMSQ('Input Screen'!E$7:E$101)))*O$6, 0)</f>
        <v>0</v>
      </c>
      <c r="P106" s="33">
        <f>_xlfn.IFNA((VLOOKUP($M106,'Input Screen'!$C$7:$K$101, (P$8+1), 0)/SQRT(SUMSQ('Input Screen'!F$7:F$101)))*P$6, 0)</f>
        <v>0</v>
      </c>
      <c r="Q106" s="33">
        <f>_xlfn.IFNA((VLOOKUP($M106,'Input Screen'!$C$7:$K$101, (Q$8+1), 0)/SQRT(SUMSQ('Input Screen'!G$7:G$101)))*Q$6, 0)</f>
        <v>0</v>
      </c>
      <c r="R106" s="33">
        <f>_xlfn.IFNA((VLOOKUP($M106,'Input Screen'!$C$7:$K$101, (R$8+1), 0)/SQRT(SUMSQ('Input Screen'!H$7:H$101)))*R$6, 0)</f>
        <v>0</v>
      </c>
      <c r="S106" s="33">
        <f>_xlfn.IFNA((VLOOKUP($M106,'Input Screen'!$C$7:$K$101, (S$8+1), 0)/SQRT(SUMSQ('Input Screen'!I$7:I$101)))*S$6, 0)</f>
        <v>0</v>
      </c>
      <c r="T106" s="33">
        <f>_xlfn.IFNA((VLOOKUP($M106,'Input Screen'!$C$7:$K$101, (T$8+1), 0)/SQRT(SUMSQ('Input Screen'!J$7:J$101)))*T$6, 0)</f>
        <v>0</v>
      </c>
      <c r="U106" s="33">
        <f>_xlfn.IFNA((VLOOKUP($M106,'Input Screen'!$C$7:$K$101, (U$8+1), 0)/SQRT(SUMSQ('Input Screen'!K$7:K$101)))*U$6, 0)</f>
        <v>0</v>
      </c>
      <c r="V106" s="36">
        <f>IF('Topsis LP Auto'!$M106 = 0, 0, SQRT((N106-MAX(N$10:N$109))^2 + (O106-MAX(O$10:O$109))^2 + (P106-MAX(P$10:P$109))^2 + (Q106-MAX(Q$10:Q$109))^2 + (R106-MAX(R$10:R$109))^2 + (S106-MAX(S$10:S$109))^2 + (T106-MAX(T$10:T$109))^2 +(U106-MAX(U$10:U$109))^2))</f>
        <v>0</v>
      </c>
      <c r="W106" s="33">
        <f>IF('Topsis LP Auto'!$M106=0, 0, SQRT((N106-MIN(N$10:N$109))^2 + (O106-MIN(O$10:O$109))^2 + (P106-MIN(P$10:P$109))^2 + (Q106-MIN(Q$10:Q$109))^2 + (R106-MIN(R$10:R$109))^2 + (S106-MIN(S$10:S$109))^2 + (T106-MIN(T$10:T$109))^2 +(U106-MIN(U$10:U$109))^2))</f>
        <v>0</v>
      </c>
      <c r="X106" s="31">
        <f>IF('Topsis LP Auto'!$M106 = 0, 0, W106/(V106+W106))</f>
        <v>0</v>
      </c>
    </row>
    <row r="107" spans="1:24" ht="16.5" thickBot="1" x14ac:dyDescent="0.3">
      <c r="A107" s="78">
        <f>'Topsis LP Auto'!$M107</f>
        <v>0</v>
      </c>
      <c r="B107" s="34">
        <v>0</v>
      </c>
      <c r="C107" s="34">
        <v>0</v>
      </c>
      <c r="D107" s="67">
        <f>SUM('Topsis LP Auto'!$B107:$C107)</f>
        <v>0</v>
      </c>
      <c r="E107" s="34">
        <f>IF('Topsis LP Auto'!$J107 = 0, 0, (B107/J107))</f>
        <v>0</v>
      </c>
      <c r="F107" s="67">
        <f>IF(I107 = 0, 0, ('Topsis LP Auto'!$D107)/I107)</f>
        <v>0</v>
      </c>
      <c r="G107" s="67">
        <f t="shared" si="1"/>
        <v>0</v>
      </c>
      <c r="H107" s="67">
        <f>'Topsis LP Auto'!$D107*K107</f>
        <v>0</v>
      </c>
      <c r="I107" s="34">
        <f>_xlfn.IFNA(VLOOKUP($A107, 'Input Screen'!$C$7:$M$101, 10, FALSE), 0)</f>
        <v>0</v>
      </c>
      <c r="J107" s="34">
        <f>_xlfn.IFNA(VLOOKUP($A107, 'Input Screen'!$C$7:$M$101, 11, FALSE), 0)</f>
        <v>0</v>
      </c>
      <c r="K107" s="34">
        <f>VLOOKUP('Topsis LP Auto'!$A107, 'Topsis LP Auto'!$M$10:$X$109, 12, FALSE)</f>
        <v>0</v>
      </c>
      <c r="M107" s="26">
        <f>'Input Screen'!C104</f>
        <v>0</v>
      </c>
      <c r="N107" s="35">
        <f>_xlfn.IFNA((VLOOKUP($M107,'Input Screen'!$C$7:$K$101, (N$8+1), 0)/SQRT(SUMSQ('Input Screen'!D$7:D$101)))*N$6, 0)</f>
        <v>0</v>
      </c>
      <c r="O107" s="35">
        <f>_xlfn.IFNA((VLOOKUP($M107,'Input Screen'!$C$7:$K$101, (O$8+1), 0)/SQRT(SUMSQ('Input Screen'!E$7:E$101)))*O$6, 0)</f>
        <v>0</v>
      </c>
      <c r="P107" s="35">
        <f>_xlfn.IFNA((VLOOKUP($M107,'Input Screen'!$C$7:$K$101, (P$8+1), 0)/SQRT(SUMSQ('Input Screen'!F$7:F$101)))*P$6, 0)</f>
        <v>0</v>
      </c>
      <c r="Q107" s="35">
        <f>_xlfn.IFNA((VLOOKUP($M107,'Input Screen'!$C$7:$K$101, (Q$8+1), 0)/SQRT(SUMSQ('Input Screen'!G$7:G$101)))*Q$6, 0)</f>
        <v>0</v>
      </c>
      <c r="R107" s="35">
        <f>_xlfn.IFNA((VLOOKUP($M107,'Input Screen'!$C$7:$K$101, (R$8+1), 0)/SQRT(SUMSQ('Input Screen'!H$7:H$101)))*R$6, 0)</f>
        <v>0</v>
      </c>
      <c r="S107" s="35">
        <f>_xlfn.IFNA((VLOOKUP($M107,'Input Screen'!$C$7:$K$101, (S$8+1), 0)/SQRT(SUMSQ('Input Screen'!I$7:I$101)))*S$6, 0)</f>
        <v>0</v>
      </c>
      <c r="T107" s="35">
        <f>_xlfn.IFNA((VLOOKUP($M107,'Input Screen'!$C$7:$K$101, (T$8+1), 0)/SQRT(SUMSQ('Input Screen'!J$7:J$101)))*T$6, 0)</f>
        <v>0</v>
      </c>
      <c r="U107" s="35">
        <f>_xlfn.IFNA((VLOOKUP($M107,'Input Screen'!$C$7:$K$101, (U$8+1), 0)/SQRT(SUMSQ('Input Screen'!K$7:K$101)))*U$6, 0)</f>
        <v>0</v>
      </c>
      <c r="V107" s="37">
        <f>IF('Topsis LP Auto'!$M107 = 0, 0, SQRT((N107-MAX(N$10:N$109))^2 + (O107-MAX(O$10:O$109))^2 + (P107-MAX(P$10:P$109))^2 + (Q107-MAX(Q$10:Q$109))^2 + (R107-MAX(R$10:R$109))^2 + (S107-MAX(S$10:S$109))^2 + (T107-MAX(T$10:T$109))^2 +(U107-MAX(U$10:U$109))^2))</f>
        <v>0</v>
      </c>
      <c r="W107" s="35">
        <f>IF('Topsis LP Auto'!$M107=0, 0, SQRT((N107-MIN(N$10:N$109))^2 + (O107-MIN(O$10:O$109))^2 + (P107-MIN(P$10:P$109))^2 + (Q107-MIN(Q$10:Q$109))^2 + (R107-MIN(R$10:R$109))^2 + (S107-MIN(S$10:S$109))^2 + (T107-MIN(T$10:T$109))^2 +(U107-MIN(U$10:U$109))^2))</f>
        <v>0</v>
      </c>
      <c r="X107" s="34">
        <f>IF('Topsis LP Auto'!$M107 = 0, 0, W107/(V107+W107))</f>
        <v>0</v>
      </c>
    </row>
    <row r="108" spans="1:24" ht="16.5" thickBot="1" x14ac:dyDescent="0.3">
      <c r="A108" s="76">
        <f>'Topsis LP Auto'!$M108</f>
        <v>0</v>
      </c>
      <c r="B108" s="31">
        <v>0</v>
      </c>
      <c r="C108" s="31">
        <v>0</v>
      </c>
      <c r="D108" s="68">
        <f>SUM('Topsis LP Auto'!$B108:$C108)</f>
        <v>0</v>
      </c>
      <c r="E108" s="31">
        <f>IF('Topsis LP Auto'!$J108 = 0, 0, (B108/J108))</f>
        <v>0</v>
      </c>
      <c r="F108" s="68">
        <f>IF(I108 = 0, 0, ('Topsis LP Auto'!$D108)/I108)</f>
        <v>0</v>
      </c>
      <c r="G108" s="68">
        <f t="shared" si="1"/>
        <v>0</v>
      </c>
      <c r="H108" s="68">
        <f>'Topsis LP Auto'!$D108*K108</f>
        <v>0</v>
      </c>
      <c r="I108" s="31">
        <f>_xlfn.IFNA(VLOOKUP($A108, 'Input Screen'!$C$7:$M$101, 10, FALSE), 0)</f>
        <v>0</v>
      </c>
      <c r="J108" s="31">
        <f>_xlfn.IFNA(VLOOKUP($A108, 'Input Screen'!$C$7:$M$101, 11, FALSE), 0)</f>
        <v>0</v>
      </c>
      <c r="K108" s="31">
        <f>VLOOKUP('Topsis LP Auto'!$A108, 'Topsis LP Auto'!$M$10:$X$109, 12, FALSE)</f>
        <v>0</v>
      </c>
      <c r="M108" s="32">
        <f>'Input Screen'!C105</f>
        <v>0</v>
      </c>
      <c r="N108" s="33">
        <f>_xlfn.IFNA((VLOOKUP($M108,'Input Screen'!$C$7:$K$101, (N$8+1), 0)/SQRT(SUMSQ('Input Screen'!D$7:D$101)))*N$6, 0)</f>
        <v>0</v>
      </c>
      <c r="O108" s="33">
        <f>_xlfn.IFNA((VLOOKUP($M108,'Input Screen'!$C$7:$K$101, (O$8+1), 0)/SQRT(SUMSQ('Input Screen'!E$7:E$101)))*O$6, 0)</f>
        <v>0</v>
      </c>
      <c r="P108" s="33">
        <f>_xlfn.IFNA((VLOOKUP($M108,'Input Screen'!$C$7:$K$101, (P$8+1), 0)/SQRT(SUMSQ('Input Screen'!F$7:F$101)))*P$6, 0)</f>
        <v>0</v>
      </c>
      <c r="Q108" s="33">
        <f>_xlfn.IFNA((VLOOKUP($M108,'Input Screen'!$C$7:$K$101, (Q$8+1), 0)/SQRT(SUMSQ('Input Screen'!G$7:G$101)))*Q$6, 0)</f>
        <v>0</v>
      </c>
      <c r="R108" s="33">
        <f>_xlfn.IFNA((VLOOKUP($M108,'Input Screen'!$C$7:$K$101, (R$8+1), 0)/SQRT(SUMSQ('Input Screen'!H$7:H$101)))*R$6, 0)</f>
        <v>0</v>
      </c>
      <c r="S108" s="33">
        <f>_xlfn.IFNA((VLOOKUP($M108,'Input Screen'!$C$7:$K$101, (S$8+1), 0)/SQRT(SUMSQ('Input Screen'!I$7:I$101)))*S$6, 0)</f>
        <v>0</v>
      </c>
      <c r="T108" s="33">
        <f>_xlfn.IFNA((VLOOKUP($M108,'Input Screen'!$C$7:$K$101, (T$8+1), 0)/SQRT(SUMSQ('Input Screen'!J$7:J$101)))*T$6, 0)</f>
        <v>0</v>
      </c>
      <c r="U108" s="33">
        <f>_xlfn.IFNA((VLOOKUP($M108,'Input Screen'!$C$7:$K$101, (U$8+1), 0)/SQRT(SUMSQ('Input Screen'!K$7:K$101)))*U$6, 0)</f>
        <v>0</v>
      </c>
      <c r="V108" s="36">
        <f>IF('Topsis LP Auto'!$M108 = 0, 0, SQRT((N108-MAX(N$10:N$109))^2 + (O108-MAX(O$10:O$109))^2 + (P108-MAX(P$10:P$109))^2 + (Q108-MAX(Q$10:Q$109))^2 + (R108-MAX(R$10:R$109))^2 + (S108-MAX(S$10:S$109))^2 + (T108-MAX(T$10:T$109))^2 +(U108-MAX(U$10:U$109))^2))</f>
        <v>0</v>
      </c>
      <c r="W108" s="33">
        <f>IF('Topsis LP Auto'!$M108=0, 0, SQRT((N108-MIN(N$10:N$109))^2 + (O108-MIN(O$10:O$109))^2 + (P108-MIN(P$10:P$109))^2 + (Q108-MIN(Q$10:Q$109))^2 + (R108-MIN(R$10:R$109))^2 + (S108-MIN(S$10:S$109))^2 + (T108-MIN(T$10:T$109))^2 +(U108-MIN(U$10:U$109))^2))</f>
        <v>0</v>
      </c>
      <c r="X108" s="31">
        <f>IF('Topsis LP Auto'!$M108 = 0, 0, W108/(V108+W108))</f>
        <v>0</v>
      </c>
    </row>
    <row r="109" spans="1:24" ht="16.5" thickBot="1" x14ac:dyDescent="0.3">
      <c r="A109" s="79">
        <f>'Topsis LP Auto'!$M109</f>
        <v>0</v>
      </c>
      <c r="B109" s="69">
        <v>0</v>
      </c>
      <c r="C109" s="69">
        <v>0</v>
      </c>
      <c r="D109" s="70">
        <f>SUM('Topsis LP Auto'!$B109:$C109)</f>
        <v>0</v>
      </c>
      <c r="E109" s="69">
        <f>IF('Topsis LP Auto'!$J109 = 0, 0, (B109/J109))</f>
        <v>0</v>
      </c>
      <c r="F109" s="70">
        <f>IF(I109 = 0, 0, ('Topsis LP Auto'!$D109)/I109)</f>
        <v>0</v>
      </c>
      <c r="G109" s="70">
        <f t="shared" si="1"/>
        <v>0</v>
      </c>
      <c r="H109" s="70">
        <f>'Topsis LP Auto'!$D109*K109</f>
        <v>0</v>
      </c>
      <c r="I109" s="69">
        <f>_xlfn.IFNA(VLOOKUP($A109, 'Input Screen'!$C$7:$M$101, 10, FALSE), 0)</f>
        <v>0</v>
      </c>
      <c r="J109" s="69">
        <f>_xlfn.IFNA(VLOOKUP($A109, 'Input Screen'!$C$7:$M$101, 11, FALSE), 0)</f>
        <v>0</v>
      </c>
      <c r="K109" s="69">
        <f>VLOOKUP('Topsis LP Auto'!$A109, 'Topsis LP Auto'!$M$10:$X$109, 12, FALSE)</f>
        <v>0</v>
      </c>
      <c r="M109" s="71">
        <f>'Input Screen'!C106</f>
        <v>0</v>
      </c>
      <c r="N109" s="72">
        <f>_xlfn.IFNA((VLOOKUP($M109,'Input Screen'!$C$7:$K$101, (N$8+1), 0)/SQRT(SUMSQ('Input Screen'!D$7:D$101)))*N$6, 0)</f>
        <v>0</v>
      </c>
      <c r="O109" s="72">
        <f>_xlfn.IFNA((VLOOKUP($M109,'Input Screen'!$C$7:$K$101, (O$8+1), 0)/SQRT(SUMSQ('Input Screen'!E$7:E$101)))*O$6, 0)</f>
        <v>0</v>
      </c>
      <c r="P109" s="72">
        <f>_xlfn.IFNA((VLOOKUP($M109,'Input Screen'!$C$7:$K$101, (P$8+1), 0)/SQRT(SUMSQ('Input Screen'!F$7:F$101)))*P$6, 0)</f>
        <v>0</v>
      </c>
      <c r="Q109" s="72">
        <f>_xlfn.IFNA((VLOOKUP($M109,'Input Screen'!$C$7:$K$101, (Q$8+1), 0)/SQRT(SUMSQ('Input Screen'!G$7:G$101)))*Q$6, 0)</f>
        <v>0</v>
      </c>
      <c r="R109" s="72">
        <f>_xlfn.IFNA((VLOOKUP($M109,'Input Screen'!$C$7:$K$101, (R$8+1), 0)/SQRT(SUMSQ('Input Screen'!H$7:H$101)))*R$6, 0)</f>
        <v>0</v>
      </c>
      <c r="S109" s="72">
        <f>_xlfn.IFNA((VLOOKUP($M109,'Input Screen'!$C$7:$K$101, (S$8+1), 0)/SQRT(SUMSQ('Input Screen'!I$7:I$101)))*S$6, 0)</f>
        <v>0</v>
      </c>
      <c r="T109" s="72">
        <f>_xlfn.IFNA((VLOOKUP($M109,'Input Screen'!$C$7:$K$101, (T$8+1), 0)/SQRT(SUMSQ('Input Screen'!J$7:J$101)))*T$6, 0)</f>
        <v>0</v>
      </c>
      <c r="U109" s="72">
        <f>_xlfn.IFNA((VLOOKUP($M109,'Input Screen'!$C$7:$K$101, (U$8+1), 0)/SQRT(SUMSQ('Input Screen'!K$7:K$101)))*U$6, 0)</f>
        <v>0</v>
      </c>
      <c r="V109" s="73">
        <f>IF('Topsis LP Auto'!$M109 = 0, 0, SQRT((N109-MAX(N$10:N$109))^2 + (O109-MAX(O$10:O$109))^2 + (P109-MAX(P$10:P$109))^2 + (Q109-MAX(Q$10:Q$109))^2 + (R109-MAX(R$10:R$109))^2 + (S109-MAX(S$10:S$109))^2 + (T109-MAX(T$10:T$109))^2 +(U109-MAX(U$10:U$109))^2))</f>
        <v>0</v>
      </c>
      <c r="W109" s="72">
        <f>IF('Topsis LP Auto'!$M109=0, 0, SQRT((N109-MIN(N$10:N$109))^2 + (O109-MIN(O$10:O$109))^2 + (P109-MIN(P$10:P$109))^2 + (Q109-MIN(Q$10:Q$109))^2 + (R109-MIN(R$10:R$109))^2 + (S109-MIN(S$10:S$109))^2 + (T109-MIN(T$10:T$109))^2 +(U109-MIN(U$10:U$109))^2))</f>
        <v>0</v>
      </c>
      <c r="X109" s="69">
        <f>IF('Topsis LP Auto'!$M109 = 0, 0, W109/(V109+W109))</f>
        <v>0</v>
      </c>
    </row>
  </sheetData>
  <mergeCells count="9">
    <mergeCell ref="B8:C8"/>
    <mergeCell ref="I8:J8"/>
    <mergeCell ref="N7:U7"/>
    <mergeCell ref="N5:U5"/>
    <mergeCell ref="E1:F1"/>
    <mergeCell ref="G1:H1"/>
    <mergeCell ref="N3:P3"/>
    <mergeCell ref="Q3:R3"/>
    <mergeCell ref="S3:U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01"/>
  <sheetViews>
    <sheetView workbookViewId="0">
      <selection activeCell="B76" sqref="B76"/>
    </sheetView>
  </sheetViews>
  <sheetFormatPr defaultRowHeight="15" x14ac:dyDescent="0.25"/>
  <cols>
    <col min="1" max="2" width="17.42578125" customWidth="1"/>
    <col min="3" max="3" width="15.7109375" customWidth="1"/>
    <col min="4" max="4" width="14.140625" customWidth="1"/>
    <col min="5" max="5" width="20.7109375" customWidth="1"/>
    <col min="6" max="6" width="16.42578125" customWidth="1"/>
    <col min="7" max="7" width="13" customWidth="1"/>
    <col min="8" max="8" width="17.7109375" customWidth="1"/>
    <col min="9" max="9" width="16.85546875" customWidth="1"/>
    <col min="10" max="10" width="17.42578125" customWidth="1"/>
    <col min="11" max="12" width="16.28515625" bestFit="1" customWidth="1"/>
    <col min="13" max="13" width="11.85546875" bestFit="1" customWidth="1"/>
  </cols>
  <sheetData>
    <row r="1" spans="1:13" x14ac:dyDescent="0.25">
      <c r="A1" t="str">
        <f>'Input Screen'!A6</f>
        <v>State</v>
      </c>
      <c r="B1" t="str">
        <f>'Input Screen'!B6</f>
        <v>Park Names</v>
      </c>
      <c r="C1" t="str">
        <f>'Topsis LP Auto'!A9</f>
        <v>Park Alpha Code</v>
      </c>
      <c r="D1" t="str">
        <f>'Topsis LP Auto'!B9</f>
        <v>CDM Funded</v>
      </c>
      <c r="E1" t="str">
        <f>'Topsis LP Auto'!C9</f>
        <v>Non-CDM  Funded</v>
      </c>
      <c r="F1" t="str">
        <f>'Topsis LP Auto'!D9</f>
        <v>Total DM Funded</v>
      </c>
      <c r="G1" t="str">
        <f>'Topsis LP Auto'!E9</f>
        <v>% CDM Met</v>
      </c>
      <c r="H1" t="str">
        <f>'Topsis LP Auto'!F9</f>
        <v>% DM Met</v>
      </c>
      <c r="I1" t="str">
        <f>'Topsis LP Auto'!G9</f>
        <v>Topsis Score*CMD</v>
      </c>
      <c r="J1" t="str">
        <f>'Topsis LP Auto'!H9</f>
        <v>Topsis Score*DM</v>
      </c>
      <c r="K1" t="str">
        <f>'Topsis LP Auto'!I9</f>
        <v>Total DM</v>
      </c>
      <c r="L1" t="str">
        <f>'Topsis LP Auto'!J9</f>
        <v>Total CDM</v>
      </c>
      <c r="M1" t="s">
        <v>89</v>
      </c>
    </row>
    <row r="2" spans="1:13" x14ac:dyDescent="0.25">
      <c r="A2" t="str">
        <f>'Input Screen'!A7</f>
        <v>Maine</v>
      </c>
      <c r="B2" t="str">
        <f>'Input Screen'!B7</f>
        <v>Acadia</v>
      </c>
      <c r="C2" t="str">
        <f>'Topsis LP Auto'!A10</f>
        <v>ACAD</v>
      </c>
      <c r="D2">
        <f>'Topsis LP Auto'!B10</f>
        <v>17448635</v>
      </c>
      <c r="E2">
        <f>'Topsis LP Auto'!C10</f>
        <v>0</v>
      </c>
      <c r="F2">
        <f>'Topsis LP Auto'!D10</f>
        <v>17448635</v>
      </c>
      <c r="G2" s="114">
        <f>'Topsis LP Auto'!E10</f>
        <v>1</v>
      </c>
      <c r="H2" s="114">
        <f>'Topsis LP Auto'!F10</f>
        <v>0.29149998565774699</v>
      </c>
      <c r="I2" t="e">
        <f>'Topsis LP Auto'!G10</f>
        <v>#DIV/0!</v>
      </c>
      <c r="J2" t="e">
        <f>'Topsis LP Auto'!H10</f>
        <v>#DIV/0!</v>
      </c>
      <c r="K2" s="116">
        <f>'Topsis LP Auto'!I10</f>
        <v>59858099</v>
      </c>
      <c r="L2" s="116">
        <f>'Topsis LP Auto'!J10</f>
        <v>17448635</v>
      </c>
      <c r="M2" t="e">
        <f>'Topsis LP Auto'!K10</f>
        <v>#DIV/0!</v>
      </c>
    </row>
    <row r="3" spans="1:13" x14ac:dyDescent="0.25">
      <c r="A3" t="str">
        <f>'Input Screen'!A8</f>
        <v>Utah</v>
      </c>
      <c r="B3" t="str">
        <f>'Input Screen'!B8</f>
        <v>Arches</v>
      </c>
      <c r="C3" t="str">
        <f>'Topsis LP Auto'!A11</f>
        <v>ARCH</v>
      </c>
      <c r="D3">
        <f>'Topsis LP Auto'!B11</f>
        <v>2331452</v>
      </c>
      <c r="E3">
        <f>'Topsis LP Auto'!C11</f>
        <v>0</v>
      </c>
      <c r="F3">
        <f>'Topsis LP Auto'!D11</f>
        <v>2331452</v>
      </c>
      <c r="G3" s="114">
        <f>'Topsis LP Auto'!E11</f>
        <v>1</v>
      </c>
      <c r="H3" s="114">
        <f>'Topsis LP Auto'!F11</f>
        <v>9.0899978217086244E-2</v>
      </c>
      <c r="I3" t="e">
        <f>'Topsis LP Auto'!G11</f>
        <v>#DIV/0!</v>
      </c>
      <c r="J3" t="e">
        <f>'Topsis LP Auto'!H11</f>
        <v>#DIV/0!</v>
      </c>
      <c r="K3" s="116">
        <f>'Topsis LP Auto'!I11</f>
        <v>25648543</v>
      </c>
      <c r="L3" s="116">
        <f>'Topsis LP Auto'!J11</f>
        <v>2331452</v>
      </c>
      <c r="M3" t="e">
        <f>'Topsis LP Auto'!K11</f>
        <v>#DIV/0!</v>
      </c>
    </row>
    <row r="4" spans="1:13" x14ac:dyDescent="0.25">
      <c r="A4" t="str">
        <f>'Input Screen'!A9</f>
        <v>South Dakota</v>
      </c>
      <c r="B4" t="str">
        <f>'Input Screen'!B9</f>
        <v>Badlands</v>
      </c>
      <c r="C4" t="str">
        <f>'Topsis LP Auto'!A12</f>
        <v>BADL</v>
      </c>
      <c r="D4">
        <f>'Topsis LP Auto'!B12</f>
        <v>2495014</v>
      </c>
      <c r="E4">
        <f>'Topsis LP Auto'!C12</f>
        <v>0</v>
      </c>
      <c r="F4">
        <f>'Topsis LP Auto'!D12</f>
        <v>2495014</v>
      </c>
      <c r="G4" s="114">
        <f>'Topsis LP Auto'!E12</f>
        <v>1</v>
      </c>
      <c r="H4" s="114">
        <f>'Topsis LP Auto'!F12</f>
        <v>9.4099979479153689E-2</v>
      </c>
      <c r="I4" t="e">
        <f>'Topsis LP Auto'!G12</f>
        <v>#DIV/0!</v>
      </c>
      <c r="J4" t="e">
        <f>'Topsis LP Auto'!H12</f>
        <v>#DIV/0!</v>
      </c>
      <c r="K4" s="116">
        <f>'Topsis LP Auto'!I12</f>
        <v>26514501</v>
      </c>
      <c r="L4" s="116">
        <f>'Topsis LP Auto'!J12</f>
        <v>2495014</v>
      </c>
      <c r="M4" t="e">
        <f>'Topsis LP Auto'!K12</f>
        <v>#DIV/0!</v>
      </c>
    </row>
    <row r="5" spans="1:13" x14ac:dyDescent="0.25">
      <c r="A5" t="str">
        <f>'Input Screen'!A10</f>
        <v>Texas</v>
      </c>
      <c r="B5" t="str">
        <f>'Input Screen'!B10</f>
        <v>Big Bend</v>
      </c>
      <c r="C5" t="str">
        <f>'Topsis LP Auto'!A13</f>
        <v>BIBE</v>
      </c>
      <c r="D5">
        <f>'Topsis LP Auto'!B13</f>
        <v>0</v>
      </c>
      <c r="E5">
        <f>'Topsis LP Auto'!C13</f>
        <v>0</v>
      </c>
      <c r="F5">
        <f>'Topsis LP Auto'!D13</f>
        <v>0</v>
      </c>
      <c r="G5" s="114">
        <f>'Topsis LP Auto'!E13</f>
        <v>0</v>
      </c>
      <c r="H5" s="114">
        <f>'Topsis LP Auto'!F13</f>
        <v>0</v>
      </c>
      <c r="I5" t="e">
        <f>'Topsis LP Auto'!G13</f>
        <v>#DIV/0!</v>
      </c>
      <c r="J5" t="e">
        <f>'Topsis LP Auto'!H13</f>
        <v>#DIV/0!</v>
      </c>
      <c r="K5" s="116">
        <f>'Topsis LP Auto'!I13</f>
        <v>100421335.00000001</v>
      </c>
      <c r="L5" s="116">
        <f>'Topsis LP Auto'!J13</f>
        <v>11377737</v>
      </c>
      <c r="M5" t="e">
        <f>'Topsis LP Auto'!K13</f>
        <v>#DIV/0!</v>
      </c>
    </row>
    <row r="6" spans="1:13" x14ac:dyDescent="0.25">
      <c r="A6" t="str">
        <f>'Input Screen'!A11</f>
        <v>Florida</v>
      </c>
      <c r="B6" t="str">
        <f>'Input Screen'!B11</f>
        <v>Biscayne</v>
      </c>
      <c r="C6" t="str">
        <f>'Topsis LP Auto'!A14</f>
        <v>BISC</v>
      </c>
      <c r="D6">
        <f>'Topsis LP Auto'!B14</f>
        <v>2658387</v>
      </c>
      <c r="E6">
        <f>'Topsis LP Auto'!C14</f>
        <v>0</v>
      </c>
      <c r="F6">
        <f>'Topsis LP Auto'!D14</f>
        <v>2658387</v>
      </c>
      <c r="G6" s="114">
        <f>'Topsis LP Auto'!E14</f>
        <v>1</v>
      </c>
      <c r="H6" s="114">
        <f>'Topsis LP Auto'!F14</f>
        <v>0.21219994402823938</v>
      </c>
      <c r="I6" t="e">
        <f>'Topsis LP Auto'!G14</f>
        <v>#DIV/0!</v>
      </c>
      <c r="J6" t="e">
        <f>'Topsis LP Auto'!H14</f>
        <v>#DIV/0!</v>
      </c>
      <c r="K6" s="116">
        <f>'Topsis LP Auto'!I14</f>
        <v>12527746</v>
      </c>
      <c r="L6" s="116">
        <f>'Topsis LP Auto'!J14</f>
        <v>2658387</v>
      </c>
      <c r="M6" t="e">
        <f>'Topsis LP Auto'!K14</f>
        <v>#DIV/0!</v>
      </c>
    </row>
    <row r="7" spans="1:13" x14ac:dyDescent="0.25">
      <c r="A7" t="str">
        <f>'Input Screen'!A12</f>
        <v>Colorado</v>
      </c>
      <c r="B7" t="str">
        <f>'Input Screen'!B12</f>
        <v>Black Canyon</v>
      </c>
      <c r="C7" t="str">
        <f>'Topsis LP Auto'!A15</f>
        <v>BLCA</v>
      </c>
      <c r="D7">
        <f>'Topsis LP Auto'!B15</f>
        <v>714037</v>
      </c>
      <c r="E7">
        <f>'Topsis LP Auto'!C15</f>
        <v>0</v>
      </c>
      <c r="F7">
        <f>'Topsis LP Auto'!D15</f>
        <v>714037</v>
      </c>
      <c r="G7" s="114">
        <f>'Topsis LP Auto'!E15</f>
        <v>1</v>
      </c>
      <c r="H7" s="114">
        <f>'Topsis LP Auto'!F15</f>
        <v>0.10969997076355366</v>
      </c>
      <c r="I7" t="e">
        <f>'Topsis LP Auto'!G15</f>
        <v>#DIV/0!</v>
      </c>
      <c r="J7" t="e">
        <f>'Topsis LP Auto'!H15</f>
        <v>#DIV/0!</v>
      </c>
      <c r="K7" s="116">
        <f>'Topsis LP Auto'!I15</f>
        <v>6508999</v>
      </c>
      <c r="L7" s="116">
        <f>'Topsis LP Auto'!J15</f>
        <v>714037</v>
      </c>
      <c r="M7" t="e">
        <f>'Topsis LP Auto'!K15</f>
        <v>#DIV/0!</v>
      </c>
    </row>
    <row r="8" spans="1:13" x14ac:dyDescent="0.25">
      <c r="A8" t="str">
        <f>'Input Screen'!A13</f>
        <v>Utah</v>
      </c>
      <c r="B8" t="str">
        <f>'Input Screen'!B13</f>
        <v>Bryce Canyon</v>
      </c>
      <c r="C8" t="str">
        <f>'Topsis LP Auto'!A16</f>
        <v>BRCA</v>
      </c>
      <c r="D8">
        <f>'Topsis LP Auto'!B16</f>
        <v>2468544</v>
      </c>
      <c r="E8">
        <f>'Topsis LP Auto'!C16</f>
        <v>0</v>
      </c>
      <c r="F8">
        <f>'Topsis LP Auto'!D16</f>
        <v>2468544</v>
      </c>
      <c r="G8" s="114">
        <f>'Topsis LP Auto'!E16</f>
        <v>1</v>
      </c>
      <c r="H8" s="114">
        <f>'Topsis LP Auto'!F16</f>
        <v>9.0999966933151544E-2</v>
      </c>
      <c r="I8" t="e">
        <f>'Topsis LP Auto'!G16</f>
        <v>#DIV/0!</v>
      </c>
      <c r="J8" t="e">
        <f>'Topsis LP Auto'!H16</f>
        <v>#DIV/0!</v>
      </c>
      <c r="K8" s="116">
        <f>'Topsis LP Auto'!I16</f>
        <v>27126867</v>
      </c>
      <c r="L8" s="116">
        <f>'Topsis LP Auto'!J16</f>
        <v>2468544</v>
      </c>
      <c r="M8" t="e">
        <f>'Topsis LP Auto'!K16</f>
        <v>#DIV/0!</v>
      </c>
    </row>
    <row r="9" spans="1:13" x14ac:dyDescent="0.25">
      <c r="A9" t="str">
        <f>'Input Screen'!A14</f>
        <v>Utah</v>
      </c>
      <c r="B9" t="str">
        <f>'Input Screen'!B14</f>
        <v>Canyonlands</v>
      </c>
      <c r="C9" t="str">
        <f>'Topsis LP Auto'!A17</f>
        <v>CANY</v>
      </c>
      <c r="D9">
        <f>'Topsis LP Auto'!B17</f>
        <v>4229819</v>
      </c>
      <c r="E9">
        <f>'Topsis LP Auto'!C17</f>
        <v>0</v>
      </c>
      <c r="F9">
        <f>'Topsis LP Auto'!D17</f>
        <v>4229819</v>
      </c>
      <c r="G9" s="114">
        <f>'Topsis LP Auto'!E17</f>
        <v>1</v>
      </c>
      <c r="H9" s="114">
        <f>'Topsis LP Auto'!F17</f>
        <v>0.10399998092022728</v>
      </c>
      <c r="I9" t="e">
        <f>'Topsis LP Auto'!G17</f>
        <v>#DIV/0!</v>
      </c>
      <c r="J9" t="e">
        <f>'Topsis LP Auto'!H17</f>
        <v>#DIV/0!</v>
      </c>
      <c r="K9" s="116">
        <f>'Topsis LP Auto'!I17</f>
        <v>40671344</v>
      </c>
      <c r="L9" s="116">
        <f>'Topsis LP Auto'!J17</f>
        <v>4229819</v>
      </c>
      <c r="M9" t="e">
        <f>'Topsis LP Auto'!K17</f>
        <v>#DIV/0!</v>
      </c>
    </row>
    <row r="10" spans="1:13" x14ac:dyDescent="0.25">
      <c r="A10" t="str">
        <f>'Input Screen'!A15</f>
        <v>Utah</v>
      </c>
      <c r="B10" t="str">
        <f>'Input Screen'!B15</f>
        <v>Capitol Reef</v>
      </c>
      <c r="C10" t="str">
        <f>'Topsis LP Auto'!A18</f>
        <v>CARE</v>
      </c>
      <c r="D10">
        <f>'Topsis LP Auto'!B18</f>
        <v>1088538</v>
      </c>
      <c r="E10">
        <f>'Topsis LP Auto'!C18</f>
        <v>0</v>
      </c>
      <c r="F10">
        <f>'Topsis LP Auto'!D18</f>
        <v>1088538</v>
      </c>
      <c r="G10" s="114">
        <f>'Topsis LP Auto'!E18</f>
        <v>1</v>
      </c>
      <c r="H10" s="114">
        <f>'Topsis LP Auto'!F18</f>
        <v>0.12989998825749874</v>
      </c>
      <c r="I10" t="e">
        <f>'Topsis LP Auto'!G18</f>
        <v>#DIV/0!</v>
      </c>
      <c r="J10" t="e">
        <f>'Topsis LP Auto'!H18</f>
        <v>#DIV/0!</v>
      </c>
      <c r="K10" s="116">
        <f>'Topsis LP Auto'!I18</f>
        <v>8379815.9999999991</v>
      </c>
      <c r="L10" s="116">
        <f>'Topsis LP Auto'!J18</f>
        <v>1088538</v>
      </c>
      <c r="M10" t="e">
        <f>'Topsis LP Auto'!K18</f>
        <v>#DIV/0!</v>
      </c>
    </row>
    <row r="11" spans="1:13" x14ac:dyDescent="0.25">
      <c r="A11" t="str">
        <f>'Input Screen'!A16</f>
        <v>New Mexico</v>
      </c>
      <c r="B11" t="str">
        <f>'Input Screen'!B16</f>
        <v>Carlsbad Caverns</v>
      </c>
      <c r="C11" t="str">
        <f>'Topsis LP Auto'!A19</f>
        <v>CAVE</v>
      </c>
      <c r="D11">
        <f>'Topsis LP Auto'!B19</f>
        <v>0</v>
      </c>
      <c r="E11">
        <f>'Topsis LP Auto'!C19</f>
        <v>0</v>
      </c>
      <c r="F11">
        <f>'Topsis LP Auto'!D19</f>
        <v>0</v>
      </c>
      <c r="G11" s="114">
        <f>'Topsis LP Auto'!E19</f>
        <v>0</v>
      </c>
      <c r="H11" s="114">
        <f>'Topsis LP Auto'!F19</f>
        <v>0</v>
      </c>
      <c r="I11" t="e">
        <f>'Topsis LP Auto'!G19</f>
        <v>#DIV/0!</v>
      </c>
      <c r="J11" t="e">
        <f>'Topsis LP Auto'!H19</f>
        <v>#DIV/0!</v>
      </c>
      <c r="K11" s="116">
        <f>'Topsis LP Auto'!I19</f>
        <v>46819348</v>
      </c>
      <c r="L11" s="116">
        <f>'Topsis LP Auto'!J19</f>
        <v>18474914</v>
      </c>
      <c r="M11" t="e">
        <f>'Topsis LP Auto'!K19</f>
        <v>#DIV/0!</v>
      </c>
    </row>
    <row r="12" spans="1:13" x14ac:dyDescent="0.25">
      <c r="A12" t="str">
        <f>'Input Screen'!A17</f>
        <v>California</v>
      </c>
      <c r="B12" t="str">
        <f>'Input Screen'!B17</f>
        <v>Channel Islands</v>
      </c>
      <c r="C12" t="str">
        <f>'Topsis LP Auto'!A20</f>
        <v>CHIS</v>
      </c>
      <c r="D12">
        <f>'Topsis LP Auto'!B20</f>
        <v>6112271</v>
      </c>
      <c r="E12">
        <f>'Topsis LP Auto'!C20</f>
        <v>0</v>
      </c>
      <c r="F12">
        <f>'Topsis LP Auto'!D20</f>
        <v>6112271</v>
      </c>
      <c r="G12" s="114">
        <f>'Topsis LP Auto'!E20</f>
        <v>1</v>
      </c>
      <c r="H12" s="114">
        <f>'Topsis LP Auto'!F20</f>
        <v>0.4463999788495252</v>
      </c>
      <c r="I12" t="e">
        <f>'Topsis LP Auto'!G20</f>
        <v>#DIV/0!</v>
      </c>
      <c r="J12" t="e">
        <f>'Topsis LP Auto'!H20</f>
        <v>#DIV/0!</v>
      </c>
      <c r="K12" s="116">
        <f>'Topsis LP Auto'!I20</f>
        <v>13692364</v>
      </c>
      <c r="L12" s="116">
        <f>'Topsis LP Auto'!J20</f>
        <v>6112271</v>
      </c>
      <c r="M12" t="e">
        <f>'Topsis LP Auto'!K20</f>
        <v>#DIV/0!</v>
      </c>
    </row>
    <row r="13" spans="1:13" x14ac:dyDescent="0.25">
      <c r="A13" t="str">
        <f>'Input Screen'!A18</f>
        <v>South Carolina</v>
      </c>
      <c r="B13" t="str">
        <f>'Input Screen'!B18</f>
        <v>Congaree</v>
      </c>
      <c r="C13" t="str">
        <f>'Topsis LP Auto'!A21</f>
        <v>CONG</v>
      </c>
      <c r="D13">
        <f>'Topsis LP Auto'!B21</f>
        <v>1269732</v>
      </c>
      <c r="E13">
        <f>'Topsis LP Auto'!C21</f>
        <v>2534141</v>
      </c>
      <c r="F13">
        <f>'Topsis LP Auto'!D21</f>
        <v>3803873</v>
      </c>
      <c r="G13" s="114">
        <f>'Topsis LP Auto'!E21</f>
        <v>1</v>
      </c>
      <c r="H13" s="114">
        <f>'Topsis LP Auto'!F21</f>
        <v>1</v>
      </c>
      <c r="I13" t="e">
        <f>'Topsis LP Auto'!G21</f>
        <v>#DIV/0!</v>
      </c>
      <c r="J13" t="e">
        <f>'Topsis LP Auto'!H21</f>
        <v>#DIV/0!</v>
      </c>
      <c r="K13" s="116">
        <f>'Topsis LP Auto'!I21</f>
        <v>3803873</v>
      </c>
      <c r="L13" s="116">
        <f>'Topsis LP Auto'!J21</f>
        <v>1269732</v>
      </c>
      <c r="M13" t="e">
        <f>'Topsis LP Auto'!K21</f>
        <v>#DIV/0!</v>
      </c>
    </row>
    <row r="14" spans="1:13" x14ac:dyDescent="0.25">
      <c r="A14" t="str">
        <f>'Input Screen'!A19</f>
        <v>Oregon</v>
      </c>
      <c r="B14" t="str">
        <f>'Input Screen'!B19</f>
        <v>Crater Lake</v>
      </c>
      <c r="C14" t="str">
        <f>'Topsis LP Auto'!A22</f>
        <v>CRLA</v>
      </c>
      <c r="D14">
        <f>'Topsis LP Auto'!B22</f>
        <v>0</v>
      </c>
      <c r="E14">
        <f>'Topsis LP Auto'!C22</f>
        <v>0</v>
      </c>
      <c r="F14">
        <f>'Topsis LP Auto'!D22</f>
        <v>0</v>
      </c>
      <c r="G14" s="114">
        <f>'Topsis LP Auto'!E22</f>
        <v>0</v>
      </c>
      <c r="H14" s="114">
        <f>'Topsis LP Auto'!F22</f>
        <v>0</v>
      </c>
      <c r="I14" t="e">
        <f>'Topsis LP Auto'!G22</f>
        <v>#DIV/0!</v>
      </c>
      <c r="J14" t="e">
        <f>'Topsis LP Auto'!H22</f>
        <v>#DIV/0!</v>
      </c>
      <c r="K14" s="116">
        <f>'Topsis LP Auto'!I22</f>
        <v>94080988</v>
      </c>
      <c r="L14" s="116">
        <f>'Topsis LP Auto'!J22</f>
        <v>12465730</v>
      </c>
      <c r="M14" t="e">
        <f>'Topsis LP Auto'!K22</f>
        <v>#DIV/0!</v>
      </c>
    </row>
    <row r="15" spans="1:13" x14ac:dyDescent="0.25">
      <c r="A15" t="str">
        <f>'Input Screen'!A20</f>
        <v>Ohio</v>
      </c>
      <c r="B15" t="str">
        <f>'Input Screen'!B20</f>
        <v>Cuyahoga</v>
      </c>
      <c r="C15" t="str">
        <f>'Topsis LP Auto'!A23</f>
        <v>CUVA</v>
      </c>
      <c r="D15">
        <f>'Topsis LP Auto'!B23</f>
        <v>0</v>
      </c>
      <c r="E15">
        <f>'Topsis LP Auto'!C23</f>
        <v>0</v>
      </c>
      <c r="F15">
        <f>'Topsis LP Auto'!D23</f>
        <v>0</v>
      </c>
      <c r="G15" s="114">
        <f>'Topsis LP Auto'!E23</f>
        <v>0</v>
      </c>
      <c r="H15" s="114">
        <f>'Topsis LP Auto'!F23</f>
        <v>0</v>
      </c>
      <c r="I15" t="e">
        <f>'Topsis LP Auto'!G23</f>
        <v>#DIV/0!</v>
      </c>
      <c r="J15" t="e">
        <f>'Topsis LP Auto'!H23</f>
        <v>#DIV/0!</v>
      </c>
      <c r="K15" s="116">
        <f>'Topsis LP Auto'!I23</f>
        <v>45813356</v>
      </c>
      <c r="L15" s="116">
        <f>'Topsis LP Auto'!J23</f>
        <v>24959116</v>
      </c>
      <c r="M15" t="e">
        <f>'Topsis LP Auto'!K23</f>
        <v>#DIV/0!</v>
      </c>
    </row>
    <row r="16" spans="1:13" x14ac:dyDescent="0.25">
      <c r="A16" t="str">
        <f>'Input Screen'!A21</f>
        <v>Alaska</v>
      </c>
      <c r="B16" t="str">
        <f>'Input Screen'!B21</f>
        <v>Denali</v>
      </c>
      <c r="C16" t="str">
        <f>'Topsis LP Auto'!A24</f>
        <v>DENA</v>
      </c>
      <c r="D16">
        <f>'Topsis LP Auto'!B24</f>
        <v>17848520</v>
      </c>
      <c r="E16">
        <f>'Topsis LP Auto'!C24</f>
        <v>0</v>
      </c>
      <c r="F16">
        <f>'Topsis LP Auto'!D24</f>
        <v>17848520</v>
      </c>
      <c r="G16" s="114">
        <f>'Topsis LP Auto'!E24</f>
        <v>1</v>
      </c>
      <c r="H16" s="114">
        <f>'Topsis LP Auto'!F24</f>
        <v>0.32609998214066305</v>
      </c>
      <c r="I16" t="e">
        <f>'Topsis LP Auto'!G24</f>
        <v>#DIV/0!</v>
      </c>
      <c r="J16" t="e">
        <f>'Topsis LP Auto'!H24</f>
        <v>#DIV/0!</v>
      </c>
      <c r="K16" s="116">
        <f>'Topsis LP Auto'!I24</f>
        <v>54733275</v>
      </c>
      <c r="L16" s="116">
        <f>'Topsis LP Auto'!J24</f>
        <v>17848520</v>
      </c>
      <c r="M16" t="e">
        <f>'Topsis LP Auto'!K24</f>
        <v>#DIV/0!</v>
      </c>
    </row>
    <row r="17" spans="1:13" x14ac:dyDescent="0.25">
      <c r="A17" t="str">
        <f>'Input Screen'!A22</f>
        <v>California</v>
      </c>
      <c r="B17" t="str">
        <f>'Input Screen'!B22</f>
        <v>Death Valley</v>
      </c>
      <c r="C17" t="str">
        <f>'Topsis LP Auto'!A25</f>
        <v>DEVA</v>
      </c>
      <c r="D17">
        <f>'Topsis LP Auto'!B25</f>
        <v>0</v>
      </c>
      <c r="E17">
        <f>'Topsis LP Auto'!C25</f>
        <v>0</v>
      </c>
      <c r="F17">
        <f>'Topsis LP Auto'!D25</f>
        <v>0</v>
      </c>
      <c r="G17" s="114">
        <f>'Topsis LP Auto'!E25</f>
        <v>0</v>
      </c>
      <c r="H17" s="114">
        <f>'Topsis LP Auto'!F25</f>
        <v>0</v>
      </c>
      <c r="I17" t="e">
        <f>'Topsis LP Auto'!G25</f>
        <v>#DIV/0!</v>
      </c>
      <c r="J17" t="e">
        <f>'Topsis LP Auto'!H25</f>
        <v>#DIV/0!</v>
      </c>
      <c r="K17" s="116">
        <f>'Topsis LP Auto'!I25</f>
        <v>139335915</v>
      </c>
      <c r="L17" s="116">
        <f>'Topsis LP Auto'!J25</f>
        <v>12582033</v>
      </c>
      <c r="M17" t="e">
        <f>'Topsis LP Auto'!K25</f>
        <v>#DIV/0!</v>
      </c>
    </row>
    <row r="18" spans="1:13" x14ac:dyDescent="0.25">
      <c r="A18" t="str">
        <f>'Input Screen'!A23</f>
        <v>Florida</v>
      </c>
      <c r="B18" t="str">
        <f>'Input Screen'!B23</f>
        <v>Dry Tortugas</v>
      </c>
      <c r="C18" t="str">
        <f>'Topsis LP Auto'!A26</f>
        <v>DRTO</v>
      </c>
      <c r="D18">
        <f>'Topsis LP Auto'!B26</f>
        <v>30171870</v>
      </c>
      <c r="E18">
        <f>'Topsis LP Auto'!C26</f>
        <v>0</v>
      </c>
      <c r="F18">
        <f>'Topsis LP Auto'!D26</f>
        <v>30171870</v>
      </c>
      <c r="G18" s="114">
        <f>'Topsis LP Auto'!E26</f>
        <v>1</v>
      </c>
      <c r="H18" s="114">
        <f>'Topsis LP Auto'!F26</f>
        <v>0.50069999893958417</v>
      </c>
      <c r="I18" t="e">
        <f>'Topsis LP Auto'!G26</f>
        <v>#DIV/0!</v>
      </c>
      <c r="J18" t="e">
        <f>'Topsis LP Auto'!H26</f>
        <v>#DIV/0!</v>
      </c>
      <c r="K18" s="116">
        <f>'Topsis LP Auto'!I26</f>
        <v>60259377</v>
      </c>
      <c r="L18" s="116">
        <f>'Topsis LP Auto'!J26</f>
        <v>30171870</v>
      </c>
      <c r="M18" t="e">
        <f>'Topsis LP Auto'!K26</f>
        <v>#DIV/0!</v>
      </c>
    </row>
    <row r="19" spans="1:13" x14ac:dyDescent="0.25">
      <c r="A19" t="str">
        <f>'Input Screen'!A24</f>
        <v>Florida</v>
      </c>
      <c r="B19" t="str">
        <f>'Input Screen'!B24</f>
        <v>Everglades</v>
      </c>
      <c r="C19" t="str">
        <f>'Topsis LP Auto'!A27</f>
        <v>EVER</v>
      </c>
      <c r="D19">
        <f>'Topsis LP Auto'!B27</f>
        <v>0</v>
      </c>
      <c r="E19">
        <f>'Topsis LP Auto'!C27</f>
        <v>0</v>
      </c>
      <c r="F19">
        <f>'Topsis LP Auto'!D27</f>
        <v>0</v>
      </c>
      <c r="G19" s="114">
        <f>'Topsis LP Auto'!E27</f>
        <v>0</v>
      </c>
      <c r="H19" s="114">
        <f>'Topsis LP Auto'!F27</f>
        <v>0</v>
      </c>
      <c r="I19" t="e">
        <f>'Topsis LP Auto'!G27</f>
        <v>#DIV/0!</v>
      </c>
      <c r="J19" t="e">
        <f>'Topsis LP Auto'!H27</f>
        <v>#DIV/0!</v>
      </c>
      <c r="K19" s="116">
        <f>'Topsis LP Auto'!I27</f>
        <v>90906802.000000015</v>
      </c>
      <c r="L19" s="116">
        <f>'Topsis LP Auto'!J27</f>
        <v>16781395</v>
      </c>
      <c r="M19" t="e">
        <f>'Topsis LP Auto'!K27</f>
        <v>#DIV/0!</v>
      </c>
    </row>
    <row r="20" spans="1:13" x14ac:dyDescent="0.25">
      <c r="A20" t="str">
        <f>'Input Screen'!A25</f>
        <v>Alaska</v>
      </c>
      <c r="B20" t="str">
        <f>'Input Screen'!B25</f>
        <v>Gates of the Artic</v>
      </c>
      <c r="C20" t="str">
        <f>'Topsis LP Auto'!A28</f>
        <v>GAAR</v>
      </c>
      <c r="D20">
        <f>'Topsis LP Auto'!B28</f>
        <v>97459</v>
      </c>
      <c r="E20">
        <f>'Topsis LP Auto'!C28</f>
        <v>846913</v>
      </c>
      <c r="F20">
        <f>'Topsis LP Auto'!D28</f>
        <v>944372</v>
      </c>
      <c r="G20" s="114">
        <f>'Topsis LP Auto'!E28</f>
        <v>1</v>
      </c>
      <c r="H20" s="114">
        <f>'Topsis LP Auto'!F28</f>
        <v>1</v>
      </c>
      <c r="I20" t="e">
        <f>'Topsis LP Auto'!G28</f>
        <v>#DIV/0!</v>
      </c>
      <c r="J20" t="e">
        <f>'Topsis LP Auto'!H28</f>
        <v>#DIV/0!</v>
      </c>
      <c r="K20" s="116">
        <f>'Topsis LP Auto'!I28</f>
        <v>944372</v>
      </c>
      <c r="L20" s="116">
        <f>'Topsis LP Auto'!J28</f>
        <v>97459</v>
      </c>
      <c r="M20" t="e">
        <f>'Topsis LP Auto'!K28</f>
        <v>#DIV/0!</v>
      </c>
    </row>
    <row r="21" spans="1:13" x14ac:dyDescent="0.25">
      <c r="A21" t="str">
        <f>'Input Screen'!A26</f>
        <v>Montana</v>
      </c>
      <c r="B21" t="str">
        <f>'Input Screen'!B26</f>
        <v>Glacier</v>
      </c>
      <c r="C21" t="str">
        <f>'Topsis LP Auto'!A29</f>
        <v>GLAC</v>
      </c>
      <c r="D21">
        <f>'Topsis LP Auto'!B29</f>
        <v>0</v>
      </c>
      <c r="E21">
        <f>'Topsis LP Auto'!C29</f>
        <v>0</v>
      </c>
      <c r="F21">
        <f>'Topsis LP Auto'!D29</f>
        <v>0</v>
      </c>
      <c r="G21" s="114">
        <f>'Topsis LP Auto'!E29</f>
        <v>0</v>
      </c>
      <c r="H21" s="114">
        <f>'Topsis LP Auto'!F29</f>
        <v>0</v>
      </c>
      <c r="I21" t="e">
        <f>'Topsis LP Auto'!G29</f>
        <v>#DIV/0!</v>
      </c>
      <c r="J21" t="e">
        <f>'Topsis LP Auto'!H29</f>
        <v>#DIV/0!</v>
      </c>
      <c r="K21" s="116">
        <f>'Topsis LP Auto'!I29</f>
        <v>153838276</v>
      </c>
      <c r="L21" s="116">
        <f>'Topsis LP Auto'!J29</f>
        <v>35198197</v>
      </c>
      <c r="M21" t="e">
        <f>'Topsis LP Auto'!K29</f>
        <v>#DIV/0!</v>
      </c>
    </row>
    <row r="22" spans="1:13" x14ac:dyDescent="0.25">
      <c r="A22" t="str">
        <f>'Input Screen'!A27</f>
        <v>Alaska</v>
      </c>
      <c r="B22" t="str">
        <f>'Input Screen'!B27</f>
        <v>Glacier Bay</v>
      </c>
      <c r="C22" t="str">
        <f>'Topsis LP Auto'!A30</f>
        <v>GLBA</v>
      </c>
      <c r="D22">
        <f>'Topsis LP Auto'!B30</f>
        <v>2907354</v>
      </c>
      <c r="E22">
        <f>'Topsis LP Auto'!C30</f>
        <v>0</v>
      </c>
      <c r="F22">
        <f>'Topsis LP Auto'!D30</f>
        <v>2907354</v>
      </c>
      <c r="G22" s="114">
        <f>'Topsis LP Auto'!E30</f>
        <v>1</v>
      </c>
      <c r="H22" s="114">
        <f>'Topsis LP Auto'!F30</f>
        <v>0.30789996068849357</v>
      </c>
      <c r="I22" t="e">
        <f>'Topsis LP Auto'!G30</f>
        <v>#DIV/0!</v>
      </c>
      <c r="J22" t="e">
        <f>'Topsis LP Auto'!H30</f>
        <v>#DIV/0!</v>
      </c>
      <c r="K22" s="116">
        <f>'Topsis LP Auto'!I30</f>
        <v>9442528</v>
      </c>
      <c r="L22" s="116">
        <f>'Topsis LP Auto'!J30</f>
        <v>2907354</v>
      </c>
      <c r="M22" t="e">
        <f>'Topsis LP Auto'!K30</f>
        <v>#DIV/0!</v>
      </c>
    </row>
    <row r="23" spans="1:13" x14ac:dyDescent="0.25">
      <c r="A23" t="str">
        <f>'Input Screen'!A28</f>
        <v>Nevada</v>
      </c>
      <c r="B23" t="str">
        <f>'Input Screen'!B28</f>
        <v>Great Basin</v>
      </c>
      <c r="C23" t="str">
        <f>'Topsis LP Auto'!A31</f>
        <v>GRBA</v>
      </c>
      <c r="D23">
        <f>'Topsis LP Auto'!B31</f>
        <v>1844543</v>
      </c>
      <c r="E23">
        <f>'Topsis LP Auto'!C31</f>
        <v>0</v>
      </c>
      <c r="F23">
        <f>'Topsis LP Auto'!D31</f>
        <v>1844543</v>
      </c>
      <c r="G23" s="114">
        <f>'Topsis LP Auto'!E31</f>
        <v>1</v>
      </c>
      <c r="H23" s="114">
        <f>'Topsis LP Auto'!F31</f>
        <v>0.10569998145064442</v>
      </c>
      <c r="I23" t="e">
        <f>'Topsis LP Auto'!G31</f>
        <v>#DIV/0!</v>
      </c>
      <c r="J23" t="e">
        <f>'Topsis LP Auto'!H31</f>
        <v>#DIV/0!</v>
      </c>
      <c r="K23" s="116">
        <f>'Topsis LP Auto'!I31</f>
        <v>17450741</v>
      </c>
      <c r="L23" s="116">
        <f>'Topsis LP Auto'!J31</f>
        <v>1844543</v>
      </c>
      <c r="M23" t="e">
        <f>'Topsis LP Auto'!K31</f>
        <v>#DIV/0!</v>
      </c>
    </row>
    <row r="24" spans="1:13" x14ac:dyDescent="0.25">
      <c r="A24" t="str">
        <f>'Input Screen'!A29</f>
        <v>Arizona</v>
      </c>
      <c r="B24" t="str">
        <f>'Input Screen'!B29</f>
        <v>Grand Canyon</v>
      </c>
      <c r="C24" t="str">
        <f>'Topsis LP Auto'!A32</f>
        <v>GRCA</v>
      </c>
      <c r="D24">
        <f>'Topsis LP Auto'!B32</f>
        <v>116126561</v>
      </c>
      <c r="E24">
        <f>'Topsis LP Auto'!C32</f>
        <v>0</v>
      </c>
      <c r="F24">
        <f>'Topsis LP Auto'!D32</f>
        <v>116126561</v>
      </c>
      <c r="G24" s="114">
        <f>'Topsis LP Auto'!E32</f>
        <v>1</v>
      </c>
      <c r="H24" s="114">
        <f>'Topsis LP Auto'!F32</f>
        <v>0.35249999837601753</v>
      </c>
      <c r="I24" t="e">
        <f>'Topsis LP Auto'!G32</f>
        <v>#DIV/0!</v>
      </c>
      <c r="J24" t="e">
        <f>'Topsis LP Auto'!H32</f>
        <v>#DIV/0!</v>
      </c>
      <c r="K24" s="116">
        <f>'Topsis LP Auto'!I32</f>
        <v>329437054</v>
      </c>
      <c r="L24" s="116">
        <f>'Topsis LP Auto'!J32</f>
        <v>116126561</v>
      </c>
      <c r="M24" t="e">
        <f>'Topsis LP Auto'!K32</f>
        <v>#DIV/0!</v>
      </c>
    </row>
    <row r="25" spans="1:13" x14ac:dyDescent="0.25">
      <c r="A25" t="str">
        <f>'Input Screen'!A30</f>
        <v>Colorado</v>
      </c>
      <c r="B25" t="str">
        <f>'Input Screen'!B30</f>
        <v>Great Sand Dunes</v>
      </c>
      <c r="C25" t="str">
        <f>'Topsis LP Auto'!A33</f>
        <v>GRSA</v>
      </c>
      <c r="D25">
        <f>'Topsis LP Auto'!B33</f>
        <v>2195832</v>
      </c>
      <c r="E25">
        <f>'Topsis LP Auto'!C33</f>
        <v>0</v>
      </c>
      <c r="F25">
        <f>'Topsis LP Auto'!D33</f>
        <v>2195832</v>
      </c>
      <c r="G25" s="114">
        <f>'Topsis LP Auto'!E33</f>
        <v>1</v>
      </c>
      <c r="H25" s="114">
        <f>'Topsis LP Auto'!F33</f>
        <v>0.21119995567924163</v>
      </c>
      <c r="I25" t="e">
        <f>'Topsis LP Auto'!G33</f>
        <v>#DIV/0!</v>
      </c>
      <c r="J25" t="e">
        <f>'Topsis LP Auto'!H33</f>
        <v>#DIV/0!</v>
      </c>
      <c r="K25" s="116">
        <f>'Topsis LP Auto'!I33</f>
        <v>10396933.999999998</v>
      </c>
      <c r="L25" s="116">
        <f>'Topsis LP Auto'!J33</f>
        <v>2195832</v>
      </c>
      <c r="M25" t="e">
        <f>'Topsis LP Auto'!K33</f>
        <v>#DIV/0!</v>
      </c>
    </row>
    <row r="26" spans="1:13" x14ac:dyDescent="0.25">
      <c r="A26" t="str">
        <f>'Input Screen'!A31</f>
        <v>Tennessee</v>
      </c>
      <c r="B26" t="str">
        <f>'Input Screen'!B31</f>
        <v>Great Smoky</v>
      </c>
      <c r="C26" t="str">
        <f>'Topsis LP Auto'!A34</f>
        <v>GRSM</v>
      </c>
      <c r="D26">
        <f>'Topsis LP Auto'!B34</f>
        <v>25617231</v>
      </c>
      <c r="E26">
        <f>'Topsis LP Auto'!C34</f>
        <v>0</v>
      </c>
      <c r="F26">
        <f>'Topsis LP Auto'!D34</f>
        <v>25617231</v>
      </c>
      <c r="G26" s="114">
        <f>'Topsis LP Auto'!E34</f>
        <v>1</v>
      </c>
      <c r="H26" s="114">
        <f>'Topsis LP Auto'!F34</f>
        <v>0.11889999931400003</v>
      </c>
      <c r="I26" t="e">
        <f>'Topsis LP Auto'!G34</f>
        <v>#DIV/0!</v>
      </c>
      <c r="J26" t="e">
        <f>'Topsis LP Auto'!H34</f>
        <v>#DIV/0!</v>
      </c>
      <c r="K26" s="116">
        <f>'Topsis LP Auto'!I34</f>
        <v>215451902</v>
      </c>
      <c r="L26" s="116">
        <f>'Topsis LP Auto'!J34</f>
        <v>25617231</v>
      </c>
      <c r="M26" t="e">
        <f>'Topsis LP Auto'!K34</f>
        <v>#DIV/0!</v>
      </c>
    </row>
    <row r="27" spans="1:13" x14ac:dyDescent="0.25">
      <c r="A27" t="str">
        <f>'Input Screen'!A32</f>
        <v>Wyoming</v>
      </c>
      <c r="B27" t="str">
        <f>'Input Screen'!B32</f>
        <v>Grand Teton</v>
      </c>
      <c r="C27" t="str">
        <f>'Topsis LP Auto'!A35</f>
        <v>GRTE</v>
      </c>
      <c r="D27">
        <f>'Topsis LP Auto'!B35</f>
        <v>39388030</v>
      </c>
      <c r="E27">
        <f>'Topsis LP Auto'!C35</f>
        <v>0</v>
      </c>
      <c r="F27">
        <f>'Topsis LP Auto'!D35</f>
        <v>39388030</v>
      </c>
      <c r="G27" s="114">
        <f>'Topsis LP Auto'!E35</f>
        <v>1</v>
      </c>
      <c r="H27" s="114">
        <f>'Topsis LP Auto'!F35</f>
        <v>0.22049999573141268</v>
      </c>
      <c r="I27" t="e">
        <f>'Topsis LP Auto'!G35</f>
        <v>#DIV/0!</v>
      </c>
      <c r="J27" t="e">
        <f>'Topsis LP Auto'!H35</f>
        <v>#DIV/0!</v>
      </c>
      <c r="K27" s="116">
        <f>'Topsis LP Auto'!I35</f>
        <v>178630524.99999997</v>
      </c>
      <c r="L27" s="116">
        <f>'Topsis LP Auto'!J35</f>
        <v>39388030</v>
      </c>
      <c r="M27" t="e">
        <f>'Topsis LP Auto'!K35</f>
        <v>#DIV/0!</v>
      </c>
    </row>
    <row r="28" spans="1:13" x14ac:dyDescent="0.25">
      <c r="A28" t="str">
        <f>'Input Screen'!A33</f>
        <v>Texas</v>
      </c>
      <c r="B28" t="str">
        <f>'Input Screen'!B33</f>
        <v>Guadalupe</v>
      </c>
      <c r="C28" t="str">
        <f>'Topsis LP Auto'!A36</f>
        <v>GUMO</v>
      </c>
      <c r="D28">
        <f>'Topsis LP Auto'!B36</f>
        <v>930266</v>
      </c>
      <c r="E28">
        <f>'Topsis LP Auto'!C36</f>
        <v>0</v>
      </c>
      <c r="F28">
        <f>'Topsis LP Auto'!D36</f>
        <v>930266</v>
      </c>
      <c r="G28" s="114">
        <f>'Topsis LP Auto'!E36</f>
        <v>1</v>
      </c>
      <c r="H28" s="114">
        <f>'Topsis LP Auto'!F36</f>
        <v>0.14509995620170174</v>
      </c>
      <c r="I28" t="e">
        <f>'Topsis LP Auto'!G36</f>
        <v>#DIV/0!</v>
      </c>
      <c r="J28" t="e">
        <f>'Topsis LP Auto'!H36</f>
        <v>#DIV/0!</v>
      </c>
      <c r="K28" s="116">
        <f>'Topsis LP Auto'!I36</f>
        <v>6411208.0000000009</v>
      </c>
      <c r="L28" s="116">
        <f>'Topsis LP Auto'!J36</f>
        <v>930266</v>
      </c>
      <c r="M28" t="e">
        <f>'Topsis LP Auto'!K36</f>
        <v>#DIV/0!</v>
      </c>
    </row>
    <row r="29" spans="1:13" x14ac:dyDescent="0.25">
      <c r="A29" t="str">
        <f>'Input Screen'!A34</f>
        <v>Hawaii</v>
      </c>
      <c r="B29" t="str">
        <f>'Input Screen'!B34</f>
        <v>Haleakala</v>
      </c>
      <c r="C29" t="str">
        <f>'Topsis LP Auto'!A37</f>
        <v>HALE</v>
      </c>
      <c r="D29">
        <f>'Topsis LP Auto'!B37</f>
        <v>6055857</v>
      </c>
      <c r="E29">
        <f>'Topsis LP Auto'!C37</f>
        <v>0</v>
      </c>
      <c r="F29">
        <f>'Topsis LP Auto'!D37</f>
        <v>6055857</v>
      </c>
      <c r="G29" s="114">
        <f>'Topsis LP Auto'!E37</f>
        <v>1</v>
      </c>
      <c r="H29" s="114">
        <f>'Topsis LP Auto'!F37</f>
        <v>0.28689999602992283</v>
      </c>
      <c r="I29" t="e">
        <f>'Topsis LP Auto'!G37</f>
        <v>#DIV/0!</v>
      </c>
      <c r="J29" t="e">
        <f>'Topsis LP Auto'!H37</f>
        <v>#DIV/0!</v>
      </c>
      <c r="K29" s="116">
        <f>'Topsis LP Auto'!I37</f>
        <v>21107902</v>
      </c>
      <c r="L29" s="116">
        <f>'Topsis LP Auto'!J37</f>
        <v>6055857</v>
      </c>
      <c r="M29" t="e">
        <f>'Topsis LP Auto'!K37</f>
        <v>#DIV/0!</v>
      </c>
    </row>
    <row r="30" spans="1:13" x14ac:dyDescent="0.25">
      <c r="A30" t="str">
        <f>'Input Screen'!A35</f>
        <v>Hawaii</v>
      </c>
      <c r="B30" t="str">
        <f>'Input Screen'!B35</f>
        <v>Hawai'i</v>
      </c>
      <c r="C30" t="str">
        <f>'Topsis LP Auto'!A38</f>
        <v>HAVO</v>
      </c>
      <c r="D30">
        <f>'Topsis LP Auto'!B38</f>
        <v>6646866</v>
      </c>
      <c r="E30">
        <f>'Topsis LP Auto'!C38</f>
        <v>0</v>
      </c>
      <c r="F30">
        <f>'Topsis LP Auto'!D38</f>
        <v>6646866</v>
      </c>
      <c r="G30" s="114">
        <f>'Topsis LP Auto'!E38</f>
        <v>1</v>
      </c>
      <c r="H30" s="114">
        <f>'Topsis LP Auto'!F38</f>
        <v>7.7699997243564203E-2</v>
      </c>
      <c r="I30" t="e">
        <f>'Topsis LP Auto'!G38</f>
        <v>#DIV/0!</v>
      </c>
      <c r="J30" t="e">
        <f>'Topsis LP Auto'!H38</f>
        <v>#DIV/0!</v>
      </c>
      <c r="K30" s="116">
        <f>'Topsis LP Auto'!I38</f>
        <v>85545254</v>
      </c>
      <c r="L30" s="116">
        <f>'Topsis LP Auto'!J38</f>
        <v>6646866</v>
      </c>
      <c r="M30" t="e">
        <f>'Topsis LP Auto'!K38</f>
        <v>#DIV/0!</v>
      </c>
    </row>
    <row r="31" spans="1:13" x14ac:dyDescent="0.25">
      <c r="A31" t="str">
        <f>'Input Screen'!A36</f>
        <v>Arkansas</v>
      </c>
      <c r="B31" t="str">
        <f>'Input Screen'!B36</f>
        <v>Hot Springs</v>
      </c>
      <c r="C31" t="str">
        <f>'Topsis LP Auto'!A39</f>
        <v>HOSP</v>
      </c>
      <c r="D31">
        <f>'Topsis LP Auto'!B39</f>
        <v>3875013</v>
      </c>
      <c r="E31">
        <f>'Topsis LP Auto'!C39</f>
        <v>0</v>
      </c>
      <c r="F31">
        <f>'Topsis LP Auto'!D39</f>
        <v>3875013</v>
      </c>
      <c r="G31" s="114">
        <f>'Topsis LP Auto'!E39</f>
        <v>1</v>
      </c>
      <c r="H31" s="114">
        <f>'Topsis LP Auto'!F39</f>
        <v>0.31349992488162481</v>
      </c>
      <c r="I31" t="e">
        <f>'Topsis LP Auto'!G39</f>
        <v>#DIV/0!</v>
      </c>
      <c r="J31" t="e">
        <f>'Topsis LP Auto'!H39</f>
        <v>#DIV/0!</v>
      </c>
      <c r="K31" s="116">
        <f>'Topsis LP Auto'!I39</f>
        <v>12360491.000000002</v>
      </c>
      <c r="L31" s="116">
        <f>'Topsis LP Auto'!J39</f>
        <v>3875013</v>
      </c>
      <c r="M31" t="e">
        <f>'Topsis LP Auto'!K39</f>
        <v>#DIV/0!</v>
      </c>
    </row>
    <row r="32" spans="1:13" x14ac:dyDescent="0.25">
      <c r="A32" t="str">
        <f>'Input Screen'!A37</f>
        <v>Michigan</v>
      </c>
      <c r="B32" t="str">
        <f>'Input Screen'!B37</f>
        <v>Isle Royale</v>
      </c>
      <c r="C32" t="str">
        <f>'Topsis LP Auto'!A40</f>
        <v>ISRO</v>
      </c>
      <c r="D32">
        <f>'Topsis LP Auto'!B40</f>
        <v>8436895</v>
      </c>
      <c r="E32">
        <f>'Topsis LP Auto'!C40</f>
        <v>0</v>
      </c>
      <c r="F32">
        <f>'Topsis LP Auto'!D40</f>
        <v>8436895</v>
      </c>
      <c r="G32" s="114">
        <f>'Topsis LP Auto'!E40</f>
        <v>1</v>
      </c>
      <c r="H32" s="114">
        <f>'Topsis LP Auto'!F40</f>
        <v>0.4772999928604944</v>
      </c>
      <c r="I32" t="e">
        <f>'Topsis LP Auto'!G40</f>
        <v>#DIV/0!</v>
      </c>
      <c r="J32" t="e">
        <f>'Topsis LP Auto'!H40</f>
        <v>#DIV/0!</v>
      </c>
      <c r="K32" s="116">
        <f>'Topsis LP Auto'!I40</f>
        <v>17676294</v>
      </c>
      <c r="L32" s="116">
        <f>'Topsis LP Auto'!J40</f>
        <v>8436895</v>
      </c>
      <c r="M32" t="e">
        <f>'Topsis LP Auto'!K40</f>
        <v>#DIV/0!</v>
      </c>
    </row>
    <row r="33" spans="1:13" x14ac:dyDescent="0.25">
      <c r="A33" t="str">
        <f>'Input Screen'!A38</f>
        <v>Missouri</v>
      </c>
      <c r="B33" t="str">
        <f>'Input Screen'!B38</f>
        <v>Gateway Arch</v>
      </c>
      <c r="C33" t="str">
        <f>'Topsis LP Auto'!A41</f>
        <v>JEFF</v>
      </c>
      <c r="D33">
        <f>'Topsis LP Auto'!B41</f>
        <v>8805718</v>
      </c>
      <c r="E33">
        <f>'Topsis LP Auto'!C41</f>
        <v>0</v>
      </c>
      <c r="F33">
        <f>'Topsis LP Auto'!D41</f>
        <v>8805718</v>
      </c>
      <c r="G33" s="114">
        <f>'Topsis LP Auto'!E41</f>
        <v>1</v>
      </c>
      <c r="H33" s="114">
        <f>'Topsis LP Auto'!F41</f>
        <v>0.3601999595119989</v>
      </c>
      <c r="I33" t="e">
        <f>'Topsis LP Auto'!G41</f>
        <v>#DIV/0!</v>
      </c>
      <c r="J33" t="e">
        <f>'Topsis LP Auto'!H41</f>
        <v>#DIV/0!</v>
      </c>
      <c r="K33" s="116">
        <f>'Topsis LP Auto'!I41</f>
        <v>24446749</v>
      </c>
      <c r="L33" s="116">
        <f>'Topsis LP Auto'!J41</f>
        <v>8805718</v>
      </c>
      <c r="M33" t="e">
        <f>'Topsis LP Auto'!K41</f>
        <v>#DIV/0!</v>
      </c>
    </row>
    <row r="34" spans="1:13" x14ac:dyDescent="0.25">
      <c r="A34" t="str">
        <f>'Input Screen'!A39</f>
        <v>California</v>
      </c>
      <c r="B34" t="str">
        <f>'Input Screen'!B39</f>
        <v>Joshua Tree</v>
      </c>
      <c r="C34" t="str">
        <f>'Topsis LP Auto'!A42</f>
        <v>JOTR</v>
      </c>
      <c r="D34">
        <f>'Topsis LP Auto'!B42</f>
        <v>4848082</v>
      </c>
      <c r="E34">
        <f>'Topsis LP Auto'!C42</f>
        <v>0</v>
      </c>
      <c r="F34">
        <f>'Topsis LP Auto'!D42</f>
        <v>4848082</v>
      </c>
      <c r="G34" s="114">
        <f>'Topsis LP Auto'!E42</f>
        <v>1</v>
      </c>
      <c r="H34" s="114">
        <f>'Topsis LP Auto'!F42</f>
        <v>0.10359999845286448</v>
      </c>
      <c r="I34" t="e">
        <f>'Topsis LP Auto'!G42</f>
        <v>#DIV/0!</v>
      </c>
      <c r="J34" t="e">
        <f>'Topsis LP Auto'!H42</f>
        <v>#DIV/0!</v>
      </c>
      <c r="K34" s="116">
        <f>'Topsis LP Auto'!I42</f>
        <v>46796159</v>
      </c>
      <c r="L34" s="116">
        <f>'Topsis LP Auto'!J42</f>
        <v>4848082</v>
      </c>
      <c r="M34" t="e">
        <f>'Topsis LP Auto'!K42</f>
        <v>#DIV/0!</v>
      </c>
    </row>
    <row r="35" spans="1:13" x14ac:dyDescent="0.25">
      <c r="A35" t="str">
        <f>'Input Screen'!A40</f>
        <v>Alaska</v>
      </c>
      <c r="B35" t="str">
        <f>'Input Screen'!B40</f>
        <v>Katmai</v>
      </c>
      <c r="C35" t="str">
        <f>'Topsis LP Auto'!A43</f>
        <v>KATM</v>
      </c>
      <c r="D35">
        <f>'Topsis LP Auto'!B43</f>
        <v>2693908</v>
      </c>
      <c r="E35">
        <f>'Topsis LP Auto'!C43</f>
        <v>0</v>
      </c>
      <c r="F35">
        <f>'Topsis LP Auto'!D43</f>
        <v>2693908</v>
      </c>
      <c r="G35" s="114">
        <f>'Topsis LP Auto'!E43</f>
        <v>1</v>
      </c>
      <c r="H35" s="114">
        <f>'Topsis LP Auto'!F43</f>
        <v>0.29479996253045493</v>
      </c>
      <c r="I35" t="e">
        <f>'Topsis LP Auto'!G43</f>
        <v>#DIV/0!</v>
      </c>
      <c r="J35" t="e">
        <f>'Topsis LP Auto'!H43</f>
        <v>#DIV/0!</v>
      </c>
      <c r="K35" s="116">
        <f>'Topsis LP Auto'!I43</f>
        <v>9138088</v>
      </c>
      <c r="L35" s="116">
        <f>'Topsis LP Auto'!J43</f>
        <v>2693908</v>
      </c>
      <c r="M35" t="e">
        <f>'Topsis LP Auto'!K43</f>
        <v>#DIV/0!</v>
      </c>
    </row>
    <row r="36" spans="1:13" x14ac:dyDescent="0.25">
      <c r="A36" t="str">
        <f>'Input Screen'!A41</f>
        <v>Alaska</v>
      </c>
      <c r="B36" t="str">
        <f>'Input Screen'!B41</f>
        <v>Kenai Fjords</v>
      </c>
      <c r="C36" t="str">
        <f>'Topsis LP Auto'!A44</f>
        <v>KEFJ</v>
      </c>
      <c r="D36">
        <f>'Topsis LP Auto'!B44</f>
        <v>395788</v>
      </c>
      <c r="E36">
        <f>'Topsis LP Auto'!C44</f>
        <v>1360929</v>
      </c>
      <c r="F36">
        <f>'Topsis LP Auto'!D44</f>
        <v>1756717</v>
      </c>
      <c r="G36" s="114">
        <f>'Topsis LP Auto'!E44</f>
        <v>1</v>
      </c>
      <c r="H36" s="114">
        <f>'Topsis LP Auto'!F44</f>
        <v>1</v>
      </c>
      <c r="I36" t="e">
        <f>'Topsis LP Auto'!G44</f>
        <v>#DIV/0!</v>
      </c>
      <c r="J36" t="e">
        <f>'Topsis LP Auto'!H44</f>
        <v>#DIV/0!</v>
      </c>
      <c r="K36" s="116">
        <f>'Topsis LP Auto'!I44</f>
        <v>1756717</v>
      </c>
      <c r="L36" s="116">
        <f>'Topsis LP Auto'!J44</f>
        <v>395788</v>
      </c>
      <c r="M36" t="e">
        <f>'Topsis LP Auto'!K44</f>
        <v>#DIV/0!</v>
      </c>
    </row>
    <row r="37" spans="1:13" x14ac:dyDescent="0.25">
      <c r="A37" t="str">
        <f>'Input Screen'!A42</f>
        <v>California</v>
      </c>
      <c r="B37" t="str">
        <f>'Input Screen'!B42</f>
        <v>Kings Canyon</v>
      </c>
      <c r="C37" t="str">
        <f>'Topsis LP Auto'!A45</f>
        <v>KICA</v>
      </c>
      <c r="D37">
        <f>'Topsis LP Auto'!B45</f>
        <v>20198975</v>
      </c>
      <c r="E37">
        <f>'Topsis LP Auto'!C45</f>
        <v>0</v>
      </c>
      <c r="F37">
        <f>'Topsis LP Auto'!D45</f>
        <v>20198975</v>
      </c>
      <c r="G37" s="114">
        <f>'Topsis LP Auto'!E45</f>
        <v>1</v>
      </c>
      <c r="H37" s="114">
        <f>'Topsis LP Auto'!F45</f>
        <v>0.22879999842323881</v>
      </c>
      <c r="I37" t="e">
        <f>'Topsis LP Auto'!G45</f>
        <v>#DIV/0!</v>
      </c>
      <c r="J37" t="e">
        <f>'Topsis LP Auto'!H45</f>
        <v>#DIV/0!</v>
      </c>
      <c r="K37" s="116">
        <f>'Topsis LP Auto'!I45</f>
        <v>88282234</v>
      </c>
      <c r="L37" s="116">
        <f>'Topsis LP Auto'!J45</f>
        <v>20198975</v>
      </c>
      <c r="M37" t="e">
        <f>'Topsis LP Auto'!K45</f>
        <v>#DIV/0!</v>
      </c>
    </row>
    <row r="38" spans="1:13" x14ac:dyDescent="0.25">
      <c r="A38" t="str">
        <f>'Input Screen'!A43</f>
        <v>Alaska</v>
      </c>
      <c r="B38" t="str">
        <f>'Input Screen'!B43</f>
        <v>Kobuk Valley</v>
      </c>
      <c r="C38" t="str">
        <f>'Topsis LP Auto'!A46</f>
        <v>KOVA</v>
      </c>
      <c r="D38">
        <f>'Topsis LP Auto'!B46</f>
        <v>364681</v>
      </c>
      <c r="E38">
        <f>'Topsis LP Auto'!C46</f>
        <v>2121219</v>
      </c>
      <c r="F38">
        <f>'Topsis LP Auto'!D46</f>
        <v>2485900</v>
      </c>
      <c r="G38" s="114">
        <f>'Topsis LP Auto'!E46</f>
        <v>1</v>
      </c>
      <c r="H38" s="114">
        <f>'Topsis LP Auto'!F46</f>
        <v>1</v>
      </c>
      <c r="I38" t="e">
        <f>'Topsis LP Auto'!G46</f>
        <v>#DIV/0!</v>
      </c>
      <c r="J38" t="e">
        <f>'Topsis LP Auto'!H46</f>
        <v>#DIV/0!</v>
      </c>
      <c r="K38" s="116">
        <f>'Topsis LP Auto'!I46</f>
        <v>2485900</v>
      </c>
      <c r="L38" s="116">
        <f>'Topsis LP Auto'!J46</f>
        <v>364681</v>
      </c>
      <c r="M38" t="e">
        <f>'Topsis LP Auto'!K46</f>
        <v>#DIV/0!</v>
      </c>
    </row>
    <row r="39" spans="1:13" x14ac:dyDescent="0.25">
      <c r="A39" t="str">
        <f>'Input Screen'!A44</f>
        <v>Alaska</v>
      </c>
      <c r="B39" t="str">
        <f>'Input Screen'!B44</f>
        <v>Lake Clark</v>
      </c>
      <c r="C39" t="str">
        <f>'Topsis LP Auto'!A47</f>
        <v>LACL</v>
      </c>
      <c r="D39">
        <f>'Topsis LP Auto'!B47</f>
        <v>339533</v>
      </c>
      <c r="E39">
        <f>'Topsis LP Auto'!C47</f>
        <v>1105290</v>
      </c>
      <c r="F39">
        <f>'Topsis LP Auto'!D47</f>
        <v>1444823</v>
      </c>
      <c r="G39" s="114">
        <f>'Topsis LP Auto'!E47</f>
        <v>1</v>
      </c>
      <c r="H39" s="114">
        <f>'Topsis LP Auto'!F47</f>
        <v>1</v>
      </c>
      <c r="I39" t="e">
        <f>'Topsis LP Auto'!G47</f>
        <v>#DIV/0!</v>
      </c>
      <c r="J39" t="e">
        <f>'Topsis LP Auto'!H47</f>
        <v>#DIV/0!</v>
      </c>
      <c r="K39" s="116">
        <f>'Topsis LP Auto'!I47</f>
        <v>1444823</v>
      </c>
      <c r="L39" s="116">
        <f>'Topsis LP Auto'!J47</f>
        <v>339533</v>
      </c>
      <c r="M39" t="e">
        <f>'Topsis LP Auto'!K47</f>
        <v>#DIV/0!</v>
      </c>
    </row>
    <row r="40" spans="1:13" x14ac:dyDescent="0.25">
      <c r="A40" t="str">
        <f>'Input Screen'!A45</f>
        <v>California</v>
      </c>
      <c r="B40" t="str">
        <f>'Input Screen'!B45</f>
        <v>Lassen Volcanic</v>
      </c>
      <c r="C40" t="str">
        <f>'Topsis LP Auto'!A48</f>
        <v>LAVO</v>
      </c>
      <c r="D40">
        <f>'Topsis LP Auto'!B48</f>
        <v>6824420</v>
      </c>
      <c r="E40">
        <f>'Topsis LP Auto'!C48</f>
        <v>0</v>
      </c>
      <c r="F40">
        <f>'Topsis LP Auto'!D48</f>
        <v>6824420</v>
      </c>
      <c r="G40" s="114">
        <f>'Topsis LP Auto'!E48</f>
        <v>1</v>
      </c>
      <c r="H40" s="114">
        <f>'Topsis LP Auto'!F48</f>
        <v>0.30399999999999999</v>
      </c>
      <c r="I40" t="e">
        <f>'Topsis LP Auto'!G48</f>
        <v>#DIV/0!</v>
      </c>
      <c r="J40" t="e">
        <f>'Topsis LP Auto'!H48</f>
        <v>#DIV/0!</v>
      </c>
      <c r="K40" s="116">
        <f>'Topsis LP Auto'!I48</f>
        <v>22448750</v>
      </c>
      <c r="L40" s="116">
        <f>'Topsis LP Auto'!J48</f>
        <v>6824420</v>
      </c>
      <c r="M40" t="e">
        <f>'Topsis LP Auto'!K48</f>
        <v>#DIV/0!</v>
      </c>
    </row>
    <row r="41" spans="1:13" x14ac:dyDescent="0.25">
      <c r="A41" t="str">
        <f>'Input Screen'!A46</f>
        <v>Kentucky</v>
      </c>
      <c r="B41" t="str">
        <f>'Input Screen'!B46</f>
        <v>Mammoth Cave</v>
      </c>
      <c r="C41" t="str">
        <f>'Topsis LP Auto'!A49</f>
        <v>MACA</v>
      </c>
      <c r="D41">
        <f>'Topsis LP Auto'!B49</f>
        <v>9443241</v>
      </c>
      <c r="E41">
        <f>'Topsis LP Auto'!C49</f>
        <v>0</v>
      </c>
      <c r="F41">
        <f>'Topsis LP Auto'!D49</f>
        <v>9443241</v>
      </c>
      <c r="G41" s="114">
        <f>'Topsis LP Auto'!E49</f>
        <v>1</v>
      </c>
      <c r="H41" s="114">
        <f>'Topsis LP Auto'!F49</f>
        <v>0.12099999697603828</v>
      </c>
      <c r="I41" t="e">
        <f>'Topsis LP Auto'!G49</f>
        <v>#DIV/0!</v>
      </c>
      <c r="J41" t="e">
        <f>'Topsis LP Auto'!H49</f>
        <v>#DIV/0!</v>
      </c>
      <c r="K41" s="116">
        <f>'Topsis LP Auto'!I49</f>
        <v>78043316</v>
      </c>
      <c r="L41" s="116">
        <f>'Topsis LP Auto'!J49</f>
        <v>9443241</v>
      </c>
      <c r="M41" t="e">
        <f>'Topsis LP Auto'!K49</f>
        <v>#DIV/0!</v>
      </c>
    </row>
    <row r="42" spans="1:13" x14ac:dyDescent="0.25">
      <c r="A42" t="str">
        <f>'Input Screen'!A47</f>
        <v>Colorado</v>
      </c>
      <c r="B42" t="str">
        <f>'Input Screen'!B47</f>
        <v>Mesa Verde</v>
      </c>
      <c r="C42" t="str">
        <f>'Topsis LP Auto'!A50</f>
        <v>MEVE</v>
      </c>
      <c r="D42">
        <f>'Topsis LP Auto'!B50</f>
        <v>0</v>
      </c>
      <c r="E42">
        <f>'Topsis LP Auto'!C50</f>
        <v>0</v>
      </c>
      <c r="F42">
        <f>'Topsis LP Auto'!D50</f>
        <v>0</v>
      </c>
      <c r="G42" s="114">
        <f>'Topsis LP Auto'!E50</f>
        <v>0</v>
      </c>
      <c r="H42" s="114">
        <f>'Topsis LP Auto'!F50</f>
        <v>0</v>
      </c>
      <c r="I42" t="e">
        <f>'Topsis LP Auto'!G50</f>
        <v>#DIV/0!</v>
      </c>
      <c r="J42" t="e">
        <f>'Topsis LP Auto'!H50</f>
        <v>#DIV/0!</v>
      </c>
      <c r="K42" s="116">
        <f>'Topsis LP Auto'!I50</f>
        <v>70749005</v>
      </c>
      <c r="L42" s="116">
        <f>'Topsis LP Auto'!J50</f>
        <v>15564781</v>
      </c>
      <c r="M42" t="e">
        <f>'Topsis LP Auto'!K50</f>
        <v>#DIV/0!</v>
      </c>
    </row>
    <row r="43" spans="1:13" x14ac:dyDescent="0.25">
      <c r="A43" t="str">
        <f>'Input Screen'!A48</f>
        <v>Washington</v>
      </c>
      <c r="B43" t="str">
        <f>'Input Screen'!B48</f>
        <v>Mount Rainier</v>
      </c>
      <c r="C43" t="str">
        <f>'Topsis LP Auto'!A51</f>
        <v>MORA</v>
      </c>
      <c r="D43">
        <f>'Topsis LP Auto'!B51</f>
        <v>14874369</v>
      </c>
      <c r="E43">
        <f>'Topsis LP Auto'!C51</f>
        <v>0</v>
      </c>
      <c r="F43">
        <f>'Topsis LP Auto'!D51</f>
        <v>14874369</v>
      </c>
      <c r="G43" s="114">
        <f>'Topsis LP Auto'!E51</f>
        <v>1</v>
      </c>
      <c r="H43" s="114">
        <f>'Topsis LP Auto'!F51</f>
        <v>8.4599994966442243E-2</v>
      </c>
      <c r="I43" t="e">
        <f>'Topsis LP Auto'!G51</f>
        <v>#DIV/0!</v>
      </c>
      <c r="J43" t="e">
        <f>'Topsis LP Auto'!H51</f>
        <v>#DIV/0!</v>
      </c>
      <c r="K43" s="116">
        <f>'Topsis LP Auto'!I51</f>
        <v>175819975</v>
      </c>
      <c r="L43" s="116">
        <f>'Topsis LP Auto'!J51</f>
        <v>14874369</v>
      </c>
      <c r="M43" t="e">
        <f>'Topsis LP Auto'!K51</f>
        <v>#DIV/0!</v>
      </c>
    </row>
    <row r="44" spans="1:13" x14ac:dyDescent="0.25">
      <c r="A44" t="str">
        <f>'Input Screen'!A49</f>
        <v>Washington</v>
      </c>
      <c r="B44" t="str">
        <f>'Input Screen'!B49</f>
        <v>North Cascades</v>
      </c>
      <c r="C44" t="str">
        <f>'Topsis LP Auto'!A52</f>
        <v>NOCA</v>
      </c>
      <c r="D44">
        <f>'Topsis LP Auto'!B52</f>
        <v>7063831</v>
      </c>
      <c r="E44">
        <f>'Topsis LP Auto'!C52</f>
        <v>0</v>
      </c>
      <c r="F44">
        <f>'Topsis LP Auto'!D52</f>
        <v>7063831</v>
      </c>
      <c r="G44" s="114">
        <f>'Topsis LP Auto'!E52</f>
        <v>1</v>
      </c>
      <c r="H44" s="114">
        <f>'Topsis LP Auto'!F52</f>
        <v>0.37519999371110674</v>
      </c>
      <c r="I44" t="e">
        <f>'Topsis LP Auto'!G52</f>
        <v>#DIV/0!</v>
      </c>
      <c r="J44" t="e">
        <f>'Topsis LP Auto'!H52</f>
        <v>#DIV/0!</v>
      </c>
      <c r="K44" s="116">
        <f>'Topsis LP Auto'!I52</f>
        <v>18826842</v>
      </c>
      <c r="L44" s="116">
        <f>'Topsis LP Auto'!J52</f>
        <v>7063831</v>
      </c>
      <c r="M44" t="e">
        <f>'Topsis LP Auto'!K52</f>
        <v>#DIV/0!</v>
      </c>
    </row>
    <row r="45" spans="1:13" x14ac:dyDescent="0.25">
      <c r="A45" t="str">
        <f>'Input Screen'!A50</f>
        <v>Samoa</v>
      </c>
      <c r="B45" t="str">
        <f>'Input Screen'!B50</f>
        <v>American Samoa</v>
      </c>
      <c r="C45" t="str">
        <f>'Topsis LP Auto'!A53</f>
        <v>NPSA</v>
      </c>
      <c r="D45">
        <f>'Topsis LP Auto'!B53</f>
        <v>279614</v>
      </c>
      <c r="E45">
        <f>'Topsis LP Auto'!C53</f>
        <v>677314</v>
      </c>
      <c r="F45">
        <f>'Topsis LP Auto'!D53</f>
        <v>956928</v>
      </c>
      <c r="G45" s="114">
        <f>'Topsis LP Auto'!E53</f>
        <v>1</v>
      </c>
      <c r="H45" s="114">
        <f>'Topsis LP Auto'!F53</f>
        <v>1</v>
      </c>
      <c r="I45" t="e">
        <f>'Topsis LP Auto'!G53</f>
        <v>#DIV/0!</v>
      </c>
      <c r="J45" t="e">
        <f>'Topsis LP Auto'!H53</f>
        <v>#DIV/0!</v>
      </c>
      <c r="K45" s="116">
        <f>'Topsis LP Auto'!I53</f>
        <v>956928</v>
      </c>
      <c r="L45" s="116">
        <f>'Topsis LP Auto'!J53</f>
        <v>279614</v>
      </c>
      <c r="M45" t="e">
        <f>'Topsis LP Auto'!K53</f>
        <v>#DIV/0!</v>
      </c>
    </row>
    <row r="46" spans="1:13" x14ac:dyDescent="0.25">
      <c r="A46" t="str">
        <f>'Input Screen'!A51</f>
        <v>Washington</v>
      </c>
      <c r="B46" t="str">
        <f>'Input Screen'!B51</f>
        <v>Olympic</v>
      </c>
      <c r="C46" t="str">
        <f>'Topsis LP Auto'!A54</f>
        <v>OLYM</v>
      </c>
      <c r="D46">
        <f>'Topsis LP Auto'!B54</f>
        <v>0</v>
      </c>
      <c r="E46">
        <f>'Topsis LP Auto'!C54</f>
        <v>0</v>
      </c>
      <c r="F46">
        <f>'Topsis LP Auto'!D54</f>
        <v>0</v>
      </c>
      <c r="G46" s="114">
        <f>'Topsis LP Auto'!E54</f>
        <v>0</v>
      </c>
      <c r="H46" s="114">
        <f>'Topsis LP Auto'!F54</f>
        <v>0</v>
      </c>
      <c r="I46" t="e">
        <f>'Topsis LP Auto'!G54</f>
        <v>#DIV/0!</v>
      </c>
      <c r="J46" t="e">
        <f>'Topsis LP Auto'!H54</f>
        <v>#DIV/0!</v>
      </c>
      <c r="K46" s="116">
        <f>'Topsis LP Auto'!I54</f>
        <v>120719515</v>
      </c>
      <c r="L46" s="116">
        <f>'Topsis LP Auto'!J54</f>
        <v>19206474</v>
      </c>
      <c r="M46" t="e">
        <f>'Topsis LP Auto'!K54</f>
        <v>#DIV/0!</v>
      </c>
    </row>
    <row r="47" spans="1:13" x14ac:dyDescent="0.25">
      <c r="A47" t="str">
        <f>'Input Screen'!A52</f>
        <v>Arizona</v>
      </c>
      <c r="B47" t="str">
        <f>'Input Screen'!B52</f>
        <v>Petrified Forest</v>
      </c>
      <c r="C47" t="str">
        <f>'Topsis LP Auto'!A55</f>
        <v>PEFO</v>
      </c>
      <c r="D47">
        <f>'Topsis LP Auto'!B55</f>
        <v>9115039</v>
      </c>
      <c r="E47">
        <f>'Topsis LP Auto'!C55</f>
        <v>0</v>
      </c>
      <c r="F47">
        <f>'Topsis LP Auto'!D55</f>
        <v>9115039</v>
      </c>
      <c r="G47" s="114">
        <f>'Topsis LP Auto'!E55</f>
        <v>1</v>
      </c>
      <c r="H47" s="114">
        <f>'Topsis LP Auto'!F55</f>
        <v>0.20719999512633144</v>
      </c>
      <c r="I47" t="e">
        <f>'Topsis LP Auto'!G55</f>
        <v>#DIV/0!</v>
      </c>
      <c r="J47" t="e">
        <f>'Topsis LP Auto'!H55</f>
        <v>#DIV/0!</v>
      </c>
      <c r="K47" s="116">
        <f>'Topsis LP Auto'!I55</f>
        <v>43991502</v>
      </c>
      <c r="L47" s="116">
        <f>'Topsis LP Auto'!J55</f>
        <v>9115039</v>
      </c>
      <c r="M47" t="e">
        <f>'Topsis LP Auto'!K55</f>
        <v>#DIV/0!</v>
      </c>
    </row>
    <row r="48" spans="1:13" x14ac:dyDescent="0.25">
      <c r="A48" t="str">
        <f>'Input Screen'!A53</f>
        <v>California</v>
      </c>
      <c r="B48" t="str">
        <f>'Input Screen'!B53</f>
        <v>Pinnacles</v>
      </c>
      <c r="C48" t="str">
        <f>'Topsis LP Auto'!A56</f>
        <v>PINN</v>
      </c>
      <c r="D48">
        <f>'Topsis LP Auto'!B56</f>
        <v>2965185</v>
      </c>
      <c r="E48">
        <f>'Topsis LP Auto'!C56</f>
        <v>0</v>
      </c>
      <c r="F48">
        <f>'Topsis LP Auto'!D56</f>
        <v>2965185</v>
      </c>
      <c r="G48" s="114">
        <f>'Topsis LP Auto'!E56</f>
        <v>1</v>
      </c>
      <c r="H48" s="114">
        <f>'Topsis LP Auto'!F56</f>
        <v>0.31439989999207951</v>
      </c>
      <c r="I48" t="e">
        <f>'Topsis LP Auto'!G56</f>
        <v>#DIV/0!</v>
      </c>
      <c r="J48" t="e">
        <f>'Topsis LP Auto'!H56</f>
        <v>#DIV/0!</v>
      </c>
      <c r="K48" s="116">
        <f>'Topsis LP Auto'!I56</f>
        <v>9431253</v>
      </c>
      <c r="L48" s="116">
        <f>'Topsis LP Auto'!J56</f>
        <v>2965185</v>
      </c>
      <c r="M48" t="e">
        <f>'Topsis LP Auto'!K56</f>
        <v>#DIV/0!</v>
      </c>
    </row>
    <row r="49" spans="1:13" x14ac:dyDescent="0.25">
      <c r="A49" t="str">
        <f>'Input Screen'!A54</f>
        <v>California</v>
      </c>
      <c r="B49" t="str">
        <f>'Input Screen'!B54</f>
        <v>Redwood</v>
      </c>
      <c r="C49" t="str">
        <f>'Topsis LP Auto'!A57</f>
        <v>REDW</v>
      </c>
      <c r="D49">
        <f>'Topsis LP Auto'!B57</f>
        <v>8816865</v>
      </c>
      <c r="E49">
        <f>'Topsis LP Auto'!C57</f>
        <v>0</v>
      </c>
      <c r="F49">
        <f>'Topsis LP Auto'!D57</f>
        <v>8816865</v>
      </c>
      <c r="G49" s="114">
        <f>'Topsis LP Auto'!E57</f>
        <v>1</v>
      </c>
      <c r="H49" s="114">
        <f>'Topsis LP Auto'!F57</f>
        <v>0.40139998183497277</v>
      </c>
      <c r="I49" t="e">
        <f>'Topsis LP Auto'!G57</f>
        <v>#DIV/0!</v>
      </c>
      <c r="J49" t="e">
        <f>'Topsis LP Auto'!H57</f>
        <v>#DIV/0!</v>
      </c>
      <c r="K49" s="116">
        <f>'Topsis LP Auto'!I57</f>
        <v>21965285</v>
      </c>
      <c r="L49" s="116">
        <f>'Topsis LP Auto'!J57</f>
        <v>8816865</v>
      </c>
      <c r="M49" t="e">
        <f>'Topsis LP Auto'!K57</f>
        <v>#DIV/0!</v>
      </c>
    </row>
    <row r="50" spans="1:13" x14ac:dyDescent="0.25">
      <c r="A50" t="str">
        <f>'Input Screen'!A55</f>
        <v>Colorado</v>
      </c>
      <c r="B50" t="str">
        <f>'Input Screen'!B55</f>
        <v>Rocky Mountain</v>
      </c>
      <c r="C50" t="str">
        <f>'Topsis LP Auto'!A58</f>
        <v>ROMO</v>
      </c>
      <c r="D50">
        <f>'Topsis LP Auto'!B58</f>
        <v>29093054</v>
      </c>
      <c r="E50">
        <f>'Topsis LP Auto'!C58</f>
        <v>0</v>
      </c>
      <c r="F50">
        <f>'Topsis LP Auto'!D58</f>
        <v>29093054</v>
      </c>
      <c r="G50" s="114">
        <f>'Topsis LP Auto'!E58</f>
        <v>0.92126631339437604</v>
      </c>
      <c r="H50" s="114">
        <f>'Topsis LP Auto'!F58</f>
        <v>0.34538273596445246</v>
      </c>
      <c r="I50" t="e">
        <f>'Topsis LP Auto'!G58</f>
        <v>#DIV/0!</v>
      </c>
      <c r="J50" t="e">
        <f>'Topsis LP Auto'!H58</f>
        <v>#DIV/0!</v>
      </c>
      <c r="K50" s="116">
        <f>'Topsis LP Auto'!I58</f>
        <v>84234245</v>
      </c>
      <c r="L50" s="116">
        <f>'Topsis LP Auto'!J58</f>
        <v>31579418</v>
      </c>
      <c r="M50" t="e">
        <f>'Topsis LP Auto'!K58</f>
        <v>#DIV/0!</v>
      </c>
    </row>
    <row r="51" spans="1:13" x14ac:dyDescent="0.25">
      <c r="A51" t="str">
        <f>'Input Screen'!A56</f>
        <v>Arizona</v>
      </c>
      <c r="B51" t="str">
        <f>'Input Screen'!B56</f>
        <v>Saguaro</v>
      </c>
      <c r="C51" t="str">
        <f>'Topsis LP Auto'!A59</f>
        <v>SAGU</v>
      </c>
      <c r="D51">
        <f>'Topsis LP Auto'!B59</f>
        <v>2526446</v>
      </c>
      <c r="E51">
        <f>'Topsis LP Auto'!C59</f>
        <v>0</v>
      </c>
      <c r="F51">
        <f>'Topsis LP Auto'!D59</f>
        <v>2526446</v>
      </c>
      <c r="G51" s="114">
        <f>'Topsis LP Auto'!E59</f>
        <v>1</v>
      </c>
      <c r="H51" s="114">
        <f>'Topsis LP Auto'!F59</f>
        <v>0.12649995653896332</v>
      </c>
      <c r="I51" t="e">
        <f>'Topsis LP Auto'!G59</f>
        <v>#DIV/0!</v>
      </c>
      <c r="J51" t="e">
        <f>'Topsis LP Auto'!H59</f>
        <v>#DIV/0!</v>
      </c>
      <c r="K51" s="116">
        <f>'Topsis LP Auto'!I59</f>
        <v>19971912</v>
      </c>
      <c r="L51" s="116">
        <f>'Topsis LP Auto'!J59</f>
        <v>2526446</v>
      </c>
      <c r="M51" t="e">
        <f>'Topsis LP Auto'!K59</f>
        <v>#DIV/0!</v>
      </c>
    </row>
    <row r="52" spans="1:13" x14ac:dyDescent="0.25">
      <c r="A52" t="str">
        <f>'Input Screen'!A57</f>
        <v>California</v>
      </c>
      <c r="B52" t="str">
        <f>'Input Screen'!B57</f>
        <v>Sequoia</v>
      </c>
      <c r="C52" t="str">
        <f>'Topsis LP Auto'!A60</f>
        <v>SEQU</v>
      </c>
      <c r="D52">
        <f>'Topsis LP Auto'!B60</f>
        <v>0</v>
      </c>
      <c r="E52">
        <f>'Topsis LP Auto'!C60</f>
        <v>0</v>
      </c>
      <c r="F52">
        <f>'Topsis LP Auto'!D60</f>
        <v>0</v>
      </c>
      <c r="G52" s="114">
        <f>'Topsis LP Auto'!E60</f>
        <v>0</v>
      </c>
      <c r="H52" s="114">
        <f>'Topsis LP Auto'!F60</f>
        <v>0</v>
      </c>
      <c r="I52" t="e">
        <f>'Topsis LP Auto'!G60</f>
        <v>#DIV/0!</v>
      </c>
      <c r="J52" t="e">
        <f>'Topsis LP Auto'!H60</f>
        <v>#DIV/0!</v>
      </c>
      <c r="K52" s="116">
        <f>'Topsis LP Auto'!I60</f>
        <v>88282233.999999985</v>
      </c>
      <c r="L52" s="116">
        <f>'Topsis LP Auto'!J60</f>
        <v>20198975</v>
      </c>
      <c r="M52" t="e">
        <f>'Topsis LP Auto'!K60</f>
        <v>#DIV/0!</v>
      </c>
    </row>
    <row r="53" spans="1:13" x14ac:dyDescent="0.25">
      <c r="A53" t="str">
        <f>'Input Screen'!A58</f>
        <v>Virginia</v>
      </c>
      <c r="B53" t="str">
        <f>'Input Screen'!B58</f>
        <v>Shenandoah</v>
      </c>
      <c r="C53" t="str">
        <f>'Topsis LP Auto'!A61</f>
        <v>SHEN</v>
      </c>
      <c r="D53">
        <f>'Topsis LP Auto'!B61</f>
        <v>0</v>
      </c>
      <c r="E53">
        <f>'Topsis LP Auto'!C61</f>
        <v>0</v>
      </c>
      <c r="F53">
        <f>'Topsis LP Auto'!D61</f>
        <v>0</v>
      </c>
      <c r="G53" s="114">
        <f>'Topsis LP Auto'!E61</f>
        <v>0</v>
      </c>
      <c r="H53" s="114">
        <f>'Topsis LP Auto'!F61</f>
        <v>0</v>
      </c>
      <c r="I53" t="e">
        <f>'Topsis LP Auto'!G61</f>
        <v>#DIV/0!</v>
      </c>
      <c r="J53" t="e">
        <f>'Topsis LP Auto'!H61</f>
        <v>#DIV/0!</v>
      </c>
      <c r="K53" s="116">
        <f>'Topsis LP Auto'!I61</f>
        <v>79208621</v>
      </c>
      <c r="L53" s="116">
        <f>'Topsis LP Auto'!J61</f>
        <v>13386256</v>
      </c>
      <c r="M53" t="e">
        <f>'Topsis LP Auto'!K61</f>
        <v>#DIV/0!</v>
      </c>
    </row>
    <row r="54" spans="1:13" x14ac:dyDescent="0.25">
      <c r="A54" t="str">
        <f>'Input Screen'!A59</f>
        <v>North Dakota</v>
      </c>
      <c r="B54" t="str">
        <f>'Input Screen'!B59</f>
        <v>Theodore Roosevelt</v>
      </c>
      <c r="C54" t="str">
        <f>'Topsis LP Auto'!A62</f>
        <v>THRO</v>
      </c>
      <c r="D54">
        <f>'Topsis LP Auto'!B62</f>
        <v>4464760</v>
      </c>
      <c r="E54">
        <f>'Topsis LP Auto'!C62</f>
        <v>0</v>
      </c>
      <c r="F54">
        <f>'Topsis LP Auto'!D62</f>
        <v>4464760</v>
      </c>
      <c r="G54" s="114">
        <f>'Topsis LP Auto'!E62</f>
        <v>1</v>
      </c>
      <c r="H54" s="114">
        <f>'Topsis LP Auto'!F62</f>
        <v>9.0499990169125494E-2</v>
      </c>
      <c r="I54" t="e">
        <f>'Topsis LP Auto'!G62</f>
        <v>#DIV/0!</v>
      </c>
      <c r="J54" t="e">
        <f>'Topsis LP Auto'!H62</f>
        <v>#DIV/0!</v>
      </c>
      <c r="K54" s="116">
        <f>'Topsis LP Auto'!I62</f>
        <v>49334370</v>
      </c>
      <c r="L54" s="116">
        <f>'Topsis LP Auto'!J62</f>
        <v>4464760</v>
      </c>
      <c r="M54" t="e">
        <f>'Topsis LP Auto'!K62</f>
        <v>#DIV/0!</v>
      </c>
    </row>
    <row r="55" spans="1:13" x14ac:dyDescent="0.25">
      <c r="A55" t="str">
        <f>'Input Screen'!A60</f>
        <v>US. Virgin Islands</v>
      </c>
      <c r="B55" t="str">
        <f>'Input Screen'!B60</f>
        <v>Virgin Islands</v>
      </c>
      <c r="C55" t="str">
        <f>'Topsis LP Auto'!A63</f>
        <v>VIIS</v>
      </c>
      <c r="D55">
        <f>'Topsis LP Auto'!B63</f>
        <v>8568662</v>
      </c>
      <c r="E55">
        <f>'Topsis LP Auto'!C63</f>
        <v>0</v>
      </c>
      <c r="F55">
        <f>'Topsis LP Auto'!D63</f>
        <v>8568662</v>
      </c>
      <c r="G55" s="114">
        <f>'Topsis LP Auto'!E63</f>
        <v>1</v>
      </c>
      <c r="H55" s="114">
        <f>'Topsis LP Auto'!F63</f>
        <v>0.3226999827401989</v>
      </c>
      <c r="I55" t="e">
        <f>'Topsis LP Auto'!G63</f>
        <v>#DIV/0!</v>
      </c>
      <c r="J55" t="e">
        <f>'Topsis LP Auto'!H63</f>
        <v>#DIV/0!</v>
      </c>
      <c r="K55" s="116">
        <f>'Topsis LP Auto'!I63</f>
        <v>26553028.999999996</v>
      </c>
      <c r="L55" s="116">
        <f>'Topsis LP Auto'!J63</f>
        <v>8568662</v>
      </c>
      <c r="M55" t="e">
        <f>'Topsis LP Auto'!K63</f>
        <v>#DIV/0!</v>
      </c>
    </row>
    <row r="56" spans="1:13" x14ac:dyDescent="0.25">
      <c r="A56" t="str">
        <f>'Input Screen'!A61</f>
        <v>Minnesota</v>
      </c>
      <c r="B56" t="str">
        <f>'Input Screen'!B61</f>
        <v>Voyageurs</v>
      </c>
      <c r="C56" t="str">
        <f>'Topsis LP Auto'!A64</f>
        <v>VOYA</v>
      </c>
      <c r="D56">
        <f>'Topsis LP Auto'!B64</f>
        <v>3515054</v>
      </c>
      <c r="E56">
        <f>'Topsis LP Auto'!C64</f>
        <v>0</v>
      </c>
      <c r="F56">
        <f>'Topsis LP Auto'!D64</f>
        <v>3515054</v>
      </c>
      <c r="G56" s="114">
        <f>'Topsis LP Auto'!E64</f>
        <v>1</v>
      </c>
      <c r="H56" s="114">
        <f>'Topsis LP Auto'!F64</f>
        <v>0.2362999876036847</v>
      </c>
      <c r="I56" t="e">
        <f>'Topsis LP Auto'!G64</f>
        <v>#DIV/0!</v>
      </c>
      <c r="J56" t="e">
        <f>'Topsis LP Auto'!H64</f>
        <v>#DIV/0!</v>
      </c>
      <c r="K56" s="116">
        <f>'Topsis LP Auto'!I64</f>
        <v>14875388</v>
      </c>
      <c r="L56" s="116">
        <f>'Topsis LP Auto'!J64</f>
        <v>3515054</v>
      </c>
      <c r="M56" t="e">
        <f>'Topsis LP Auto'!K64</f>
        <v>#DIV/0!</v>
      </c>
    </row>
    <row r="57" spans="1:13" x14ac:dyDescent="0.25">
      <c r="A57" t="str">
        <f>'Input Screen'!A62</f>
        <v>South Dakota</v>
      </c>
      <c r="B57" t="str">
        <f>'Input Screen'!B62</f>
        <v>Wind Cave</v>
      </c>
      <c r="C57" t="str">
        <f>'Topsis LP Auto'!A65</f>
        <v>WICA</v>
      </c>
      <c r="D57">
        <f>'Topsis LP Auto'!B65</f>
        <v>1579116</v>
      </c>
      <c r="E57">
        <f>'Topsis LP Auto'!C65</f>
        <v>0</v>
      </c>
      <c r="F57">
        <f>'Topsis LP Auto'!D65</f>
        <v>1579116</v>
      </c>
      <c r="G57" s="114">
        <f>'Topsis LP Auto'!E65</f>
        <v>1</v>
      </c>
      <c r="H57" s="114">
        <f>'Topsis LP Auto'!F65</f>
        <v>7.7299961392019612E-2</v>
      </c>
      <c r="I57" t="e">
        <f>'Topsis LP Auto'!G65</f>
        <v>#DIV/0!</v>
      </c>
      <c r="J57" t="e">
        <f>'Topsis LP Auto'!H65</f>
        <v>#DIV/0!</v>
      </c>
      <c r="K57" s="116">
        <f>'Topsis LP Auto'!I65</f>
        <v>20428419</v>
      </c>
      <c r="L57" s="116">
        <f>'Topsis LP Auto'!J65</f>
        <v>1579116</v>
      </c>
      <c r="M57" t="e">
        <f>'Topsis LP Auto'!K65</f>
        <v>#DIV/0!</v>
      </c>
    </row>
    <row r="58" spans="1:13" x14ac:dyDescent="0.25">
      <c r="A58" t="str">
        <f>'Input Screen'!A63</f>
        <v>Alaska</v>
      </c>
      <c r="B58" t="str">
        <f>'Input Screen'!B63</f>
        <v>Wrangell</v>
      </c>
      <c r="C58" t="str">
        <f>'Topsis LP Auto'!A66</f>
        <v>WRST</v>
      </c>
      <c r="D58">
        <f>'Topsis LP Auto'!B66</f>
        <v>6580030</v>
      </c>
      <c r="E58">
        <f>'Topsis LP Auto'!C66</f>
        <v>0</v>
      </c>
      <c r="F58">
        <f>'Topsis LP Auto'!D66</f>
        <v>6580030</v>
      </c>
      <c r="G58" s="114">
        <f>'Topsis LP Auto'!E66</f>
        <v>1</v>
      </c>
      <c r="H58" s="114">
        <f>'Topsis LP Auto'!F66</f>
        <v>0.38619999833312613</v>
      </c>
      <c r="I58" t="e">
        <f>'Topsis LP Auto'!G66</f>
        <v>#DIV/0!</v>
      </c>
      <c r="J58" t="e">
        <f>'Topsis LP Auto'!H66</f>
        <v>#DIV/0!</v>
      </c>
      <c r="K58" s="116">
        <f>'Topsis LP Auto'!I66</f>
        <v>17037882</v>
      </c>
      <c r="L58" s="116">
        <f>'Topsis LP Auto'!J66</f>
        <v>6580030</v>
      </c>
      <c r="M58" t="e">
        <f>'Topsis LP Auto'!K66</f>
        <v>#DIV/0!</v>
      </c>
    </row>
    <row r="59" spans="1:13" x14ac:dyDescent="0.25">
      <c r="A59" t="str">
        <f>'Input Screen'!A64</f>
        <v>Wyoming</v>
      </c>
      <c r="B59" t="str">
        <f>'Input Screen'!B64</f>
        <v>Yellowstone</v>
      </c>
      <c r="C59" t="str">
        <f>'Topsis LP Auto'!A67</f>
        <v>YELL</v>
      </c>
      <c r="D59">
        <f>'Topsis LP Auto'!B67</f>
        <v>93980346</v>
      </c>
      <c r="E59">
        <f>'Topsis LP Auto'!C67</f>
        <v>0</v>
      </c>
      <c r="F59">
        <f>'Topsis LP Auto'!D67</f>
        <v>93980346</v>
      </c>
      <c r="G59" s="114">
        <f>'Topsis LP Auto'!E67</f>
        <v>1</v>
      </c>
      <c r="H59" s="114">
        <f>'Topsis LP Auto'!F67</f>
        <v>0.18219999919466268</v>
      </c>
      <c r="I59" t="e">
        <f>'Topsis LP Auto'!G67</f>
        <v>#DIV/0!</v>
      </c>
      <c r="J59" t="e">
        <f>'Topsis LP Auto'!H67</f>
        <v>#DIV/0!</v>
      </c>
      <c r="K59" s="116">
        <f>'Topsis LP Auto'!I67</f>
        <v>515808707</v>
      </c>
      <c r="L59" s="116">
        <f>'Topsis LP Auto'!J67</f>
        <v>93980346</v>
      </c>
      <c r="M59" t="e">
        <f>'Topsis LP Auto'!K67</f>
        <v>#DIV/0!</v>
      </c>
    </row>
    <row r="60" spans="1:13" x14ac:dyDescent="0.25">
      <c r="A60" t="str">
        <f>'Input Screen'!A65</f>
        <v>California</v>
      </c>
      <c r="B60" t="str">
        <f>'Input Screen'!B65</f>
        <v>Yosemite</v>
      </c>
      <c r="C60" t="str">
        <f>'Topsis LP Auto'!A68</f>
        <v>YOSE</v>
      </c>
      <c r="D60">
        <f>'Topsis LP Auto'!B68</f>
        <v>0</v>
      </c>
      <c r="E60">
        <f>'Topsis LP Auto'!C68</f>
        <v>0</v>
      </c>
      <c r="F60">
        <f>'Topsis LP Auto'!D68</f>
        <v>0</v>
      </c>
      <c r="G60" s="114">
        <f>'Topsis LP Auto'!E68</f>
        <v>0</v>
      </c>
      <c r="H60" s="114">
        <f>'Topsis LP Auto'!F68</f>
        <v>0</v>
      </c>
      <c r="I60" t="e">
        <f>'Topsis LP Auto'!G68</f>
        <v>#DIV/0!</v>
      </c>
      <c r="J60" t="e">
        <f>'Topsis LP Auto'!H68</f>
        <v>#DIV/0!</v>
      </c>
      <c r="K60" s="116">
        <f>'Topsis LP Auto'!I68</f>
        <v>582670827</v>
      </c>
      <c r="L60" s="116">
        <f>'Topsis LP Auto'!J68</f>
        <v>156388849</v>
      </c>
      <c r="M60" t="e">
        <f>'Topsis LP Auto'!K68</f>
        <v>#DIV/0!</v>
      </c>
    </row>
    <row r="61" spans="1:13" x14ac:dyDescent="0.25">
      <c r="A61" t="str">
        <f>'Input Screen'!A66</f>
        <v>Utah</v>
      </c>
      <c r="B61" s="25" t="str">
        <f>IF('Input Screen'!B66="","",'Input Screen'!B66)</f>
        <v>Zion</v>
      </c>
      <c r="C61" s="25" t="str">
        <f>IF('Topsis LP Auto'!M69="","",'Topsis LP Auto'!M69)</f>
        <v>ZION</v>
      </c>
      <c r="D61" s="25">
        <f>IF('Topsis LP Auto'!B69="","",'Topsis LP Auto'!B69)</f>
        <v>5954620</v>
      </c>
      <c r="E61" s="25">
        <f>IF('Topsis LP Auto'!C69="","",'Topsis LP Auto'!C69)</f>
        <v>0</v>
      </c>
      <c r="F61" s="25">
        <f>IF('Topsis LP Auto'!D69="","",'Topsis LP Auto'!D69)</f>
        <v>5954620</v>
      </c>
      <c r="G61" s="115">
        <f>IF('Topsis LP Auto'!E69="","",'Topsis LP Auto'!E69)</f>
        <v>1</v>
      </c>
      <c r="H61" s="115">
        <f>IF('Topsis LP Auto'!F69="","",'Topsis LP Auto'!F69)</f>
        <v>9.1199990173358905E-2</v>
      </c>
      <c r="I61" s="25" t="e">
        <f>IF('Topsis LP Auto'!G69="","",'Topsis LP Auto'!G69)</f>
        <v>#DIV/0!</v>
      </c>
      <c r="J61" s="25" t="e">
        <f>IF('Topsis LP Auto'!H69="","",'Topsis LP Auto'!H69)</f>
        <v>#DIV/0!</v>
      </c>
      <c r="K61" s="117">
        <f>IF('Topsis LP Auto'!I69="","",'Topsis LP Auto'!I69)</f>
        <v>65291892.999999993</v>
      </c>
      <c r="L61" s="117">
        <f>IF('Topsis LP Auto'!J69="","",'Topsis LP Auto'!J69)</f>
        <v>5954620</v>
      </c>
      <c r="M61" t="e">
        <f>'Topsis LP Auto'!K69</f>
        <v>#DIV/0!</v>
      </c>
    </row>
    <row r="62" spans="1:13" x14ac:dyDescent="0.25">
      <c r="A62">
        <f>'Input Screen'!A67</f>
        <v>0</v>
      </c>
      <c r="B62" s="25">
        <f>IF('Input Screen'!B67="","",'Input Screen'!B67)</f>
        <v>0</v>
      </c>
      <c r="C62" s="25">
        <f>IF('Topsis LP Auto'!M70="","",'Topsis LP Auto'!M70)</f>
        <v>0</v>
      </c>
      <c r="D62" s="25">
        <f>IF('Topsis LP Auto'!B70="","",'Topsis LP Auto'!B70)</f>
        <v>0</v>
      </c>
      <c r="E62" s="25">
        <f>IF('Topsis LP Auto'!C70="","",'Topsis LP Auto'!C70)</f>
        <v>0</v>
      </c>
      <c r="F62" s="25">
        <f>IF('Topsis LP Auto'!D70="","",'Topsis LP Auto'!D70)</f>
        <v>0</v>
      </c>
      <c r="G62" s="115">
        <f>IF('Topsis LP Auto'!E70="","",'Topsis LP Auto'!E70)</f>
        <v>0</v>
      </c>
      <c r="H62" s="115">
        <f>IF('Topsis LP Auto'!F70="","",'Topsis LP Auto'!F70)</f>
        <v>0</v>
      </c>
      <c r="I62" s="25">
        <f>IF('Topsis LP Auto'!G70="","",'Topsis LP Auto'!G70)</f>
        <v>0</v>
      </c>
      <c r="J62" s="25">
        <f>IF('Topsis LP Auto'!H70="","",'Topsis LP Auto'!H70)</f>
        <v>0</v>
      </c>
      <c r="K62" s="117">
        <f>IF('Topsis LP Auto'!I70="","",'Topsis LP Auto'!I70)</f>
        <v>0</v>
      </c>
      <c r="L62" s="117">
        <f>IF('Topsis LP Auto'!J70="","",'Topsis LP Auto'!J70)</f>
        <v>0</v>
      </c>
      <c r="M62">
        <f>'Topsis LP Auto'!K70</f>
        <v>0</v>
      </c>
    </row>
    <row r="63" spans="1:13" x14ac:dyDescent="0.25">
      <c r="A63">
        <f>'Input Screen'!A68</f>
        <v>0</v>
      </c>
      <c r="B63" s="25">
        <f>IF('Input Screen'!B68="","",'Input Screen'!B68)</f>
        <v>0</v>
      </c>
      <c r="C63" s="25">
        <f>IF('Topsis LP Auto'!M71="","",'Topsis LP Auto'!M71)</f>
        <v>0</v>
      </c>
      <c r="D63" s="25">
        <f>IF('Topsis LP Auto'!B71="","",'Topsis LP Auto'!B71)</f>
        <v>0</v>
      </c>
      <c r="E63" s="25">
        <f>IF('Topsis LP Auto'!C71="","",'Topsis LP Auto'!C71)</f>
        <v>0</v>
      </c>
      <c r="F63" s="25">
        <f>IF('Topsis LP Auto'!D71="","",'Topsis LP Auto'!D71)</f>
        <v>0</v>
      </c>
      <c r="G63" s="115">
        <f>IF('Topsis LP Auto'!E71="","",'Topsis LP Auto'!E71)</f>
        <v>0</v>
      </c>
      <c r="H63" s="115">
        <f>IF('Topsis LP Auto'!F71="","",'Topsis LP Auto'!F71)</f>
        <v>0</v>
      </c>
      <c r="I63" s="25">
        <f>IF('Topsis LP Auto'!G71="","",'Topsis LP Auto'!G71)</f>
        <v>0</v>
      </c>
      <c r="J63" s="25">
        <f>IF('Topsis LP Auto'!H71="","",'Topsis LP Auto'!H71)</f>
        <v>0</v>
      </c>
      <c r="K63" s="117">
        <f>IF('Topsis LP Auto'!I71="","",'Topsis LP Auto'!I71)</f>
        <v>0</v>
      </c>
      <c r="L63" s="117">
        <f>IF('Topsis LP Auto'!J71="","",'Topsis LP Auto'!J71)</f>
        <v>0</v>
      </c>
      <c r="M63">
        <f>'Topsis LP Auto'!K71</f>
        <v>0</v>
      </c>
    </row>
    <row r="64" spans="1:13" x14ac:dyDescent="0.25">
      <c r="A64">
        <f>'Input Screen'!A69</f>
        <v>0</v>
      </c>
      <c r="B64" s="25">
        <f>IF('Input Screen'!B69="","",'Input Screen'!B69)</f>
        <v>0</v>
      </c>
      <c r="C64" s="25">
        <f>IF('Topsis LP Auto'!M72="","",'Topsis LP Auto'!M72)</f>
        <v>0</v>
      </c>
      <c r="D64" s="25">
        <f>IF('Topsis LP Auto'!B72="","",'Topsis LP Auto'!B72)</f>
        <v>0</v>
      </c>
      <c r="E64" s="25">
        <f>IF('Topsis LP Auto'!C72="","",'Topsis LP Auto'!C72)</f>
        <v>0</v>
      </c>
      <c r="F64" s="25">
        <f>IF('Topsis LP Auto'!D72="","",'Topsis LP Auto'!D72)</f>
        <v>0</v>
      </c>
      <c r="G64" s="115">
        <f>IF('Topsis LP Auto'!E72="","",'Topsis LP Auto'!E72)</f>
        <v>0</v>
      </c>
      <c r="H64" s="115">
        <f>IF('Topsis LP Auto'!F72="","",'Topsis LP Auto'!F72)</f>
        <v>0</v>
      </c>
      <c r="I64" s="25">
        <f>IF('Topsis LP Auto'!G72="","",'Topsis LP Auto'!G72)</f>
        <v>0</v>
      </c>
      <c r="J64" s="25">
        <f>IF('Topsis LP Auto'!H72="","",'Topsis LP Auto'!H72)</f>
        <v>0</v>
      </c>
      <c r="K64" s="117">
        <f>IF('Topsis LP Auto'!I72="","",'Topsis LP Auto'!I72)</f>
        <v>0</v>
      </c>
      <c r="L64" s="117">
        <f>IF('Topsis LP Auto'!J72="","",'Topsis LP Auto'!J72)</f>
        <v>0</v>
      </c>
      <c r="M64">
        <f>'Topsis LP Auto'!K72</f>
        <v>0</v>
      </c>
    </row>
    <row r="65" spans="1:13" x14ac:dyDescent="0.25">
      <c r="A65">
        <f>'Input Screen'!A70</f>
        <v>0</v>
      </c>
      <c r="B65" s="25">
        <f>IF('Input Screen'!B70="","",'Input Screen'!B70)</f>
        <v>0</v>
      </c>
      <c r="C65" s="25">
        <f>IF('Topsis LP Auto'!M73="","",'Topsis LP Auto'!M73)</f>
        <v>0</v>
      </c>
      <c r="D65" s="25">
        <f>IF('Topsis LP Auto'!B73="","",'Topsis LP Auto'!B73)</f>
        <v>0</v>
      </c>
      <c r="E65" s="25">
        <f>IF('Topsis LP Auto'!C73="","",'Topsis LP Auto'!C73)</f>
        <v>0</v>
      </c>
      <c r="F65" s="25">
        <f>IF('Topsis LP Auto'!D73="","",'Topsis LP Auto'!D73)</f>
        <v>0</v>
      </c>
      <c r="G65" s="115">
        <f>IF('Topsis LP Auto'!E73="","",'Topsis LP Auto'!E73)</f>
        <v>0</v>
      </c>
      <c r="H65" s="115">
        <f>IF('Topsis LP Auto'!F73="","",'Topsis LP Auto'!F73)</f>
        <v>0</v>
      </c>
      <c r="I65" s="25">
        <f>IF('Topsis LP Auto'!G73="","",'Topsis LP Auto'!G73)</f>
        <v>0</v>
      </c>
      <c r="J65" s="25">
        <f>IF('Topsis LP Auto'!H73="","",'Topsis LP Auto'!H73)</f>
        <v>0</v>
      </c>
      <c r="K65" s="117">
        <f>IF('Topsis LP Auto'!I73="","",'Topsis LP Auto'!I73)</f>
        <v>0</v>
      </c>
      <c r="L65" s="117">
        <f>IF('Topsis LP Auto'!J73="","",'Topsis LP Auto'!J73)</f>
        <v>0</v>
      </c>
      <c r="M65">
        <f>'Topsis LP Auto'!K73</f>
        <v>0</v>
      </c>
    </row>
    <row r="66" spans="1:13" x14ac:dyDescent="0.25">
      <c r="A66">
        <f>'Input Screen'!A71</f>
        <v>0</v>
      </c>
      <c r="B66" s="25">
        <f>IF('Input Screen'!B71="","",'Input Screen'!B71)</f>
        <v>0</v>
      </c>
      <c r="C66" s="25">
        <f>IF('Topsis LP Auto'!M74="","",'Topsis LP Auto'!M74)</f>
        <v>0</v>
      </c>
      <c r="D66" s="25">
        <f>IF('Topsis LP Auto'!B74="","",'Topsis LP Auto'!B74)</f>
        <v>0</v>
      </c>
      <c r="E66" s="25">
        <f>IF('Topsis LP Auto'!C74="","",'Topsis LP Auto'!C74)</f>
        <v>0</v>
      </c>
      <c r="F66" s="25">
        <f>IF('Topsis LP Auto'!D74="","",'Topsis LP Auto'!D74)</f>
        <v>0</v>
      </c>
      <c r="G66" s="115">
        <f>IF('Topsis LP Auto'!E74="","",'Topsis LP Auto'!E74)</f>
        <v>0</v>
      </c>
      <c r="H66" s="115">
        <f>IF('Topsis LP Auto'!F74="","",'Topsis LP Auto'!F74)</f>
        <v>0</v>
      </c>
      <c r="I66" s="25">
        <f>IF('Topsis LP Auto'!G74="","",'Topsis LP Auto'!G74)</f>
        <v>0</v>
      </c>
      <c r="J66" s="25">
        <f>IF('Topsis LP Auto'!H74="","",'Topsis LP Auto'!H74)</f>
        <v>0</v>
      </c>
      <c r="K66" s="117">
        <f>IF('Topsis LP Auto'!I74="","",'Topsis LP Auto'!I74)</f>
        <v>0</v>
      </c>
      <c r="L66" s="117">
        <f>IF('Topsis LP Auto'!J74="","",'Topsis LP Auto'!J74)</f>
        <v>0</v>
      </c>
      <c r="M66">
        <f>'Topsis LP Auto'!K74</f>
        <v>0</v>
      </c>
    </row>
    <row r="67" spans="1:13" x14ac:dyDescent="0.25">
      <c r="A67">
        <f>'Input Screen'!A72</f>
        <v>0</v>
      </c>
      <c r="B67" s="25">
        <f>IF('Input Screen'!B72="","",'Input Screen'!B72)</f>
        <v>0</v>
      </c>
      <c r="C67" s="25">
        <f>IF('Topsis LP Auto'!M75="","",'Topsis LP Auto'!M75)</f>
        <v>0</v>
      </c>
      <c r="D67" s="25">
        <f>IF('Topsis LP Auto'!B75="","",'Topsis LP Auto'!B75)</f>
        <v>0</v>
      </c>
      <c r="E67" s="25">
        <f>IF('Topsis LP Auto'!C75="","",'Topsis LP Auto'!C75)</f>
        <v>0</v>
      </c>
      <c r="F67" s="25">
        <f>IF('Topsis LP Auto'!D75="","",'Topsis LP Auto'!D75)</f>
        <v>0</v>
      </c>
      <c r="G67" s="115">
        <f>IF('Topsis LP Auto'!E75="","",'Topsis LP Auto'!E75)</f>
        <v>0</v>
      </c>
      <c r="H67" s="115">
        <f>IF('Topsis LP Auto'!F75="","",'Topsis LP Auto'!F75)</f>
        <v>0</v>
      </c>
      <c r="I67" s="25">
        <f>IF('Topsis LP Auto'!G75="","",'Topsis LP Auto'!G75)</f>
        <v>0</v>
      </c>
      <c r="J67" s="25">
        <f>IF('Topsis LP Auto'!H75="","",'Topsis LP Auto'!H75)</f>
        <v>0</v>
      </c>
      <c r="K67" s="117">
        <f>IF('Topsis LP Auto'!I75="","",'Topsis LP Auto'!I75)</f>
        <v>0</v>
      </c>
      <c r="L67" s="117">
        <f>IF('Topsis LP Auto'!J75="","",'Topsis LP Auto'!J75)</f>
        <v>0</v>
      </c>
      <c r="M67">
        <f>'Topsis LP Auto'!K75</f>
        <v>0</v>
      </c>
    </row>
    <row r="68" spans="1:13" x14ac:dyDescent="0.25">
      <c r="A68">
        <f>'Input Screen'!A73</f>
        <v>0</v>
      </c>
      <c r="B68" s="25">
        <f>IF('Input Screen'!B73="","",'Input Screen'!B73)</f>
        <v>0</v>
      </c>
      <c r="C68" s="25">
        <f>IF('Topsis LP Auto'!M76="","",'Topsis LP Auto'!M76)</f>
        <v>0</v>
      </c>
      <c r="D68" s="25">
        <f>IF('Topsis LP Auto'!B76="","",'Topsis LP Auto'!B76)</f>
        <v>0</v>
      </c>
      <c r="E68" s="25">
        <f>IF('Topsis LP Auto'!C76="","",'Topsis LP Auto'!C76)</f>
        <v>0</v>
      </c>
      <c r="F68" s="25">
        <f>IF('Topsis LP Auto'!D76="","",'Topsis LP Auto'!D76)</f>
        <v>0</v>
      </c>
      <c r="G68" s="115">
        <f>IF('Topsis LP Auto'!E76="","",'Topsis LP Auto'!E76)</f>
        <v>0</v>
      </c>
      <c r="H68" s="115">
        <f>IF('Topsis LP Auto'!F76="","",'Topsis LP Auto'!F76)</f>
        <v>0</v>
      </c>
      <c r="I68" s="25">
        <f>IF('Topsis LP Auto'!G76="","",'Topsis LP Auto'!G76)</f>
        <v>0</v>
      </c>
      <c r="J68" s="25">
        <f>IF('Topsis LP Auto'!H76="","",'Topsis LP Auto'!H76)</f>
        <v>0</v>
      </c>
      <c r="K68" s="117">
        <f>IF('Topsis LP Auto'!I76="","",'Topsis LP Auto'!I76)</f>
        <v>0</v>
      </c>
      <c r="L68" s="117">
        <f>IF('Topsis LP Auto'!J76="","",'Topsis LP Auto'!J76)</f>
        <v>0</v>
      </c>
      <c r="M68">
        <f>'Topsis LP Auto'!K76</f>
        <v>0</v>
      </c>
    </row>
    <row r="69" spans="1:13" x14ac:dyDescent="0.25">
      <c r="A69">
        <f>'Input Screen'!A74</f>
        <v>0</v>
      </c>
      <c r="B69" s="25">
        <f>IF('Input Screen'!B74="","",'Input Screen'!B74)</f>
        <v>0</v>
      </c>
      <c r="C69" s="25">
        <f>IF('Topsis LP Auto'!M77="","",'Topsis LP Auto'!M77)</f>
        <v>0</v>
      </c>
      <c r="D69" s="25">
        <f>IF('Topsis LP Auto'!B77="","",'Topsis LP Auto'!B77)</f>
        <v>0</v>
      </c>
      <c r="E69" s="25">
        <f>IF('Topsis LP Auto'!C77="","",'Topsis LP Auto'!C77)</f>
        <v>0</v>
      </c>
      <c r="F69" s="25">
        <f>IF('Topsis LP Auto'!D77="","",'Topsis LP Auto'!D77)</f>
        <v>0</v>
      </c>
      <c r="G69" s="115">
        <f>IF('Topsis LP Auto'!E77="","",'Topsis LP Auto'!E77)</f>
        <v>0</v>
      </c>
      <c r="H69" s="115">
        <f>IF('Topsis LP Auto'!F77="","",'Topsis LP Auto'!F77)</f>
        <v>0</v>
      </c>
      <c r="I69" s="25">
        <f>IF('Topsis LP Auto'!G77="","",'Topsis LP Auto'!G77)</f>
        <v>0</v>
      </c>
      <c r="J69" s="25">
        <f>IF('Topsis LP Auto'!H77="","",'Topsis LP Auto'!H77)</f>
        <v>0</v>
      </c>
      <c r="K69" s="117">
        <f>IF('Topsis LP Auto'!I77="","",'Topsis LP Auto'!I77)</f>
        <v>0</v>
      </c>
      <c r="L69" s="117">
        <f>IF('Topsis LP Auto'!J77="","",'Topsis LP Auto'!J77)</f>
        <v>0</v>
      </c>
      <c r="M69">
        <f>'Topsis LP Auto'!K77</f>
        <v>0</v>
      </c>
    </row>
    <row r="70" spans="1:13" x14ac:dyDescent="0.25">
      <c r="A70">
        <f>'Input Screen'!A75</f>
        <v>0</v>
      </c>
      <c r="B70" s="25">
        <f>IF('Input Screen'!B75="","",'Input Screen'!B75)</f>
        <v>0</v>
      </c>
      <c r="C70" s="25">
        <f>IF('Topsis LP Auto'!M78="","",'Topsis LP Auto'!M78)</f>
        <v>0</v>
      </c>
      <c r="D70" s="25">
        <f>IF('Topsis LP Auto'!B78="","",'Topsis LP Auto'!B78)</f>
        <v>0</v>
      </c>
      <c r="E70" s="25">
        <f>IF('Topsis LP Auto'!C78="","",'Topsis LP Auto'!C78)</f>
        <v>0</v>
      </c>
      <c r="F70" s="25">
        <f>IF('Topsis LP Auto'!D78="","",'Topsis LP Auto'!D78)</f>
        <v>0</v>
      </c>
      <c r="G70" s="115">
        <f>IF('Topsis LP Auto'!E78="","",'Topsis LP Auto'!E78)</f>
        <v>0</v>
      </c>
      <c r="H70" s="115">
        <f>IF('Topsis LP Auto'!F78="","",'Topsis LP Auto'!F78)</f>
        <v>0</v>
      </c>
      <c r="I70" s="25">
        <f>IF('Topsis LP Auto'!G78="","",'Topsis LP Auto'!G78)</f>
        <v>0</v>
      </c>
      <c r="J70" s="25">
        <f>IF('Topsis LP Auto'!H78="","",'Topsis LP Auto'!H78)</f>
        <v>0</v>
      </c>
      <c r="K70" s="117">
        <f>IF('Topsis LP Auto'!I78="","",'Topsis LP Auto'!I78)</f>
        <v>0</v>
      </c>
      <c r="L70" s="117">
        <f>IF('Topsis LP Auto'!J78="","",'Topsis LP Auto'!J78)</f>
        <v>0</v>
      </c>
      <c r="M70">
        <f>'Topsis LP Auto'!K78</f>
        <v>0</v>
      </c>
    </row>
    <row r="71" spans="1:13" x14ac:dyDescent="0.25">
      <c r="A71">
        <f>'Input Screen'!A76</f>
        <v>0</v>
      </c>
      <c r="B71" s="25">
        <f>IF('Input Screen'!B76="","",'Input Screen'!B76)</f>
        <v>0</v>
      </c>
      <c r="C71" s="25">
        <f>IF('Topsis LP Auto'!M79="","",'Topsis LP Auto'!M79)</f>
        <v>0</v>
      </c>
      <c r="D71" s="25">
        <f>IF('Topsis LP Auto'!B79="","",'Topsis LP Auto'!B79)</f>
        <v>0</v>
      </c>
      <c r="E71" s="25">
        <f>IF('Topsis LP Auto'!C79="","",'Topsis LP Auto'!C79)</f>
        <v>0</v>
      </c>
      <c r="F71" s="25">
        <f>IF('Topsis LP Auto'!D79="","",'Topsis LP Auto'!D79)</f>
        <v>0</v>
      </c>
      <c r="G71" s="115">
        <f>IF('Topsis LP Auto'!E79="","",'Topsis LP Auto'!E79)</f>
        <v>0</v>
      </c>
      <c r="H71" s="115">
        <f>IF('Topsis LP Auto'!F79="","",'Topsis LP Auto'!F79)</f>
        <v>0</v>
      </c>
      <c r="I71" s="25">
        <f>IF('Topsis LP Auto'!G79="","",'Topsis LP Auto'!G79)</f>
        <v>0</v>
      </c>
      <c r="J71" s="25">
        <f>IF('Topsis LP Auto'!H79="","",'Topsis LP Auto'!H79)</f>
        <v>0</v>
      </c>
      <c r="K71" s="117">
        <f>IF('Topsis LP Auto'!I79="","",'Topsis LP Auto'!I79)</f>
        <v>0</v>
      </c>
      <c r="L71" s="117">
        <f>IF('Topsis LP Auto'!J79="","",'Topsis LP Auto'!J79)</f>
        <v>0</v>
      </c>
      <c r="M71">
        <f>'Topsis LP Auto'!K79</f>
        <v>0</v>
      </c>
    </row>
    <row r="72" spans="1:13" x14ac:dyDescent="0.25">
      <c r="A72">
        <f>'Input Screen'!A77</f>
        <v>0</v>
      </c>
      <c r="B72" s="25">
        <f>IF('Input Screen'!B77="","",'Input Screen'!B77)</f>
        <v>0</v>
      </c>
      <c r="C72" s="25">
        <f>IF('Topsis LP Auto'!M80="","",'Topsis LP Auto'!M80)</f>
        <v>0</v>
      </c>
      <c r="D72" s="25">
        <f>IF('Topsis LP Auto'!B80="","",'Topsis LP Auto'!B80)</f>
        <v>0</v>
      </c>
      <c r="E72" s="25">
        <f>IF('Topsis LP Auto'!C80="","",'Topsis LP Auto'!C80)</f>
        <v>0</v>
      </c>
      <c r="F72" s="25">
        <f>IF('Topsis LP Auto'!D80="","",'Topsis LP Auto'!D80)</f>
        <v>0</v>
      </c>
      <c r="G72" s="115">
        <f>IF('Topsis LP Auto'!E80="","",'Topsis LP Auto'!E80)</f>
        <v>0</v>
      </c>
      <c r="H72" s="115">
        <f>IF('Topsis LP Auto'!F80="","",'Topsis LP Auto'!F80)</f>
        <v>0</v>
      </c>
      <c r="I72" s="25">
        <f>IF('Topsis LP Auto'!G80="","",'Topsis LP Auto'!G80)</f>
        <v>0</v>
      </c>
      <c r="J72" s="25">
        <f>IF('Topsis LP Auto'!H80="","",'Topsis LP Auto'!H80)</f>
        <v>0</v>
      </c>
      <c r="K72" s="117">
        <f>IF('Topsis LP Auto'!I80="","",'Topsis LP Auto'!I80)</f>
        <v>0</v>
      </c>
      <c r="L72" s="117">
        <f>IF('Topsis LP Auto'!J80="","",'Topsis LP Auto'!J80)</f>
        <v>0</v>
      </c>
      <c r="M72">
        <f>'Topsis LP Auto'!K80</f>
        <v>0</v>
      </c>
    </row>
    <row r="73" spans="1:13" x14ac:dyDescent="0.25">
      <c r="A73">
        <f>'Input Screen'!A78</f>
        <v>0</v>
      </c>
      <c r="B73" s="25">
        <f>IF('Input Screen'!B78="","",'Input Screen'!B78)</f>
        <v>0</v>
      </c>
      <c r="C73" s="25">
        <f>IF('Topsis LP Auto'!M81="","",'Topsis LP Auto'!M81)</f>
        <v>0</v>
      </c>
      <c r="D73" s="25">
        <f>IF('Topsis LP Auto'!B81="","",'Topsis LP Auto'!B81)</f>
        <v>0</v>
      </c>
      <c r="E73" s="25">
        <f>IF('Topsis LP Auto'!C81="","",'Topsis LP Auto'!C81)</f>
        <v>0</v>
      </c>
      <c r="F73" s="25">
        <f>IF('Topsis LP Auto'!D81="","",'Topsis LP Auto'!D81)</f>
        <v>0</v>
      </c>
      <c r="G73" s="115">
        <f>IF('Topsis LP Auto'!E81="","",'Topsis LP Auto'!E81)</f>
        <v>0</v>
      </c>
      <c r="H73" s="115">
        <f>IF('Topsis LP Auto'!F81="","",'Topsis LP Auto'!F81)</f>
        <v>0</v>
      </c>
      <c r="I73" s="25">
        <f>IF('Topsis LP Auto'!G81="","",'Topsis LP Auto'!G81)</f>
        <v>0</v>
      </c>
      <c r="J73" s="25">
        <f>IF('Topsis LP Auto'!H81="","",'Topsis LP Auto'!H81)</f>
        <v>0</v>
      </c>
      <c r="K73" s="117">
        <f>IF('Topsis LP Auto'!I81="","",'Topsis LP Auto'!I81)</f>
        <v>0</v>
      </c>
      <c r="L73" s="117">
        <f>IF('Topsis LP Auto'!J81="","",'Topsis LP Auto'!J81)</f>
        <v>0</v>
      </c>
      <c r="M73">
        <f>'Topsis LP Auto'!K81</f>
        <v>0</v>
      </c>
    </row>
    <row r="74" spans="1:13" x14ac:dyDescent="0.25">
      <c r="A74">
        <f>'Input Screen'!A79</f>
        <v>0</v>
      </c>
      <c r="B74" s="25">
        <f>IF('Input Screen'!B79="","",'Input Screen'!B79)</f>
        <v>0</v>
      </c>
      <c r="C74" s="25">
        <f>IF('Topsis LP Auto'!M82="","",'Topsis LP Auto'!M82)</f>
        <v>0</v>
      </c>
      <c r="D74" s="25">
        <f>IF('Topsis LP Auto'!B82="","",'Topsis LP Auto'!B82)</f>
        <v>0</v>
      </c>
      <c r="E74" s="25">
        <f>IF('Topsis LP Auto'!C82="","",'Topsis LP Auto'!C82)</f>
        <v>0</v>
      </c>
      <c r="F74" s="25">
        <f>IF('Topsis LP Auto'!D82="","",'Topsis LP Auto'!D82)</f>
        <v>0</v>
      </c>
      <c r="G74" s="115">
        <f>IF('Topsis LP Auto'!E82="","",'Topsis LP Auto'!E82)</f>
        <v>0</v>
      </c>
      <c r="H74" s="115">
        <f>IF('Topsis LP Auto'!F82="","",'Topsis LP Auto'!F82)</f>
        <v>0</v>
      </c>
      <c r="I74" s="25">
        <f>IF('Topsis LP Auto'!G82="","",'Topsis LP Auto'!G82)</f>
        <v>0</v>
      </c>
      <c r="J74" s="25">
        <f>IF('Topsis LP Auto'!H82="","",'Topsis LP Auto'!H82)</f>
        <v>0</v>
      </c>
      <c r="K74" s="117">
        <f>IF('Topsis LP Auto'!I82="","",'Topsis LP Auto'!I82)</f>
        <v>0</v>
      </c>
      <c r="L74" s="117">
        <f>IF('Topsis LP Auto'!J82="","",'Topsis LP Auto'!J82)</f>
        <v>0</v>
      </c>
      <c r="M74">
        <f>'Topsis LP Auto'!K82</f>
        <v>0</v>
      </c>
    </row>
    <row r="75" spans="1:13" x14ac:dyDescent="0.25">
      <c r="A75">
        <f>'Input Screen'!A80</f>
        <v>0</v>
      </c>
      <c r="B75" s="25">
        <f>IF('Input Screen'!B80="","",'Input Screen'!B80)</f>
        <v>0</v>
      </c>
      <c r="C75" s="25">
        <f>IF('Topsis LP Auto'!M83="","",'Topsis LP Auto'!M83)</f>
        <v>0</v>
      </c>
      <c r="D75" s="25">
        <f>IF('Topsis LP Auto'!B83="","",'Topsis LP Auto'!B83)</f>
        <v>0</v>
      </c>
      <c r="E75" s="25">
        <f>IF('Topsis LP Auto'!C83="","",'Topsis LP Auto'!C83)</f>
        <v>0</v>
      </c>
      <c r="F75" s="25">
        <f>IF('Topsis LP Auto'!D83="","",'Topsis LP Auto'!D83)</f>
        <v>0</v>
      </c>
      <c r="G75" s="115">
        <f>IF('Topsis LP Auto'!E83="","",'Topsis LP Auto'!E83)</f>
        <v>0</v>
      </c>
      <c r="H75" s="115">
        <f>IF('Topsis LP Auto'!F83="","",'Topsis LP Auto'!F83)</f>
        <v>0</v>
      </c>
      <c r="I75" s="25">
        <f>IF('Topsis LP Auto'!G83="","",'Topsis LP Auto'!G83)</f>
        <v>0</v>
      </c>
      <c r="J75" s="25">
        <f>IF('Topsis LP Auto'!H83="","",'Topsis LP Auto'!H83)</f>
        <v>0</v>
      </c>
      <c r="K75" s="117">
        <f>IF('Topsis LP Auto'!I83="","",'Topsis LP Auto'!I83)</f>
        <v>0</v>
      </c>
      <c r="L75" s="117">
        <f>IF('Topsis LP Auto'!J83="","",'Topsis LP Auto'!J83)</f>
        <v>0</v>
      </c>
      <c r="M75">
        <f>'Topsis LP Auto'!K83</f>
        <v>0</v>
      </c>
    </row>
    <row r="76" spans="1:13" x14ac:dyDescent="0.25">
      <c r="A76">
        <f>'Input Screen'!A81</f>
        <v>0</v>
      </c>
      <c r="B76" s="25">
        <f>IF('Input Screen'!B81="","",'Input Screen'!B81)</f>
        <v>0</v>
      </c>
      <c r="C76" s="25">
        <f>IF('Topsis LP Auto'!M84="","",'Topsis LP Auto'!M84)</f>
        <v>0</v>
      </c>
      <c r="D76" s="25">
        <f>IF('Topsis LP Auto'!B84="","",'Topsis LP Auto'!B84)</f>
        <v>0</v>
      </c>
      <c r="E76" s="25">
        <f>IF('Topsis LP Auto'!C84="","",'Topsis LP Auto'!C84)</f>
        <v>0</v>
      </c>
      <c r="F76" s="25">
        <f>IF('Topsis LP Auto'!D84="","",'Topsis LP Auto'!D84)</f>
        <v>0</v>
      </c>
      <c r="G76" s="115">
        <f>IF('Topsis LP Auto'!E84="","",'Topsis LP Auto'!E84)</f>
        <v>0</v>
      </c>
      <c r="H76" s="115">
        <f>IF('Topsis LP Auto'!F84="","",'Topsis LP Auto'!F84)</f>
        <v>0</v>
      </c>
      <c r="I76" s="25">
        <f>IF('Topsis LP Auto'!G84="","",'Topsis LP Auto'!G84)</f>
        <v>0</v>
      </c>
      <c r="J76" s="25">
        <f>IF('Topsis LP Auto'!H84="","",'Topsis LP Auto'!H84)</f>
        <v>0</v>
      </c>
      <c r="K76" s="117">
        <f>IF('Topsis LP Auto'!I84="","",'Topsis LP Auto'!I84)</f>
        <v>0</v>
      </c>
      <c r="L76" s="117">
        <f>IF('Topsis LP Auto'!J84="","",'Topsis LP Auto'!J84)</f>
        <v>0</v>
      </c>
      <c r="M76">
        <f>'Topsis LP Auto'!K84</f>
        <v>0</v>
      </c>
    </row>
    <row r="77" spans="1:13" x14ac:dyDescent="0.25">
      <c r="A77">
        <f>'Input Screen'!A82</f>
        <v>0</v>
      </c>
      <c r="B77" s="25">
        <f>IF('Input Screen'!B82="","",'Input Screen'!B82)</f>
        <v>0</v>
      </c>
      <c r="C77" s="25">
        <f>IF('Topsis LP Auto'!M85="","",'Topsis LP Auto'!M85)</f>
        <v>0</v>
      </c>
      <c r="D77" s="25">
        <f>IF('Topsis LP Auto'!B85="","",'Topsis LP Auto'!B85)</f>
        <v>0</v>
      </c>
      <c r="E77" s="25">
        <f>IF('Topsis LP Auto'!C85="","",'Topsis LP Auto'!C85)</f>
        <v>0</v>
      </c>
      <c r="F77" s="25">
        <f>IF('Topsis LP Auto'!D85="","",'Topsis LP Auto'!D85)</f>
        <v>0</v>
      </c>
      <c r="G77" s="115">
        <f>IF('Topsis LP Auto'!E85="","",'Topsis LP Auto'!E85)</f>
        <v>0</v>
      </c>
      <c r="H77" s="115">
        <f>IF('Topsis LP Auto'!F85="","",'Topsis LP Auto'!F85)</f>
        <v>0</v>
      </c>
      <c r="I77" s="25">
        <f>IF('Topsis LP Auto'!G85="","",'Topsis LP Auto'!G85)</f>
        <v>0</v>
      </c>
      <c r="J77" s="25">
        <f>IF('Topsis LP Auto'!H85="","",'Topsis LP Auto'!H85)</f>
        <v>0</v>
      </c>
      <c r="K77" s="117">
        <f>IF('Topsis LP Auto'!I85="","",'Topsis LP Auto'!I85)</f>
        <v>0</v>
      </c>
      <c r="L77" s="117">
        <f>IF('Topsis LP Auto'!J85="","",'Topsis LP Auto'!J85)</f>
        <v>0</v>
      </c>
      <c r="M77">
        <f>'Topsis LP Auto'!K85</f>
        <v>0</v>
      </c>
    </row>
    <row r="78" spans="1:13" x14ac:dyDescent="0.25">
      <c r="A78">
        <f>'Input Screen'!A83</f>
        <v>0</v>
      </c>
      <c r="B78" s="25">
        <f>IF('Input Screen'!B83="","",'Input Screen'!B83)</f>
        <v>0</v>
      </c>
      <c r="C78" s="25">
        <f>IF('Topsis LP Auto'!M86="","",'Topsis LP Auto'!M86)</f>
        <v>0</v>
      </c>
      <c r="D78" s="25">
        <f>IF('Topsis LP Auto'!B86="","",'Topsis LP Auto'!B86)</f>
        <v>0</v>
      </c>
      <c r="E78" s="25">
        <f>IF('Topsis LP Auto'!C86="","",'Topsis LP Auto'!C86)</f>
        <v>0</v>
      </c>
      <c r="F78" s="25">
        <f>IF('Topsis LP Auto'!D86="","",'Topsis LP Auto'!D86)</f>
        <v>0</v>
      </c>
      <c r="G78" s="115">
        <f>IF('Topsis LP Auto'!E86="","",'Topsis LP Auto'!E86)</f>
        <v>0</v>
      </c>
      <c r="H78" s="115">
        <f>IF('Topsis LP Auto'!F86="","",'Topsis LP Auto'!F86)</f>
        <v>0</v>
      </c>
      <c r="I78" s="25">
        <f>IF('Topsis LP Auto'!G86="","",'Topsis LP Auto'!G86)</f>
        <v>0</v>
      </c>
      <c r="J78" s="25">
        <f>IF('Topsis LP Auto'!H86="","",'Topsis LP Auto'!H86)</f>
        <v>0</v>
      </c>
      <c r="K78" s="117">
        <f>IF('Topsis LP Auto'!I86="","",'Topsis LP Auto'!I86)</f>
        <v>0</v>
      </c>
      <c r="L78" s="117">
        <f>IF('Topsis LP Auto'!J86="","",'Topsis LP Auto'!J86)</f>
        <v>0</v>
      </c>
      <c r="M78">
        <f>'Topsis LP Auto'!K86</f>
        <v>0</v>
      </c>
    </row>
    <row r="79" spans="1:13" x14ac:dyDescent="0.25">
      <c r="A79">
        <f>'Input Screen'!A84</f>
        <v>0</v>
      </c>
      <c r="B79" s="25">
        <f>IF('Input Screen'!B84="","",'Input Screen'!B84)</f>
        <v>0</v>
      </c>
      <c r="C79" s="25">
        <f>IF('Topsis LP Auto'!M87="","",'Topsis LP Auto'!M87)</f>
        <v>0</v>
      </c>
      <c r="D79" s="25">
        <f>IF('Topsis LP Auto'!B87="","",'Topsis LP Auto'!B87)</f>
        <v>0</v>
      </c>
      <c r="E79" s="25">
        <f>IF('Topsis LP Auto'!C87="","",'Topsis LP Auto'!C87)</f>
        <v>0</v>
      </c>
      <c r="F79" s="25">
        <f>IF('Topsis LP Auto'!D87="","",'Topsis LP Auto'!D87)</f>
        <v>0</v>
      </c>
      <c r="G79" s="115">
        <f>IF('Topsis LP Auto'!E87="","",'Topsis LP Auto'!E87)</f>
        <v>0</v>
      </c>
      <c r="H79" s="115">
        <f>IF('Topsis LP Auto'!F87="","",'Topsis LP Auto'!F87)</f>
        <v>0</v>
      </c>
      <c r="I79" s="25">
        <f>IF('Topsis LP Auto'!G87="","",'Topsis LP Auto'!G87)</f>
        <v>0</v>
      </c>
      <c r="J79" s="25">
        <f>IF('Topsis LP Auto'!H87="","",'Topsis LP Auto'!H87)</f>
        <v>0</v>
      </c>
      <c r="K79" s="117">
        <f>IF('Topsis LP Auto'!I87="","",'Topsis LP Auto'!I87)</f>
        <v>0</v>
      </c>
      <c r="L79" s="117">
        <f>IF('Topsis LP Auto'!J87="","",'Topsis LP Auto'!J87)</f>
        <v>0</v>
      </c>
      <c r="M79">
        <f>'Topsis LP Auto'!K87</f>
        <v>0</v>
      </c>
    </row>
    <row r="80" spans="1:13" x14ac:dyDescent="0.25">
      <c r="A80">
        <f>'Input Screen'!A85</f>
        <v>0</v>
      </c>
      <c r="B80" s="25">
        <f>IF('Input Screen'!B85="","",'Input Screen'!B85)</f>
        <v>0</v>
      </c>
      <c r="C80" s="25">
        <f>IF('Topsis LP Auto'!M88="","",'Topsis LP Auto'!M88)</f>
        <v>0</v>
      </c>
      <c r="D80" s="25">
        <f>IF('Topsis LP Auto'!B88="","",'Topsis LP Auto'!B88)</f>
        <v>0</v>
      </c>
      <c r="E80" s="25">
        <f>IF('Topsis LP Auto'!C88="","",'Topsis LP Auto'!C88)</f>
        <v>0</v>
      </c>
      <c r="F80" s="25">
        <f>IF('Topsis LP Auto'!D88="","",'Topsis LP Auto'!D88)</f>
        <v>0</v>
      </c>
      <c r="G80" s="115">
        <f>IF('Topsis LP Auto'!E88="","",'Topsis LP Auto'!E88)</f>
        <v>0</v>
      </c>
      <c r="H80" s="115">
        <f>IF('Topsis LP Auto'!F88="","",'Topsis LP Auto'!F88)</f>
        <v>0</v>
      </c>
      <c r="I80" s="25">
        <f>IF('Topsis LP Auto'!G88="","",'Topsis LP Auto'!G88)</f>
        <v>0</v>
      </c>
      <c r="J80" s="25">
        <f>IF('Topsis LP Auto'!H88="","",'Topsis LP Auto'!H88)</f>
        <v>0</v>
      </c>
      <c r="K80" s="117">
        <f>IF('Topsis LP Auto'!I88="","",'Topsis LP Auto'!I88)</f>
        <v>0</v>
      </c>
      <c r="L80" s="117">
        <f>IF('Topsis LP Auto'!J88="","",'Topsis LP Auto'!J88)</f>
        <v>0</v>
      </c>
      <c r="M80">
        <f>'Topsis LP Auto'!K88</f>
        <v>0</v>
      </c>
    </row>
    <row r="81" spans="1:13" x14ac:dyDescent="0.25">
      <c r="A81">
        <f>'Input Screen'!A86</f>
        <v>0</v>
      </c>
      <c r="B81" s="25">
        <f>IF('Input Screen'!B86="","",'Input Screen'!B86)</f>
        <v>0</v>
      </c>
      <c r="C81" s="25">
        <f>IF('Topsis LP Auto'!M89="","",'Topsis LP Auto'!M89)</f>
        <v>0</v>
      </c>
      <c r="D81" s="25">
        <f>IF('Topsis LP Auto'!B89="","",'Topsis LP Auto'!B89)</f>
        <v>0</v>
      </c>
      <c r="E81" s="25">
        <f>IF('Topsis LP Auto'!C89="","",'Topsis LP Auto'!C89)</f>
        <v>0</v>
      </c>
      <c r="F81" s="25">
        <f>IF('Topsis LP Auto'!D89="","",'Topsis LP Auto'!D89)</f>
        <v>0</v>
      </c>
      <c r="G81" s="115">
        <f>IF('Topsis LP Auto'!E89="","",'Topsis LP Auto'!E89)</f>
        <v>0</v>
      </c>
      <c r="H81" s="115">
        <f>IF('Topsis LP Auto'!F89="","",'Topsis LP Auto'!F89)</f>
        <v>0</v>
      </c>
      <c r="I81" s="25">
        <f>IF('Topsis LP Auto'!G89="","",'Topsis LP Auto'!G89)</f>
        <v>0</v>
      </c>
      <c r="J81" s="25">
        <f>IF('Topsis LP Auto'!H89="","",'Topsis LP Auto'!H89)</f>
        <v>0</v>
      </c>
      <c r="K81" s="117">
        <f>IF('Topsis LP Auto'!I89="","",'Topsis LP Auto'!I89)</f>
        <v>0</v>
      </c>
      <c r="L81" s="117">
        <f>IF('Topsis LP Auto'!J89="","",'Topsis LP Auto'!J89)</f>
        <v>0</v>
      </c>
      <c r="M81">
        <f>'Topsis LP Auto'!K89</f>
        <v>0</v>
      </c>
    </row>
    <row r="82" spans="1:13" x14ac:dyDescent="0.25">
      <c r="A82">
        <f>'Input Screen'!A87</f>
        <v>0</v>
      </c>
      <c r="B82" s="25">
        <f>IF('Input Screen'!B87="","",'Input Screen'!B87)</f>
        <v>0</v>
      </c>
      <c r="C82" s="25">
        <f>IF('Topsis LP Auto'!M90="","",'Topsis LP Auto'!M90)</f>
        <v>0</v>
      </c>
      <c r="D82" s="25">
        <f>IF('Topsis LP Auto'!B90="","",'Topsis LP Auto'!B90)</f>
        <v>0</v>
      </c>
      <c r="E82" s="25">
        <f>IF('Topsis LP Auto'!C90="","",'Topsis LP Auto'!C90)</f>
        <v>0</v>
      </c>
      <c r="F82" s="25">
        <f>IF('Topsis LP Auto'!D90="","",'Topsis LP Auto'!D90)</f>
        <v>0</v>
      </c>
      <c r="G82" s="115">
        <f>IF('Topsis LP Auto'!E90="","",'Topsis LP Auto'!E90)</f>
        <v>0</v>
      </c>
      <c r="H82" s="115">
        <f>IF('Topsis LP Auto'!F90="","",'Topsis LP Auto'!F90)</f>
        <v>0</v>
      </c>
      <c r="I82" s="25">
        <f>IF('Topsis LP Auto'!G90="","",'Topsis LP Auto'!G90)</f>
        <v>0</v>
      </c>
      <c r="J82" s="25">
        <f>IF('Topsis LP Auto'!H90="","",'Topsis LP Auto'!H90)</f>
        <v>0</v>
      </c>
      <c r="K82" s="117">
        <f>IF('Topsis LP Auto'!I90="","",'Topsis LP Auto'!I90)</f>
        <v>0</v>
      </c>
      <c r="L82" s="117">
        <f>IF('Topsis LP Auto'!J90="","",'Topsis LP Auto'!J90)</f>
        <v>0</v>
      </c>
      <c r="M82">
        <f>'Topsis LP Auto'!K90</f>
        <v>0</v>
      </c>
    </row>
    <row r="83" spans="1:13" x14ac:dyDescent="0.25">
      <c r="A83">
        <f>'Input Screen'!A88</f>
        <v>0</v>
      </c>
      <c r="B83" s="25">
        <f>IF('Input Screen'!B88="","",'Input Screen'!B88)</f>
        <v>0</v>
      </c>
      <c r="C83" s="25">
        <f>IF('Topsis LP Auto'!M91="","",'Topsis LP Auto'!M91)</f>
        <v>0</v>
      </c>
      <c r="D83" s="25">
        <f>IF('Topsis LP Auto'!B91="","",'Topsis LP Auto'!B91)</f>
        <v>0</v>
      </c>
      <c r="E83" s="25">
        <f>IF('Topsis LP Auto'!C91="","",'Topsis LP Auto'!C91)</f>
        <v>0</v>
      </c>
      <c r="F83" s="25">
        <f>IF('Topsis LP Auto'!D91="","",'Topsis LP Auto'!D91)</f>
        <v>0</v>
      </c>
      <c r="G83" s="115">
        <f>IF('Topsis LP Auto'!E91="","",'Topsis LP Auto'!E91)</f>
        <v>0</v>
      </c>
      <c r="H83" s="115">
        <f>IF('Topsis LP Auto'!F91="","",'Topsis LP Auto'!F91)</f>
        <v>0</v>
      </c>
      <c r="I83" s="25">
        <f>IF('Topsis LP Auto'!G91="","",'Topsis LP Auto'!G91)</f>
        <v>0</v>
      </c>
      <c r="J83" s="25">
        <f>IF('Topsis LP Auto'!H91="","",'Topsis LP Auto'!H91)</f>
        <v>0</v>
      </c>
      <c r="K83" s="117">
        <f>IF('Topsis LP Auto'!I91="","",'Topsis LP Auto'!I91)</f>
        <v>0</v>
      </c>
      <c r="L83" s="117">
        <f>IF('Topsis LP Auto'!J91="","",'Topsis LP Auto'!J91)</f>
        <v>0</v>
      </c>
      <c r="M83">
        <f>'Topsis LP Auto'!K91</f>
        <v>0</v>
      </c>
    </row>
    <row r="84" spans="1:13" x14ac:dyDescent="0.25">
      <c r="A84">
        <f>'Input Screen'!A89</f>
        <v>0</v>
      </c>
      <c r="B84" s="25">
        <f>IF('Input Screen'!B89="","",'Input Screen'!B89)</f>
        <v>0</v>
      </c>
      <c r="C84" s="25">
        <f>IF('Topsis LP Auto'!M92="","",'Topsis LP Auto'!M92)</f>
        <v>0</v>
      </c>
      <c r="D84" s="25">
        <f>IF('Topsis LP Auto'!B92="","",'Topsis LP Auto'!B92)</f>
        <v>0</v>
      </c>
      <c r="E84" s="25">
        <f>IF('Topsis LP Auto'!C92="","",'Topsis LP Auto'!C92)</f>
        <v>0</v>
      </c>
      <c r="F84" s="25">
        <f>IF('Topsis LP Auto'!D92="","",'Topsis LP Auto'!D92)</f>
        <v>0</v>
      </c>
      <c r="G84" s="115">
        <f>IF('Topsis LP Auto'!E92="","",'Topsis LP Auto'!E92)</f>
        <v>0</v>
      </c>
      <c r="H84" s="115">
        <f>IF('Topsis LP Auto'!F92="","",'Topsis LP Auto'!F92)</f>
        <v>0</v>
      </c>
      <c r="I84" s="25">
        <f>IF('Topsis LP Auto'!G92="","",'Topsis LP Auto'!G92)</f>
        <v>0</v>
      </c>
      <c r="J84" s="25">
        <f>IF('Topsis LP Auto'!H92="","",'Topsis LP Auto'!H92)</f>
        <v>0</v>
      </c>
      <c r="K84" s="117">
        <f>IF('Topsis LP Auto'!I92="","",'Topsis LP Auto'!I92)</f>
        <v>0</v>
      </c>
      <c r="L84" s="117">
        <f>IF('Topsis LP Auto'!J92="","",'Topsis LP Auto'!J92)</f>
        <v>0</v>
      </c>
      <c r="M84">
        <f>'Topsis LP Auto'!K92</f>
        <v>0</v>
      </c>
    </row>
    <row r="85" spans="1:13" x14ac:dyDescent="0.25">
      <c r="A85">
        <f>'Input Screen'!A90</f>
        <v>0</v>
      </c>
      <c r="B85" s="25">
        <f>IF('Input Screen'!B90="","",'Input Screen'!B90)</f>
        <v>0</v>
      </c>
      <c r="C85" s="25">
        <f>IF('Topsis LP Auto'!M93="","",'Topsis LP Auto'!M93)</f>
        <v>0</v>
      </c>
      <c r="D85" s="25">
        <f>IF('Topsis LP Auto'!B93="","",'Topsis LP Auto'!B93)</f>
        <v>0</v>
      </c>
      <c r="E85" s="25">
        <f>IF('Topsis LP Auto'!C93="","",'Topsis LP Auto'!C93)</f>
        <v>0</v>
      </c>
      <c r="F85" s="25">
        <f>IF('Topsis LP Auto'!D93="","",'Topsis LP Auto'!D93)</f>
        <v>0</v>
      </c>
      <c r="G85" s="115">
        <f>IF('Topsis LP Auto'!E93="","",'Topsis LP Auto'!E93)</f>
        <v>0</v>
      </c>
      <c r="H85" s="115">
        <f>IF('Topsis LP Auto'!F93="","",'Topsis LP Auto'!F93)</f>
        <v>0</v>
      </c>
      <c r="I85" s="25">
        <f>IF('Topsis LP Auto'!G93="","",'Topsis LP Auto'!G93)</f>
        <v>0</v>
      </c>
      <c r="J85" s="25">
        <f>IF('Topsis LP Auto'!H93="","",'Topsis LP Auto'!H93)</f>
        <v>0</v>
      </c>
      <c r="K85" s="117">
        <f>IF('Topsis LP Auto'!I93="","",'Topsis LP Auto'!I93)</f>
        <v>0</v>
      </c>
      <c r="L85" s="117">
        <f>IF('Topsis LP Auto'!J93="","",'Topsis LP Auto'!J93)</f>
        <v>0</v>
      </c>
      <c r="M85">
        <f>'Topsis LP Auto'!K93</f>
        <v>0</v>
      </c>
    </row>
    <row r="86" spans="1:13" x14ac:dyDescent="0.25">
      <c r="A86">
        <f>'Input Screen'!A91</f>
        <v>0</v>
      </c>
      <c r="B86" s="25">
        <f>IF('Input Screen'!B91="","",'Input Screen'!B91)</f>
        <v>0</v>
      </c>
      <c r="C86" s="25">
        <f>IF('Topsis LP Auto'!M94="","",'Topsis LP Auto'!M94)</f>
        <v>0</v>
      </c>
      <c r="D86" s="25">
        <f>IF('Topsis LP Auto'!B94="","",'Topsis LP Auto'!B94)</f>
        <v>0</v>
      </c>
      <c r="E86" s="25">
        <f>IF('Topsis LP Auto'!C94="","",'Topsis LP Auto'!C94)</f>
        <v>0</v>
      </c>
      <c r="F86" s="25">
        <f>IF('Topsis LP Auto'!D94="","",'Topsis LP Auto'!D94)</f>
        <v>0</v>
      </c>
      <c r="G86" s="115">
        <f>IF('Topsis LP Auto'!E94="","",'Topsis LP Auto'!E94)</f>
        <v>0</v>
      </c>
      <c r="H86" s="115">
        <f>IF('Topsis LP Auto'!F94="","",'Topsis LP Auto'!F94)</f>
        <v>0</v>
      </c>
      <c r="I86" s="25">
        <f>IF('Topsis LP Auto'!G94="","",'Topsis LP Auto'!G94)</f>
        <v>0</v>
      </c>
      <c r="J86" s="25">
        <f>IF('Topsis LP Auto'!H94="","",'Topsis LP Auto'!H94)</f>
        <v>0</v>
      </c>
      <c r="K86" s="117">
        <f>IF('Topsis LP Auto'!I94="","",'Topsis LP Auto'!I94)</f>
        <v>0</v>
      </c>
      <c r="L86" s="117">
        <f>IF('Topsis LP Auto'!J94="","",'Topsis LP Auto'!J94)</f>
        <v>0</v>
      </c>
      <c r="M86">
        <f>'Topsis LP Auto'!K94</f>
        <v>0</v>
      </c>
    </row>
    <row r="87" spans="1:13" x14ac:dyDescent="0.25">
      <c r="A87">
        <f>'Input Screen'!A92</f>
        <v>0</v>
      </c>
      <c r="B87" s="25">
        <f>IF('Input Screen'!B92="","",'Input Screen'!B92)</f>
        <v>0</v>
      </c>
      <c r="C87" s="25">
        <f>IF('Topsis LP Auto'!M95="","",'Topsis LP Auto'!M95)</f>
        <v>0</v>
      </c>
      <c r="D87" s="25">
        <f>IF('Topsis LP Auto'!B95="","",'Topsis LP Auto'!B95)</f>
        <v>0</v>
      </c>
      <c r="E87" s="25">
        <f>IF('Topsis LP Auto'!C95="","",'Topsis LP Auto'!C95)</f>
        <v>0</v>
      </c>
      <c r="F87" s="25">
        <f>IF('Topsis LP Auto'!D95="","",'Topsis LP Auto'!D95)</f>
        <v>0</v>
      </c>
      <c r="G87" s="115">
        <f>IF('Topsis LP Auto'!E95="","",'Topsis LP Auto'!E95)</f>
        <v>0</v>
      </c>
      <c r="H87" s="115">
        <f>IF('Topsis LP Auto'!F95="","",'Topsis LP Auto'!F95)</f>
        <v>0</v>
      </c>
      <c r="I87" s="25">
        <f>IF('Topsis LP Auto'!G95="","",'Topsis LP Auto'!G95)</f>
        <v>0</v>
      </c>
      <c r="J87" s="25">
        <f>IF('Topsis LP Auto'!H95="","",'Topsis LP Auto'!H95)</f>
        <v>0</v>
      </c>
      <c r="K87" s="117">
        <f>IF('Topsis LP Auto'!I95="","",'Topsis LP Auto'!I95)</f>
        <v>0</v>
      </c>
      <c r="L87" s="117">
        <f>IF('Topsis LP Auto'!J95="","",'Topsis LP Auto'!J95)</f>
        <v>0</v>
      </c>
      <c r="M87">
        <f>'Topsis LP Auto'!K95</f>
        <v>0</v>
      </c>
    </row>
    <row r="88" spans="1:13" x14ac:dyDescent="0.25">
      <c r="A88">
        <f>'Input Screen'!A93</f>
        <v>0</v>
      </c>
      <c r="B88" s="25">
        <f>IF('Input Screen'!B93="","",'Input Screen'!B93)</f>
        <v>0</v>
      </c>
      <c r="C88" s="25">
        <f>IF('Topsis LP Auto'!M96="","",'Topsis LP Auto'!M96)</f>
        <v>0</v>
      </c>
      <c r="D88" s="25">
        <f>IF('Topsis LP Auto'!B96="","",'Topsis LP Auto'!B96)</f>
        <v>0</v>
      </c>
      <c r="E88" s="25">
        <f>IF('Topsis LP Auto'!C96="","",'Topsis LP Auto'!C96)</f>
        <v>0</v>
      </c>
      <c r="F88" s="25">
        <f>IF('Topsis LP Auto'!D96="","",'Topsis LP Auto'!D96)</f>
        <v>0</v>
      </c>
      <c r="G88" s="115">
        <f>IF('Topsis LP Auto'!E96="","",'Topsis LP Auto'!E96)</f>
        <v>0</v>
      </c>
      <c r="H88" s="115">
        <f>IF('Topsis LP Auto'!F96="","",'Topsis LP Auto'!F96)</f>
        <v>0</v>
      </c>
      <c r="I88" s="25">
        <f>IF('Topsis LP Auto'!G96="","",'Topsis LP Auto'!G96)</f>
        <v>0</v>
      </c>
      <c r="J88" s="25">
        <f>IF('Topsis LP Auto'!H96="","",'Topsis LP Auto'!H96)</f>
        <v>0</v>
      </c>
      <c r="K88" s="117">
        <f>IF('Topsis LP Auto'!I96="","",'Topsis LP Auto'!I96)</f>
        <v>0</v>
      </c>
      <c r="L88" s="117">
        <f>IF('Topsis LP Auto'!J96="","",'Topsis LP Auto'!J96)</f>
        <v>0</v>
      </c>
      <c r="M88">
        <f>'Topsis LP Auto'!K96</f>
        <v>0</v>
      </c>
    </row>
    <row r="89" spans="1:13" x14ac:dyDescent="0.25">
      <c r="A89">
        <f>'Input Screen'!A94</f>
        <v>0</v>
      </c>
      <c r="B89" s="25">
        <f>IF('Input Screen'!B94="","",'Input Screen'!B94)</f>
        <v>0</v>
      </c>
      <c r="C89" s="25">
        <f>IF('Topsis LP Auto'!M97="","",'Topsis LP Auto'!M97)</f>
        <v>0</v>
      </c>
      <c r="D89" s="25">
        <f>IF('Topsis LP Auto'!B97="","",'Topsis LP Auto'!B97)</f>
        <v>0</v>
      </c>
      <c r="E89" s="25">
        <f>IF('Topsis LP Auto'!C97="","",'Topsis LP Auto'!C97)</f>
        <v>0</v>
      </c>
      <c r="F89" s="25">
        <f>IF('Topsis LP Auto'!D97="","",'Topsis LP Auto'!D97)</f>
        <v>0</v>
      </c>
      <c r="G89" s="115">
        <f>IF('Topsis LP Auto'!E97="","",'Topsis LP Auto'!E97)</f>
        <v>0</v>
      </c>
      <c r="H89" s="115">
        <f>IF('Topsis LP Auto'!F97="","",'Topsis LP Auto'!F97)</f>
        <v>0</v>
      </c>
      <c r="I89" s="25">
        <f>IF('Topsis LP Auto'!G97="","",'Topsis LP Auto'!G97)</f>
        <v>0</v>
      </c>
      <c r="J89" s="25">
        <f>IF('Topsis LP Auto'!H97="","",'Topsis LP Auto'!H97)</f>
        <v>0</v>
      </c>
      <c r="K89" s="117">
        <f>IF('Topsis LP Auto'!I97="","",'Topsis LP Auto'!I97)</f>
        <v>0</v>
      </c>
      <c r="L89" s="117">
        <f>IF('Topsis LP Auto'!J97="","",'Topsis LP Auto'!J97)</f>
        <v>0</v>
      </c>
      <c r="M89">
        <f>'Topsis LP Auto'!K97</f>
        <v>0</v>
      </c>
    </row>
    <row r="90" spans="1:13" x14ac:dyDescent="0.25">
      <c r="A90">
        <f>'Input Screen'!A95</f>
        <v>0</v>
      </c>
      <c r="B90" s="25">
        <f>IF('Input Screen'!B95="","",'Input Screen'!B95)</f>
        <v>0</v>
      </c>
      <c r="C90" s="25">
        <f>IF('Topsis LP Auto'!M98="","",'Topsis LP Auto'!M98)</f>
        <v>0</v>
      </c>
      <c r="D90" s="25">
        <f>IF('Topsis LP Auto'!B98="","",'Topsis LP Auto'!B98)</f>
        <v>0</v>
      </c>
      <c r="E90" s="25">
        <f>IF('Topsis LP Auto'!C98="","",'Topsis LP Auto'!C98)</f>
        <v>0</v>
      </c>
      <c r="F90" s="25">
        <f>IF('Topsis LP Auto'!D98="","",'Topsis LP Auto'!D98)</f>
        <v>0</v>
      </c>
      <c r="G90" s="115">
        <f>IF('Topsis LP Auto'!E98="","",'Topsis LP Auto'!E98)</f>
        <v>0</v>
      </c>
      <c r="H90" s="115">
        <f>IF('Topsis LP Auto'!F98="","",'Topsis LP Auto'!F98)</f>
        <v>0</v>
      </c>
      <c r="I90" s="25">
        <f>IF('Topsis LP Auto'!G98="","",'Topsis LP Auto'!G98)</f>
        <v>0</v>
      </c>
      <c r="J90" s="25">
        <f>IF('Topsis LP Auto'!H98="","",'Topsis LP Auto'!H98)</f>
        <v>0</v>
      </c>
      <c r="K90" s="117">
        <f>IF('Topsis LP Auto'!I98="","",'Topsis LP Auto'!I98)</f>
        <v>0</v>
      </c>
      <c r="L90" s="117">
        <f>IF('Topsis LP Auto'!J98="","",'Topsis LP Auto'!J98)</f>
        <v>0</v>
      </c>
      <c r="M90">
        <f>'Topsis LP Auto'!K98</f>
        <v>0</v>
      </c>
    </row>
    <row r="91" spans="1:13" x14ac:dyDescent="0.25">
      <c r="A91">
        <f>'Input Screen'!A96</f>
        <v>0</v>
      </c>
      <c r="B91" s="25">
        <f>IF('Input Screen'!B96="","",'Input Screen'!B96)</f>
        <v>0</v>
      </c>
      <c r="C91" s="25">
        <f>IF('Topsis LP Auto'!M99="","",'Topsis LP Auto'!M99)</f>
        <v>0</v>
      </c>
      <c r="D91" s="25">
        <f>IF('Topsis LP Auto'!B99="","",'Topsis LP Auto'!B99)</f>
        <v>0</v>
      </c>
      <c r="E91" s="25">
        <f>IF('Topsis LP Auto'!C99="","",'Topsis LP Auto'!C99)</f>
        <v>0</v>
      </c>
      <c r="F91" s="25">
        <f>IF('Topsis LP Auto'!D99="","",'Topsis LP Auto'!D99)</f>
        <v>0</v>
      </c>
      <c r="G91" s="115">
        <f>IF('Topsis LP Auto'!E99="","",'Topsis LP Auto'!E99)</f>
        <v>0</v>
      </c>
      <c r="H91" s="115">
        <f>IF('Topsis LP Auto'!F99="","",'Topsis LP Auto'!F99)</f>
        <v>0</v>
      </c>
      <c r="I91" s="25">
        <f>IF('Topsis LP Auto'!G99="","",'Topsis LP Auto'!G99)</f>
        <v>0</v>
      </c>
      <c r="J91" s="25">
        <f>IF('Topsis LP Auto'!H99="","",'Topsis LP Auto'!H99)</f>
        <v>0</v>
      </c>
      <c r="K91" s="117">
        <f>IF('Topsis LP Auto'!I99="","",'Topsis LP Auto'!I99)</f>
        <v>0</v>
      </c>
      <c r="L91" s="117">
        <f>IF('Topsis LP Auto'!J99="","",'Topsis LP Auto'!J99)</f>
        <v>0</v>
      </c>
      <c r="M91">
        <f>'Topsis LP Auto'!K99</f>
        <v>0</v>
      </c>
    </row>
    <row r="92" spans="1:13" x14ac:dyDescent="0.25">
      <c r="A92">
        <f>'Input Screen'!A97</f>
        <v>0</v>
      </c>
      <c r="B92" s="25">
        <f>IF('Input Screen'!B97="","",'Input Screen'!B97)</f>
        <v>0</v>
      </c>
      <c r="C92" s="25">
        <f>IF('Topsis LP Auto'!M100="","",'Topsis LP Auto'!M100)</f>
        <v>0</v>
      </c>
      <c r="D92" s="25">
        <f>IF('Topsis LP Auto'!B100="","",'Topsis LP Auto'!B100)</f>
        <v>0</v>
      </c>
      <c r="E92" s="25">
        <f>IF('Topsis LP Auto'!C100="","",'Topsis LP Auto'!C100)</f>
        <v>0</v>
      </c>
      <c r="F92" s="25">
        <f>IF('Topsis LP Auto'!D100="","",'Topsis LP Auto'!D100)</f>
        <v>0</v>
      </c>
      <c r="G92" s="115">
        <f>IF('Topsis LP Auto'!E100="","",'Topsis LP Auto'!E100)</f>
        <v>0</v>
      </c>
      <c r="H92" s="115">
        <f>IF('Topsis LP Auto'!F100="","",'Topsis LP Auto'!F100)</f>
        <v>0</v>
      </c>
      <c r="I92" s="25">
        <f>IF('Topsis LP Auto'!G100="","",'Topsis LP Auto'!G100)</f>
        <v>0</v>
      </c>
      <c r="J92" s="25">
        <f>IF('Topsis LP Auto'!H100="","",'Topsis LP Auto'!H100)</f>
        <v>0</v>
      </c>
      <c r="K92" s="117">
        <f>IF('Topsis LP Auto'!I100="","",'Topsis LP Auto'!I100)</f>
        <v>0</v>
      </c>
      <c r="L92" s="117">
        <f>IF('Topsis LP Auto'!J100="","",'Topsis LP Auto'!J100)</f>
        <v>0</v>
      </c>
      <c r="M92">
        <f>'Topsis LP Auto'!K100</f>
        <v>0</v>
      </c>
    </row>
    <row r="93" spans="1:13" x14ac:dyDescent="0.25">
      <c r="A93">
        <f>'Input Screen'!A98</f>
        <v>0</v>
      </c>
      <c r="B93" s="25">
        <f>IF('Input Screen'!B98="","",'Input Screen'!B98)</f>
        <v>0</v>
      </c>
      <c r="C93" s="25">
        <f>IF('Topsis LP Auto'!M101="","",'Topsis LP Auto'!M101)</f>
        <v>0</v>
      </c>
      <c r="D93" s="25">
        <f>IF('Topsis LP Auto'!B101="","",'Topsis LP Auto'!B101)</f>
        <v>0</v>
      </c>
      <c r="E93" s="25">
        <f>IF('Topsis LP Auto'!C101="","",'Topsis LP Auto'!C101)</f>
        <v>0</v>
      </c>
      <c r="F93" s="25">
        <f>IF('Topsis LP Auto'!D101="","",'Topsis LP Auto'!D101)</f>
        <v>0</v>
      </c>
      <c r="G93" s="115">
        <f>IF('Topsis LP Auto'!E101="","",'Topsis LP Auto'!E101)</f>
        <v>0</v>
      </c>
      <c r="H93" s="115">
        <f>IF('Topsis LP Auto'!F101="","",'Topsis LP Auto'!F101)</f>
        <v>0</v>
      </c>
      <c r="I93" s="25">
        <f>IF('Topsis LP Auto'!G101="","",'Topsis LP Auto'!G101)</f>
        <v>0</v>
      </c>
      <c r="J93" s="25">
        <f>IF('Topsis LP Auto'!H101="","",'Topsis LP Auto'!H101)</f>
        <v>0</v>
      </c>
      <c r="K93" s="117">
        <f>IF('Topsis LP Auto'!I101="","",'Topsis LP Auto'!I101)</f>
        <v>0</v>
      </c>
      <c r="L93" s="117">
        <f>IF('Topsis LP Auto'!J101="","",'Topsis LP Auto'!J101)</f>
        <v>0</v>
      </c>
      <c r="M93">
        <f>'Topsis LP Auto'!K101</f>
        <v>0</v>
      </c>
    </row>
    <row r="94" spans="1:13" x14ac:dyDescent="0.25">
      <c r="A94">
        <f>'Input Screen'!A99</f>
        <v>0</v>
      </c>
      <c r="B94" s="25">
        <f>IF('Input Screen'!B99="","",'Input Screen'!B99)</f>
        <v>0</v>
      </c>
      <c r="C94" s="25">
        <f>IF('Topsis LP Auto'!M102="","",'Topsis LP Auto'!M102)</f>
        <v>0</v>
      </c>
      <c r="D94" s="25">
        <f>IF('Topsis LP Auto'!B102="","",'Topsis LP Auto'!B102)</f>
        <v>0</v>
      </c>
      <c r="E94" s="25">
        <f>IF('Topsis LP Auto'!C102="","",'Topsis LP Auto'!C102)</f>
        <v>0</v>
      </c>
      <c r="F94" s="25">
        <f>IF('Topsis LP Auto'!D102="","",'Topsis LP Auto'!D102)</f>
        <v>0</v>
      </c>
      <c r="G94" s="115">
        <f>IF('Topsis LP Auto'!E102="","",'Topsis LP Auto'!E102)</f>
        <v>0</v>
      </c>
      <c r="H94" s="115">
        <f>IF('Topsis LP Auto'!F102="","",'Topsis LP Auto'!F102)</f>
        <v>0</v>
      </c>
      <c r="I94" s="25">
        <f>IF('Topsis LP Auto'!G102="","",'Topsis LP Auto'!G102)</f>
        <v>0</v>
      </c>
      <c r="J94" s="25">
        <f>IF('Topsis LP Auto'!H102="","",'Topsis LP Auto'!H102)</f>
        <v>0</v>
      </c>
      <c r="K94" s="117">
        <f>IF('Topsis LP Auto'!I102="","",'Topsis LP Auto'!I102)</f>
        <v>0</v>
      </c>
      <c r="L94" s="117">
        <f>IF('Topsis LP Auto'!J102="","",'Topsis LP Auto'!J102)</f>
        <v>0</v>
      </c>
      <c r="M94">
        <f>'Topsis LP Auto'!K102</f>
        <v>0</v>
      </c>
    </row>
    <row r="95" spans="1:13" x14ac:dyDescent="0.25">
      <c r="A95">
        <f>'Input Screen'!A100</f>
        <v>0</v>
      </c>
      <c r="B95" s="25">
        <f>IF('Input Screen'!B100="","",'Input Screen'!B100)</f>
        <v>0</v>
      </c>
      <c r="C95" s="25">
        <f>IF('Topsis LP Auto'!M103="","",'Topsis LP Auto'!M103)</f>
        <v>0</v>
      </c>
      <c r="D95" s="25">
        <f>IF('Topsis LP Auto'!B103="","",'Topsis LP Auto'!B103)</f>
        <v>0</v>
      </c>
      <c r="E95" s="25">
        <f>IF('Topsis LP Auto'!C103="","",'Topsis LP Auto'!C103)</f>
        <v>0</v>
      </c>
      <c r="F95" s="25">
        <f>IF('Topsis LP Auto'!D103="","",'Topsis LP Auto'!D103)</f>
        <v>0</v>
      </c>
      <c r="G95" s="115">
        <f>IF('Topsis LP Auto'!E103="","",'Topsis LP Auto'!E103)</f>
        <v>0</v>
      </c>
      <c r="H95" s="115">
        <f>IF('Topsis LP Auto'!F103="","",'Topsis LP Auto'!F103)</f>
        <v>0</v>
      </c>
      <c r="I95" s="25">
        <f>IF('Topsis LP Auto'!G103="","",'Topsis LP Auto'!G103)</f>
        <v>0</v>
      </c>
      <c r="J95" s="25">
        <f>IF('Topsis LP Auto'!H103="","",'Topsis LP Auto'!H103)</f>
        <v>0</v>
      </c>
      <c r="K95" s="117">
        <f>IF('Topsis LP Auto'!I103="","",'Topsis LP Auto'!I103)</f>
        <v>0</v>
      </c>
      <c r="L95" s="117">
        <f>IF('Topsis LP Auto'!J103="","",'Topsis LP Auto'!J103)</f>
        <v>0</v>
      </c>
      <c r="M95">
        <f>'Topsis LP Auto'!K103</f>
        <v>0</v>
      </c>
    </row>
    <row r="96" spans="1:13" x14ac:dyDescent="0.25">
      <c r="A96">
        <f>'Input Screen'!A101</f>
        <v>0</v>
      </c>
      <c r="B96" s="25">
        <f>IF('Input Screen'!B101="","",'Input Screen'!B101)</f>
        <v>0</v>
      </c>
      <c r="C96" s="25">
        <f>IF('Topsis LP Auto'!M104="","",'Topsis LP Auto'!M104)</f>
        <v>0</v>
      </c>
      <c r="D96" s="25">
        <f>IF('Topsis LP Auto'!B104="","",'Topsis LP Auto'!B104)</f>
        <v>0</v>
      </c>
      <c r="E96" s="25">
        <f>IF('Topsis LP Auto'!C104="","",'Topsis LP Auto'!C104)</f>
        <v>0</v>
      </c>
      <c r="F96" s="25">
        <f>IF('Topsis LP Auto'!D104="","",'Topsis LP Auto'!D104)</f>
        <v>0</v>
      </c>
      <c r="G96" s="115">
        <f>IF('Topsis LP Auto'!E104="","",'Topsis LP Auto'!E104)</f>
        <v>0</v>
      </c>
      <c r="H96" s="115">
        <f>IF('Topsis LP Auto'!F104="","",'Topsis LP Auto'!F104)</f>
        <v>0</v>
      </c>
      <c r="I96" s="25">
        <f>IF('Topsis LP Auto'!G104="","",'Topsis LP Auto'!G104)</f>
        <v>0</v>
      </c>
      <c r="J96" s="25">
        <f>IF('Topsis LP Auto'!H104="","",'Topsis LP Auto'!H104)</f>
        <v>0</v>
      </c>
      <c r="K96" s="117">
        <f>IF('Topsis LP Auto'!I104="","",'Topsis LP Auto'!I104)</f>
        <v>0</v>
      </c>
      <c r="L96" s="117">
        <f>IF('Topsis LP Auto'!J104="","",'Topsis LP Auto'!J104)</f>
        <v>0</v>
      </c>
      <c r="M96">
        <f>'Topsis LP Auto'!K104</f>
        <v>0</v>
      </c>
    </row>
    <row r="97" spans="1:13" x14ac:dyDescent="0.25">
      <c r="A97">
        <f>'Input Screen'!A102</f>
        <v>0</v>
      </c>
      <c r="B97" s="25">
        <f>IF('Input Screen'!B102="","",'Input Screen'!B102)</f>
        <v>0</v>
      </c>
      <c r="C97" s="25">
        <f>IF('Topsis LP Auto'!M105="","",'Topsis LP Auto'!M105)</f>
        <v>0</v>
      </c>
      <c r="D97" s="25">
        <f>IF('Topsis LP Auto'!B105="","",'Topsis LP Auto'!B105)</f>
        <v>0</v>
      </c>
      <c r="E97" s="25">
        <f>IF('Topsis LP Auto'!C105="","",'Topsis LP Auto'!C105)</f>
        <v>0</v>
      </c>
      <c r="F97" s="25">
        <f>IF('Topsis LP Auto'!D105="","",'Topsis LP Auto'!D105)</f>
        <v>0</v>
      </c>
      <c r="G97" s="115">
        <f>IF('Topsis LP Auto'!E105="","",'Topsis LP Auto'!E105)</f>
        <v>0</v>
      </c>
      <c r="H97" s="115">
        <f>IF('Topsis LP Auto'!F105="","",'Topsis LP Auto'!F105)</f>
        <v>0</v>
      </c>
      <c r="I97" s="25">
        <f>IF('Topsis LP Auto'!G105="","",'Topsis LP Auto'!G105)</f>
        <v>0</v>
      </c>
      <c r="J97" s="25">
        <f>IF('Topsis LP Auto'!H105="","",'Topsis LP Auto'!H105)</f>
        <v>0</v>
      </c>
      <c r="K97" s="117">
        <f>IF('Topsis LP Auto'!I105="","",'Topsis LP Auto'!I105)</f>
        <v>0</v>
      </c>
      <c r="L97" s="117">
        <f>IF('Topsis LP Auto'!J105="","",'Topsis LP Auto'!J105)</f>
        <v>0</v>
      </c>
      <c r="M97">
        <f>'Topsis LP Auto'!K105</f>
        <v>0</v>
      </c>
    </row>
    <row r="98" spans="1:13" x14ac:dyDescent="0.25">
      <c r="A98">
        <f>'Input Screen'!A103</f>
        <v>0</v>
      </c>
      <c r="B98" s="25">
        <f>IF('Input Screen'!B103="","",'Input Screen'!B103)</f>
        <v>0</v>
      </c>
      <c r="C98" s="25">
        <f>IF('Topsis LP Auto'!M106="","",'Topsis LP Auto'!M106)</f>
        <v>0</v>
      </c>
      <c r="D98" s="25">
        <f>IF('Topsis LP Auto'!B106="","",'Topsis LP Auto'!B106)</f>
        <v>0</v>
      </c>
      <c r="E98" s="25">
        <f>IF('Topsis LP Auto'!C106="","",'Topsis LP Auto'!C106)</f>
        <v>0</v>
      </c>
      <c r="F98" s="25">
        <f>IF('Topsis LP Auto'!D106="","",'Topsis LP Auto'!D106)</f>
        <v>0</v>
      </c>
      <c r="G98" s="115">
        <f>IF('Topsis LP Auto'!E106="","",'Topsis LP Auto'!E106)</f>
        <v>0</v>
      </c>
      <c r="H98" s="115">
        <f>IF('Topsis LP Auto'!F106="","",'Topsis LP Auto'!F106)</f>
        <v>0</v>
      </c>
      <c r="I98" s="25">
        <f>IF('Topsis LP Auto'!G106="","",'Topsis LP Auto'!G106)</f>
        <v>0</v>
      </c>
      <c r="J98" s="25">
        <f>IF('Topsis LP Auto'!H106="","",'Topsis LP Auto'!H106)</f>
        <v>0</v>
      </c>
      <c r="K98" s="117">
        <f>IF('Topsis LP Auto'!I106="","",'Topsis LP Auto'!I106)</f>
        <v>0</v>
      </c>
      <c r="L98" s="117">
        <f>IF('Topsis LP Auto'!J106="","",'Topsis LP Auto'!J106)</f>
        <v>0</v>
      </c>
      <c r="M98">
        <f>'Topsis LP Auto'!K106</f>
        <v>0</v>
      </c>
    </row>
    <row r="99" spans="1:13" x14ac:dyDescent="0.25">
      <c r="A99">
        <f>'Input Screen'!A104</f>
        <v>0</v>
      </c>
      <c r="B99" s="25">
        <f>IF('Input Screen'!B104="","",'Input Screen'!B104)</f>
        <v>0</v>
      </c>
      <c r="C99" s="25">
        <f>IF('Topsis LP Auto'!M107="","",'Topsis LP Auto'!M107)</f>
        <v>0</v>
      </c>
      <c r="D99" s="25">
        <f>IF('Topsis LP Auto'!B107="","",'Topsis LP Auto'!B107)</f>
        <v>0</v>
      </c>
      <c r="E99" s="25">
        <f>IF('Topsis LP Auto'!C107="","",'Topsis LP Auto'!C107)</f>
        <v>0</v>
      </c>
      <c r="F99" s="25">
        <f>IF('Topsis LP Auto'!D107="","",'Topsis LP Auto'!D107)</f>
        <v>0</v>
      </c>
      <c r="G99" s="115">
        <f>IF('Topsis LP Auto'!E107="","",'Topsis LP Auto'!E107)</f>
        <v>0</v>
      </c>
      <c r="H99" s="115">
        <f>IF('Topsis LP Auto'!F107="","",'Topsis LP Auto'!F107)</f>
        <v>0</v>
      </c>
      <c r="I99" s="25">
        <f>IF('Topsis LP Auto'!G107="","",'Topsis LP Auto'!G107)</f>
        <v>0</v>
      </c>
      <c r="J99" s="25">
        <f>IF('Topsis LP Auto'!H107="","",'Topsis LP Auto'!H107)</f>
        <v>0</v>
      </c>
      <c r="K99" s="117">
        <f>IF('Topsis LP Auto'!I107="","",'Topsis LP Auto'!I107)</f>
        <v>0</v>
      </c>
      <c r="L99" s="117">
        <f>IF('Topsis LP Auto'!J107="","",'Topsis LP Auto'!J107)</f>
        <v>0</v>
      </c>
      <c r="M99">
        <f>'Topsis LP Auto'!K107</f>
        <v>0</v>
      </c>
    </row>
    <row r="100" spans="1:13" x14ac:dyDescent="0.25">
      <c r="A100">
        <f>'Input Screen'!A105</f>
        <v>0</v>
      </c>
      <c r="B100" s="25">
        <f>IF('Input Screen'!B105="","",'Input Screen'!B105)</f>
        <v>0</v>
      </c>
      <c r="C100" s="25">
        <f>IF('Topsis LP Auto'!M108="","",'Topsis LP Auto'!M108)</f>
        <v>0</v>
      </c>
      <c r="D100" s="25">
        <f>IF('Topsis LP Auto'!B108="","",'Topsis LP Auto'!B108)</f>
        <v>0</v>
      </c>
      <c r="E100" s="25">
        <f>IF('Topsis LP Auto'!C108="","",'Topsis LP Auto'!C108)</f>
        <v>0</v>
      </c>
      <c r="F100" s="25">
        <f>IF('Topsis LP Auto'!D108="","",'Topsis LP Auto'!D108)</f>
        <v>0</v>
      </c>
      <c r="G100" s="115">
        <f>IF('Topsis LP Auto'!E108="","",'Topsis LP Auto'!E108)</f>
        <v>0</v>
      </c>
      <c r="H100" s="115">
        <f>IF('Topsis LP Auto'!F108="","",'Topsis LP Auto'!F108)</f>
        <v>0</v>
      </c>
      <c r="I100" s="25">
        <f>IF('Topsis LP Auto'!G108="","",'Topsis LP Auto'!G108)</f>
        <v>0</v>
      </c>
      <c r="J100" s="25">
        <f>IF('Topsis LP Auto'!H108="","",'Topsis LP Auto'!H108)</f>
        <v>0</v>
      </c>
      <c r="K100" s="117">
        <f>IF('Topsis LP Auto'!I108="","",'Topsis LP Auto'!I108)</f>
        <v>0</v>
      </c>
      <c r="L100" s="117">
        <f>IF('Topsis LP Auto'!J108="","",'Topsis LP Auto'!J108)</f>
        <v>0</v>
      </c>
      <c r="M100">
        <f>'Topsis LP Auto'!K108</f>
        <v>0</v>
      </c>
    </row>
    <row r="101" spans="1:13" x14ac:dyDescent="0.25">
      <c r="A101">
        <f>'Input Screen'!A106</f>
        <v>0</v>
      </c>
      <c r="B101" s="25">
        <f>IF('Input Screen'!B106="","",'Input Screen'!B106)</f>
        <v>0</v>
      </c>
      <c r="C101" s="25">
        <f>IF('Topsis LP Auto'!M109="","",'Topsis LP Auto'!M109)</f>
        <v>0</v>
      </c>
      <c r="D101" s="25">
        <f>IF('Topsis LP Auto'!B109="","",'Topsis LP Auto'!B109)</f>
        <v>0</v>
      </c>
      <c r="E101" s="25">
        <f>IF('Topsis LP Auto'!C109="","",'Topsis LP Auto'!C109)</f>
        <v>0</v>
      </c>
      <c r="F101" s="25">
        <f>IF('Topsis LP Auto'!D109="","",'Topsis LP Auto'!D109)</f>
        <v>0</v>
      </c>
      <c r="G101" s="115">
        <f>IF('Topsis LP Auto'!E109="","",'Topsis LP Auto'!E109)</f>
        <v>0</v>
      </c>
      <c r="H101" s="115">
        <f>IF('Topsis LP Auto'!F109="","",'Topsis LP Auto'!F109)</f>
        <v>0</v>
      </c>
      <c r="I101" s="25">
        <f>IF('Topsis LP Auto'!G109="","",'Topsis LP Auto'!G109)</f>
        <v>0</v>
      </c>
      <c r="J101" s="25">
        <f>IF('Topsis LP Auto'!H109="","",'Topsis LP Auto'!H109)</f>
        <v>0</v>
      </c>
      <c r="K101" s="117">
        <f>IF('Topsis LP Auto'!I109="","",'Topsis LP Auto'!I109)</f>
        <v>0</v>
      </c>
      <c r="L101" s="117">
        <f>IF('Topsis LP Auto'!J109="","",'Topsis LP Auto'!J109)</f>
        <v>0</v>
      </c>
      <c r="M101">
        <f>'Topsis LP Auto'!K109</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D67"/>
  <sheetViews>
    <sheetView workbookViewId="0">
      <selection activeCell="D24" sqref="D24"/>
    </sheetView>
  </sheetViews>
  <sheetFormatPr defaultRowHeight="15" x14ac:dyDescent="0.25"/>
  <cols>
    <col min="1" max="1" width="19.140625" bestFit="1" customWidth="1"/>
    <col min="2" max="2" width="35.7109375" customWidth="1"/>
    <col min="3" max="3" width="42.28515625" customWidth="1"/>
    <col min="4" max="4" width="36.140625" bestFit="1" customWidth="1"/>
  </cols>
  <sheetData>
    <row r="2" spans="1:4" x14ac:dyDescent="0.25">
      <c r="A2" s="103" t="s">
        <v>142</v>
      </c>
      <c r="B2" t="s">
        <v>253</v>
      </c>
    </row>
    <row r="4" spans="1:4" x14ac:dyDescent="0.25">
      <c r="A4" s="103" t="s">
        <v>234</v>
      </c>
      <c r="B4" t="s">
        <v>236</v>
      </c>
      <c r="C4" t="s">
        <v>237</v>
      </c>
      <c r="D4" t="s">
        <v>251</v>
      </c>
    </row>
    <row r="5" spans="1:4" x14ac:dyDescent="0.25">
      <c r="A5" s="104">
        <v>0</v>
      </c>
      <c r="B5" s="105">
        <v>0</v>
      </c>
      <c r="C5" s="102">
        <v>0</v>
      </c>
      <c r="D5" s="105">
        <v>0</v>
      </c>
    </row>
    <row r="6" spans="1:4" x14ac:dyDescent="0.25">
      <c r="A6" s="104" t="s">
        <v>244</v>
      </c>
      <c r="B6" s="105">
        <v>17448635</v>
      </c>
      <c r="C6" s="102">
        <v>1</v>
      </c>
      <c r="D6" s="105">
        <v>17448635</v>
      </c>
    </row>
    <row r="7" spans="1:4" x14ac:dyDescent="0.25">
      <c r="A7" s="104" t="s">
        <v>211</v>
      </c>
      <c r="B7" s="105">
        <v>279614</v>
      </c>
      <c r="C7" s="102">
        <v>1</v>
      </c>
      <c r="D7" s="105">
        <v>279614</v>
      </c>
    </row>
    <row r="8" spans="1:4" x14ac:dyDescent="0.25">
      <c r="A8" s="104" t="s">
        <v>148</v>
      </c>
      <c r="B8" s="105">
        <v>2331452</v>
      </c>
      <c r="C8" s="102">
        <v>1</v>
      </c>
      <c r="D8" s="105">
        <v>2331452</v>
      </c>
    </row>
    <row r="9" spans="1:4" x14ac:dyDescent="0.25">
      <c r="A9" s="104" t="s">
        <v>150</v>
      </c>
      <c r="B9" s="105">
        <v>2495014</v>
      </c>
      <c r="C9" s="102">
        <v>1</v>
      </c>
      <c r="D9" s="105">
        <v>2495014</v>
      </c>
    </row>
    <row r="10" spans="1:4" x14ac:dyDescent="0.25">
      <c r="A10" s="104" t="s">
        <v>152</v>
      </c>
      <c r="B10" s="105">
        <v>0</v>
      </c>
      <c r="C10" s="102">
        <v>0</v>
      </c>
      <c r="D10" s="105">
        <v>11377737</v>
      </c>
    </row>
    <row r="11" spans="1:4" x14ac:dyDescent="0.25">
      <c r="A11" s="104" t="s">
        <v>154</v>
      </c>
      <c r="B11" s="105">
        <v>2658387</v>
      </c>
      <c r="C11" s="102">
        <v>1</v>
      </c>
      <c r="D11" s="105">
        <v>2658387</v>
      </c>
    </row>
    <row r="12" spans="1:4" x14ac:dyDescent="0.25">
      <c r="A12" s="104" t="s">
        <v>156</v>
      </c>
      <c r="B12" s="105">
        <v>714037</v>
      </c>
      <c r="C12" s="102">
        <v>1</v>
      </c>
      <c r="D12" s="105">
        <v>714037</v>
      </c>
    </row>
    <row r="13" spans="1:4" x14ac:dyDescent="0.25">
      <c r="A13" s="104" t="s">
        <v>157</v>
      </c>
      <c r="B13" s="105">
        <v>2468544</v>
      </c>
      <c r="C13" s="102">
        <v>1</v>
      </c>
      <c r="D13" s="105">
        <v>2468544</v>
      </c>
    </row>
    <row r="14" spans="1:4" x14ac:dyDescent="0.25">
      <c r="A14" s="104" t="s">
        <v>158</v>
      </c>
      <c r="B14" s="105">
        <v>4229819</v>
      </c>
      <c r="C14" s="102">
        <v>1</v>
      </c>
      <c r="D14" s="105">
        <v>4229819</v>
      </c>
    </row>
    <row r="15" spans="1:4" x14ac:dyDescent="0.25">
      <c r="A15" s="104" t="s">
        <v>159</v>
      </c>
      <c r="B15" s="105">
        <v>1088538</v>
      </c>
      <c r="C15" s="102">
        <v>1</v>
      </c>
      <c r="D15" s="105">
        <v>1088538</v>
      </c>
    </row>
    <row r="16" spans="1:4" x14ac:dyDescent="0.25">
      <c r="A16" s="104" t="s">
        <v>161</v>
      </c>
      <c r="B16" s="105">
        <v>0</v>
      </c>
      <c r="C16" s="102">
        <v>0</v>
      </c>
      <c r="D16" s="105">
        <v>18474914</v>
      </c>
    </row>
    <row r="17" spans="1:4" x14ac:dyDescent="0.25">
      <c r="A17" s="104" t="s">
        <v>163</v>
      </c>
      <c r="B17" s="105">
        <v>6112271</v>
      </c>
      <c r="C17" s="102">
        <v>1</v>
      </c>
      <c r="D17" s="105">
        <v>6112271</v>
      </c>
    </row>
    <row r="18" spans="1:4" x14ac:dyDescent="0.25">
      <c r="A18" s="104" t="s">
        <v>165</v>
      </c>
      <c r="B18" s="105">
        <v>1269732</v>
      </c>
      <c r="C18" s="102">
        <v>1</v>
      </c>
      <c r="D18" s="105">
        <v>1269732</v>
      </c>
    </row>
    <row r="19" spans="1:4" x14ac:dyDescent="0.25">
      <c r="A19" s="104" t="s">
        <v>167</v>
      </c>
      <c r="B19" s="105">
        <v>0</v>
      </c>
      <c r="C19" s="102">
        <v>0</v>
      </c>
      <c r="D19" s="105">
        <v>12465730</v>
      </c>
    </row>
    <row r="20" spans="1:4" x14ac:dyDescent="0.25">
      <c r="A20" s="104" t="s">
        <v>169</v>
      </c>
      <c r="B20" s="105">
        <v>0</v>
      </c>
      <c r="C20" s="102">
        <v>0</v>
      </c>
      <c r="D20" s="105">
        <v>24959116</v>
      </c>
    </row>
    <row r="21" spans="1:4" x14ac:dyDescent="0.25">
      <c r="A21" s="104" t="s">
        <v>172</v>
      </c>
      <c r="B21" s="105">
        <v>0</v>
      </c>
      <c r="C21" s="102">
        <v>0</v>
      </c>
      <c r="D21" s="105">
        <v>12582033</v>
      </c>
    </row>
    <row r="22" spans="1:4" x14ac:dyDescent="0.25">
      <c r="A22" s="104" t="s">
        <v>171</v>
      </c>
      <c r="B22" s="105">
        <v>17848520</v>
      </c>
      <c r="C22" s="102">
        <v>1</v>
      </c>
      <c r="D22" s="105">
        <v>17848520</v>
      </c>
    </row>
    <row r="23" spans="1:4" x14ac:dyDescent="0.25">
      <c r="A23" s="104" t="s">
        <v>233</v>
      </c>
      <c r="B23" s="105">
        <v>30171870</v>
      </c>
      <c r="C23" s="102">
        <v>1</v>
      </c>
      <c r="D23" s="105">
        <v>30171870</v>
      </c>
    </row>
    <row r="24" spans="1:4" x14ac:dyDescent="0.25">
      <c r="A24" s="104" t="s">
        <v>173</v>
      </c>
      <c r="B24" s="105">
        <v>0</v>
      </c>
      <c r="C24" s="102">
        <v>0</v>
      </c>
      <c r="D24" s="105">
        <v>16781395</v>
      </c>
    </row>
    <row r="25" spans="1:4" x14ac:dyDescent="0.25">
      <c r="A25" s="104" t="s">
        <v>174</v>
      </c>
      <c r="B25" s="105">
        <v>97459</v>
      </c>
      <c r="C25" s="102">
        <v>1</v>
      </c>
      <c r="D25" s="105">
        <v>97459</v>
      </c>
    </row>
    <row r="26" spans="1:4" x14ac:dyDescent="0.25">
      <c r="A26" s="104" t="s">
        <v>196</v>
      </c>
      <c r="B26" s="105">
        <v>8805718</v>
      </c>
      <c r="C26" s="102">
        <v>1</v>
      </c>
      <c r="D26" s="105">
        <v>8805718</v>
      </c>
    </row>
    <row r="27" spans="1:4" x14ac:dyDescent="0.25">
      <c r="A27" s="104" t="s">
        <v>176</v>
      </c>
      <c r="B27" s="105">
        <v>0</v>
      </c>
      <c r="C27" s="102">
        <v>0</v>
      </c>
      <c r="D27" s="105">
        <v>35198197</v>
      </c>
    </row>
    <row r="28" spans="1:4" x14ac:dyDescent="0.25">
      <c r="A28" s="104" t="s">
        <v>177</v>
      </c>
      <c r="B28" s="105">
        <v>2907354</v>
      </c>
      <c r="C28" s="102">
        <v>1</v>
      </c>
      <c r="D28" s="105">
        <v>2907354</v>
      </c>
    </row>
    <row r="29" spans="1:4" x14ac:dyDescent="0.25">
      <c r="A29" s="104" t="s">
        <v>181</v>
      </c>
      <c r="B29" s="105">
        <v>116126561</v>
      </c>
      <c r="C29" s="102">
        <v>1</v>
      </c>
      <c r="D29" s="105">
        <v>116126561</v>
      </c>
    </row>
    <row r="30" spans="1:4" x14ac:dyDescent="0.25">
      <c r="A30" s="104" t="s">
        <v>186</v>
      </c>
      <c r="B30" s="105">
        <v>39388030</v>
      </c>
      <c r="C30" s="102">
        <v>1</v>
      </c>
      <c r="D30" s="105">
        <v>39388030</v>
      </c>
    </row>
    <row r="31" spans="1:4" x14ac:dyDescent="0.25">
      <c r="A31" s="104" t="s">
        <v>179</v>
      </c>
      <c r="B31" s="105">
        <v>1844543</v>
      </c>
      <c r="C31" s="102">
        <v>1</v>
      </c>
      <c r="D31" s="105">
        <v>1844543</v>
      </c>
    </row>
    <row r="32" spans="1:4" x14ac:dyDescent="0.25">
      <c r="A32" s="104" t="s">
        <v>182</v>
      </c>
      <c r="B32" s="105">
        <v>2195832</v>
      </c>
      <c r="C32" s="102">
        <v>1</v>
      </c>
      <c r="D32" s="105">
        <v>2195832</v>
      </c>
    </row>
    <row r="33" spans="1:4" x14ac:dyDescent="0.25">
      <c r="A33" s="104" t="s">
        <v>184</v>
      </c>
      <c r="B33" s="105">
        <v>25617231</v>
      </c>
      <c r="C33" s="102">
        <v>1</v>
      </c>
      <c r="D33" s="105">
        <v>25617231</v>
      </c>
    </row>
    <row r="34" spans="1:4" x14ac:dyDescent="0.25">
      <c r="A34" s="104" t="s">
        <v>187</v>
      </c>
      <c r="B34" s="105">
        <v>930266</v>
      </c>
      <c r="C34" s="102">
        <v>1</v>
      </c>
      <c r="D34" s="105">
        <v>930266</v>
      </c>
    </row>
    <row r="35" spans="1:4" x14ac:dyDescent="0.25">
      <c r="A35" s="104" t="s">
        <v>189</v>
      </c>
      <c r="B35" s="105">
        <v>6055857</v>
      </c>
      <c r="C35" s="102">
        <v>1</v>
      </c>
      <c r="D35" s="105">
        <v>6055857</v>
      </c>
    </row>
    <row r="36" spans="1:4" x14ac:dyDescent="0.25">
      <c r="A36" s="104" t="s">
        <v>190</v>
      </c>
      <c r="B36" s="105">
        <v>6646866</v>
      </c>
      <c r="C36" s="102">
        <v>1</v>
      </c>
      <c r="D36" s="105">
        <v>6646866</v>
      </c>
    </row>
    <row r="37" spans="1:4" x14ac:dyDescent="0.25">
      <c r="A37" s="104" t="s">
        <v>192</v>
      </c>
      <c r="B37" s="105">
        <v>3875013</v>
      </c>
      <c r="C37" s="102">
        <v>1</v>
      </c>
      <c r="D37" s="105">
        <v>3875013</v>
      </c>
    </row>
    <row r="38" spans="1:4" x14ac:dyDescent="0.25">
      <c r="A38" s="104" t="s">
        <v>194</v>
      </c>
      <c r="B38" s="105">
        <v>8436895</v>
      </c>
      <c r="C38" s="102">
        <v>1</v>
      </c>
      <c r="D38" s="105">
        <v>8436895</v>
      </c>
    </row>
    <row r="39" spans="1:4" x14ac:dyDescent="0.25">
      <c r="A39" s="104" t="s">
        <v>197</v>
      </c>
      <c r="B39" s="105">
        <v>4848082</v>
      </c>
      <c r="C39" s="102">
        <v>1</v>
      </c>
      <c r="D39" s="105">
        <v>4848082</v>
      </c>
    </row>
    <row r="40" spans="1:4" x14ac:dyDescent="0.25">
      <c r="A40" s="104" t="s">
        <v>198</v>
      </c>
      <c r="B40" s="105">
        <v>2693908</v>
      </c>
      <c r="C40" s="102">
        <v>1</v>
      </c>
      <c r="D40" s="105">
        <v>2693908</v>
      </c>
    </row>
    <row r="41" spans="1:4" x14ac:dyDescent="0.25">
      <c r="A41" s="104" t="s">
        <v>199</v>
      </c>
      <c r="B41" s="105">
        <v>395788</v>
      </c>
      <c r="C41" s="102">
        <v>1</v>
      </c>
      <c r="D41" s="105">
        <v>395788</v>
      </c>
    </row>
    <row r="42" spans="1:4" x14ac:dyDescent="0.25">
      <c r="A42" s="104" t="s">
        <v>200</v>
      </c>
      <c r="B42" s="105">
        <v>20198975</v>
      </c>
      <c r="C42" s="102">
        <v>1</v>
      </c>
      <c r="D42" s="105">
        <v>20198975</v>
      </c>
    </row>
    <row r="43" spans="1:4" x14ac:dyDescent="0.25">
      <c r="A43" s="104" t="s">
        <v>201</v>
      </c>
      <c r="B43" s="105">
        <v>364681</v>
      </c>
      <c r="C43" s="102">
        <v>1</v>
      </c>
      <c r="D43" s="105">
        <v>364681</v>
      </c>
    </row>
    <row r="44" spans="1:4" x14ac:dyDescent="0.25">
      <c r="A44" s="104" t="s">
        <v>202</v>
      </c>
      <c r="B44" s="105">
        <v>339533</v>
      </c>
      <c r="C44" s="102">
        <v>1</v>
      </c>
      <c r="D44" s="105">
        <v>339533</v>
      </c>
    </row>
    <row r="45" spans="1:4" x14ac:dyDescent="0.25">
      <c r="A45" s="104" t="s">
        <v>203</v>
      </c>
      <c r="B45" s="105">
        <v>6824420</v>
      </c>
      <c r="C45" s="102">
        <v>1</v>
      </c>
      <c r="D45" s="105">
        <v>6824420</v>
      </c>
    </row>
    <row r="46" spans="1:4" x14ac:dyDescent="0.25">
      <c r="A46" s="104" t="s">
        <v>205</v>
      </c>
      <c r="B46" s="105">
        <v>9443241</v>
      </c>
      <c r="C46" s="102">
        <v>1</v>
      </c>
      <c r="D46" s="105">
        <v>9443241</v>
      </c>
    </row>
    <row r="47" spans="1:4" x14ac:dyDescent="0.25">
      <c r="A47" s="104" t="s">
        <v>206</v>
      </c>
      <c r="B47" s="105">
        <v>0</v>
      </c>
      <c r="C47" s="102">
        <v>0</v>
      </c>
      <c r="D47" s="105">
        <v>15564781</v>
      </c>
    </row>
    <row r="48" spans="1:4" x14ac:dyDescent="0.25">
      <c r="A48" s="104" t="s">
        <v>208</v>
      </c>
      <c r="B48" s="105">
        <v>14874369</v>
      </c>
      <c r="C48" s="102">
        <v>1</v>
      </c>
      <c r="D48" s="105">
        <v>14874369</v>
      </c>
    </row>
    <row r="49" spans="1:4" x14ac:dyDescent="0.25">
      <c r="A49" s="104" t="s">
        <v>209</v>
      </c>
      <c r="B49" s="105">
        <v>7063831</v>
      </c>
      <c r="C49" s="102">
        <v>1</v>
      </c>
      <c r="D49" s="105">
        <v>7063831</v>
      </c>
    </row>
    <row r="50" spans="1:4" x14ac:dyDescent="0.25">
      <c r="A50" s="104" t="s">
        <v>212</v>
      </c>
      <c r="B50" s="105">
        <v>0</v>
      </c>
      <c r="C50" s="102">
        <v>0</v>
      </c>
      <c r="D50" s="105">
        <v>19206474</v>
      </c>
    </row>
    <row r="51" spans="1:4" x14ac:dyDescent="0.25">
      <c r="A51" s="104" t="s">
        <v>213</v>
      </c>
      <c r="B51" s="105">
        <v>9115039</v>
      </c>
      <c r="C51" s="102">
        <v>1</v>
      </c>
      <c r="D51" s="105">
        <v>9115039</v>
      </c>
    </row>
    <row r="52" spans="1:4" x14ac:dyDescent="0.25">
      <c r="A52" s="104" t="s">
        <v>214</v>
      </c>
      <c r="B52" s="105">
        <v>2965185</v>
      </c>
      <c r="C52" s="102">
        <v>1</v>
      </c>
      <c r="D52" s="105">
        <v>2965185</v>
      </c>
    </row>
    <row r="53" spans="1:4" x14ac:dyDescent="0.25">
      <c r="A53" s="104" t="s">
        <v>215</v>
      </c>
      <c r="B53" s="105">
        <v>8816865</v>
      </c>
      <c r="C53" s="102">
        <v>1</v>
      </c>
      <c r="D53" s="105">
        <v>8816865</v>
      </c>
    </row>
    <row r="54" spans="1:4" x14ac:dyDescent="0.25">
      <c r="A54" s="104" t="s">
        <v>216</v>
      </c>
      <c r="B54" s="105">
        <v>29093054</v>
      </c>
      <c r="C54" s="102">
        <v>0.92126631339437604</v>
      </c>
      <c r="D54" s="105">
        <v>31579418</v>
      </c>
    </row>
    <row r="55" spans="1:4" x14ac:dyDescent="0.25">
      <c r="A55" s="104" t="s">
        <v>217</v>
      </c>
      <c r="B55" s="105">
        <v>2526446</v>
      </c>
      <c r="C55" s="102">
        <v>1</v>
      </c>
      <c r="D55" s="105">
        <v>2526446</v>
      </c>
    </row>
    <row r="56" spans="1:4" x14ac:dyDescent="0.25">
      <c r="A56" s="104" t="s">
        <v>218</v>
      </c>
      <c r="B56" s="105">
        <v>0</v>
      </c>
      <c r="C56" s="102">
        <v>0</v>
      </c>
      <c r="D56" s="105">
        <v>20198975</v>
      </c>
    </row>
    <row r="57" spans="1:4" x14ac:dyDescent="0.25">
      <c r="A57" s="104" t="s">
        <v>220</v>
      </c>
      <c r="B57" s="105">
        <v>0</v>
      </c>
      <c r="C57" s="102">
        <v>0</v>
      </c>
      <c r="D57" s="105">
        <v>13386256</v>
      </c>
    </row>
    <row r="58" spans="1:4" x14ac:dyDescent="0.25">
      <c r="A58" s="104" t="s">
        <v>222</v>
      </c>
      <c r="B58" s="105">
        <v>4464760</v>
      </c>
      <c r="C58" s="102">
        <v>1</v>
      </c>
      <c r="D58" s="105">
        <v>4464760</v>
      </c>
    </row>
    <row r="59" spans="1:4" x14ac:dyDescent="0.25">
      <c r="A59" s="104" t="s">
        <v>224</v>
      </c>
      <c r="B59" s="105">
        <v>8568662</v>
      </c>
      <c r="C59" s="102">
        <v>1</v>
      </c>
      <c r="D59" s="105">
        <v>8568662</v>
      </c>
    </row>
    <row r="60" spans="1:4" x14ac:dyDescent="0.25">
      <c r="A60" s="104" t="s">
        <v>226</v>
      </c>
      <c r="B60" s="105">
        <v>3515054</v>
      </c>
      <c r="C60" s="102">
        <v>1</v>
      </c>
      <c r="D60" s="105">
        <v>3515054</v>
      </c>
    </row>
    <row r="61" spans="1:4" x14ac:dyDescent="0.25">
      <c r="A61" s="104" t="s">
        <v>227</v>
      </c>
      <c r="B61" s="105">
        <v>1579116</v>
      </c>
      <c r="C61" s="102">
        <v>1</v>
      </c>
      <c r="D61" s="105">
        <v>1579116</v>
      </c>
    </row>
    <row r="62" spans="1:4" x14ac:dyDescent="0.25">
      <c r="A62" s="104" t="s">
        <v>228</v>
      </c>
      <c r="B62" s="105">
        <v>6580030</v>
      </c>
      <c r="C62" s="102">
        <v>1</v>
      </c>
      <c r="D62" s="105">
        <v>6580030</v>
      </c>
    </row>
    <row r="63" spans="1:4" x14ac:dyDescent="0.25">
      <c r="A63" s="104" t="s">
        <v>229</v>
      </c>
      <c r="B63" s="105">
        <v>93980346</v>
      </c>
      <c r="C63" s="102">
        <v>1</v>
      </c>
      <c r="D63" s="105">
        <v>93980346</v>
      </c>
    </row>
    <row r="64" spans="1:4" x14ac:dyDescent="0.25">
      <c r="A64" s="104" t="s">
        <v>230</v>
      </c>
      <c r="B64" s="105">
        <v>0</v>
      </c>
      <c r="C64" s="102">
        <v>0</v>
      </c>
      <c r="D64" s="105">
        <v>156388849</v>
      </c>
    </row>
    <row r="65" spans="1:4" x14ac:dyDescent="0.25">
      <c r="A65" s="104" t="s">
        <v>231</v>
      </c>
      <c r="B65" s="105">
        <v>5954620</v>
      </c>
      <c r="C65" s="102">
        <v>1</v>
      </c>
      <c r="D65" s="105">
        <v>5954620</v>
      </c>
    </row>
    <row r="66" spans="1:4" x14ac:dyDescent="0.25">
      <c r="A66" s="104" t="s">
        <v>252</v>
      </c>
      <c r="B66" s="105"/>
      <c r="C66" s="102"/>
      <c r="D66" s="105"/>
    </row>
    <row r="67" spans="1:4" x14ac:dyDescent="0.25">
      <c r="A67" s="104" t="s">
        <v>235</v>
      </c>
      <c r="B67" s="105">
        <v>556250063</v>
      </c>
      <c r="C67" s="102">
        <v>47.921266313394376</v>
      </c>
      <c r="D67" s="105">
        <v>915320884</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D67"/>
  <sheetViews>
    <sheetView workbookViewId="0">
      <selection activeCell="B13" sqref="B13"/>
    </sheetView>
  </sheetViews>
  <sheetFormatPr defaultRowHeight="15" x14ac:dyDescent="0.25"/>
  <cols>
    <col min="1" max="1" width="19.140625" bestFit="1" customWidth="1"/>
    <col min="2" max="2" width="34" customWidth="1"/>
    <col min="3" max="3" width="34.42578125" customWidth="1"/>
    <col min="4" max="4" width="31.140625" bestFit="1" customWidth="1"/>
    <col min="5" max="5" width="29.28515625" bestFit="1" customWidth="1"/>
  </cols>
  <sheetData>
    <row r="2" spans="1:4" x14ac:dyDescent="0.25">
      <c r="A2" s="103" t="s">
        <v>142</v>
      </c>
      <c r="B2" t="s">
        <v>253</v>
      </c>
    </row>
    <row r="4" spans="1:4" x14ac:dyDescent="0.25">
      <c r="A4" s="103" t="s">
        <v>234</v>
      </c>
      <c r="B4" t="s">
        <v>239</v>
      </c>
      <c r="C4" t="s">
        <v>240</v>
      </c>
      <c r="D4" t="s">
        <v>241</v>
      </c>
    </row>
    <row r="5" spans="1:4" x14ac:dyDescent="0.25">
      <c r="A5" s="104" t="s">
        <v>244</v>
      </c>
      <c r="B5" s="105">
        <v>17448635</v>
      </c>
      <c r="C5" s="105">
        <v>59858099</v>
      </c>
      <c r="D5" s="102">
        <v>0.29149998565774699</v>
      </c>
    </row>
    <row r="6" spans="1:4" x14ac:dyDescent="0.25">
      <c r="A6" s="104" t="s">
        <v>211</v>
      </c>
      <c r="B6" s="105">
        <v>956928</v>
      </c>
      <c r="C6" s="105">
        <v>956928</v>
      </c>
      <c r="D6" s="102">
        <v>1</v>
      </c>
    </row>
    <row r="7" spans="1:4" x14ac:dyDescent="0.25">
      <c r="A7" s="104" t="s">
        <v>148</v>
      </c>
      <c r="B7" s="105">
        <v>2331452</v>
      </c>
      <c r="C7" s="105">
        <v>25648543</v>
      </c>
      <c r="D7" s="102">
        <v>9.0899978217086244E-2</v>
      </c>
    </row>
    <row r="8" spans="1:4" x14ac:dyDescent="0.25">
      <c r="A8" s="104" t="s">
        <v>150</v>
      </c>
      <c r="B8" s="105">
        <v>2495014</v>
      </c>
      <c r="C8" s="105">
        <v>26514501</v>
      </c>
      <c r="D8" s="102">
        <v>9.4099979479153689E-2</v>
      </c>
    </row>
    <row r="9" spans="1:4" x14ac:dyDescent="0.25">
      <c r="A9" s="104" t="s">
        <v>152</v>
      </c>
      <c r="B9" s="105">
        <v>0</v>
      </c>
      <c r="C9" s="105">
        <v>100421335.00000001</v>
      </c>
      <c r="D9" s="102">
        <v>0</v>
      </c>
    </row>
    <row r="10" spans="1:4" x14ac:dyDescent="0.25">
      <c r="A10" s="104" t="s">
        <v>154</v>
      </c>
      <c r="B10" s="105">
        <v>2658387</v>
      </c>
      <c r="C10" s="105">
        <v>12527746</v>
      </c>
      <c r="D10" s="102">
        <v>0.21219994402823938</v>
      </c>
    </row>
    <row r="11" spans="1:4" x14ac:dyDescent="0.25">
      <c r="A11" s="104" t="s">
        <v>156</v>
      </c>
      <c r="B11" s="105">
        <v>714037</v>
      </c>
      <c r="C11" s="105">
        <v>6508999</v>
      </c>
      <c r="D11" s="102">
        <v>0.10969997076355366</v>
      </c>
    </row>
    <row r="12" spans="1:4" x14ac:dyDescent="0.25">
      <c r="A12" s="104" t="s">
        <v>157</v>
      </c>
      <c r="B12" s="105">
        <v>2468544</v>
      </c>
      <c r="C12" s="105">
        <v>27126867</v>
      </c>
      <c r="D12" s="102">
        <v>9.0999966933151544E-2</v>
      </c>
    </row>
    <row r="13" spans="1:4" x14ac:dyDescent="0.25">
      <c r="A13" s="104" t="s">
        <v>158</v>
      </c>
      <c r="B13" s="105">
        <v>4229819</v>
      </c>
      <c r="C13" s="105">
        <v>40671344</v>
      </c>
      <c r="D13" s="102">
        <v>0.10399998092022728</v>
      </c>
    </row>
    <row r="14" spans="1:4" x14ac:dyDescent="0.25">
      <c r="A14" s="104" t="s">
        <v>159</v>
      </c>
      <c r="B14" s="105">
        <v>1088538</v>
      </c>
      <c r="C14" s="105">
        <v>8379815.9999999991</v>
      </c>
      <c r="D14" s="102">
        <v>0.12989998825749874</v>
      </c>
    </row>
    <row r="15" spans="1:4" x14ac:dyDescent="0.25">
      <c r="A15" s="104" t="s">
        <v>161</v>
      </c>
      <c r="B15" s="105">
        <v>0</v>
      </c>
      <c r="C15" s="105">
        <v>46819348</v>
      </c>
      <c r="D15" s="102">
        <v>0</v>
      </c>
    </row>
    <row r="16" spans="1:4" x14ac:dyDescent="0.25">
      <c r="A16" s="104" t="s">
        <v>163</v>
      </c>
      <c r="B16" s="105">
        <v>6112271</v>
      </c>
      <c r="C16" s="105">
        <v>13692364</v>
      </c>
      <c r="D16" s="102">
        <v>0.4463999788495252</v>
      </c>
    </row>
    <row r="17" spans="1:4" x14ac:dyDescent="0.25">
      <c r="A17" s="104" t="s">
        <v>165</v>
      </c>
      <c r="B17" s="105">
        <v>3803873</v>
      </c>
      <c r="C17" s="105">
        <v>3803873</v>
      </c>
      <c r="D17" s="102">
        <v>1</v>
      </c>
    </row>
    <row r="18" spans="1:4" x14ac:dyDescent="0.25">
      <c r="A18" s="104" t="s">
        <v>167</v>
      </c>
      <c r="B18" s="105">
        <v>0</v>
      </c>
      <c r="C18" s="105">
        <v>94080988</v>
      </c>
      <c r="D18" s="102">
        <v>0</v>
      </c>
    </row>
    <row r="19" spans="1:4" x14ac:dyDescent="0.25">
      <c r="A19" s="104" t="s">
        <v>169</v>
      </c>
      <c r="B19" s="105">
        <v>0</v>
      </c>
      <c r="C19" s="105">
        <v>45813356</v>
      </c>
      <c r="D19" s="102">
        <v>0</v>
      </c>
    </row>
    <row r="20" spans="1:4" x14ac:dyDescent="0.25">
      <c r="A20" s="104" t="s">
        <v>172</v>
      </c>
      <c r="B20" s="105">
        <v>0</v>
      </c>
      <c r="C20" s="105">
        <v>139335915</v>
      </c>
      <c r="D20" s="102">
        <v>0</v>
      </c>
    </row>
    <row r="21" spans="1:4" x14ac:dyDescent="0.25">
      <c r="A21" s="104" t="s">
        <v>171</v>
      </c>
      <c r="B21" s="105">
        <v>17848520</v>
      </c>
      <c r="C21" s="105">
        <v>54733275</v>
      </c>
      <c r="D21" s="102">
        <v>0.32609998214066305</v>
      </c>
    </row>
    <row r="22" spans="1:4" x14ac:dyDescent="0.25">
      <c r="A22" s="104" t="s">
        <v>233</v>
      </c>
      <c r="B22" s="105">
        <v>30171870</v>
      </c>
      <c r="C22" s="105">
        <v>60259377</v>
      </c>
      <c r="D22" s="102">
        <v>0.50069999893958417</v>
      </c>
    </row>
    <row r="23" spans="1:4" x14ac:dyDescent="0.25">
      <c r="A23" s="104" t="s">
        <v>173</v>
      </c>
      <c r="B23" s="105">
        <v>0</v>
      </c>
      <c r="C23" s="105">
        <v>90906802.000000015</v>
      </c>
      <c r="D23" s="102">
        <v>0</v>
      </c>
    </row>
    <row r="24" spans="1:4" x14ac:dyDescent="0.25">
      <c r="A24" s="104" t="s">
        <v>174</v>
      </c>
      <c r="B24" s="105">
        <v>944372</v>
      </c>
      <c r="C24" s="105">
        <v>944372</v>
      </c>
      <c r="D24" s="102">
        <v>1</v>
      </c>
    </row>
    <row r="25" spans="1:4" x14ac:dyDescent="0.25">
      <c r="A25" s="104" t="s">
        <v>196</v>
      </c>
      <c r="B25" s="105">
        <v>8805718</v>
      </c>
      <c r="C25" s="105">
        <v>24446749</v>
      </c>
      <c r="D25" s="102">
        <v>0.3601999595119989</v>
      </c>
    </row>
    <row r="26" spans="1:4" x14ac:dyDescent="0.25">
      <c r="A26" s="104" t="s">
        <v>176</v>
      </c>
      <c r="B26" s="105">
        <v>0</v>
      </c>
      <c r="C26" s="105">
        <v>153838276</v>
      </c>
      <c r="D26" s="102">
        <v>0</v>
      </c>
    </row>
    <row r="27" spans="1:4" x14ac:dyDescent="0.25">
      <c r="A27" s="104" t="s">
        <v>177</v>
      </c>
      <c r="B27" s="105">
        <v>2907354</v>
      </c>
      <c r="C27" s="105">
        <v>9442528</v>
      </c>
      <c r="D27" s="102">
        <v>0.30789996068849357</v>
      </c>
    </row>
    <row r="28" spans="1:4" x14ac:dyDescent="0.25">
      <c r="A28" s="104" t="s">
        <v>181</v>
      </c>
      <c r="B28" s="105">
        <v>116126561</v>
      </c>
      <c r="C28" s="105">
        <v>329437054</v>
      </c>
      <c r="D28" s="102">
        <v>0.35249999837601753</v>
      </c>
    </row>
    <row r="29" spans="1:4" x14ac:dyDescent="0.25">
      <c r="A29" s="104" t="s">
        <v>186</v>
      </c>
      <c r="B29" s="105">
        <v>39388030</v>
      </c>
      <c r="C29" s="105">
        <v>178630524.99999997</v>
      </c>
      <c r="D29" s="102">
        <v>0.22049999573141268</v>
      </c>
    </row>
    <row r="30" spans="1:4" x14ac:dyDescent="0.25">
      <c r="A30" s="104" t="s">
        <v>179</v>
      </c>
      <c r="B30" s="105">
        <v>1844543</v>
      </c>
      <c r="C30" s="105">
        <v>17450741</v>
      </c>
      <c r="D30" s="102">
        <v>0.10569998145064442</v>
      </c>
    </row>
    <row r="31" spans="1:4" x14ac:dyDescent="0.25">
      <c r="A31" s="104" t="s">
        <v>182</v>
      </c>
      <c r="B31" s="105">
        <v>2195832</v>
      </c>
      <c r="C31" s="105">
        <v>10396933.999999998</v>
      </c>
      <c r="D31" s="102">
        <v>0.21119995567924163</v>
      </c>
    </row>
    <row r="32" spans="1:4" x14ac:dyDescent="0.25">
      <c r="A32" s="104" t="s">
        <v>184</v>
      </c>
      <c r="B32" s="105">
        <v>25617231</v>
      </c>
      <c r="C32" s="105">
        <v>215451902</v>
      </c>
      <c r="D32" s="102">
        <v>0.11889999931400003</v>
      </c>
    </row>
    <row r="33" spans="1:4" x14ac:dyDescent="0.25">
      <c r="A33" s="104" t="s">
        <v>187</v>
      </c>
      <c r="B33" s="105">
        <v>930266</v>
      </c>
      <c r="C33" s="105">
        <v>6411208.0000000009</v>
      </c>
      <c r="D33" s="102">
        <v>0.14509995620170174</v>
      </c>
    </row>
    <row r="34" spans="1:4" x14ac:dyDescent="0.25">
      <c r="A34" s="104" t="s">
        <v>189</v>
      </c>
      <c r="B34" s="105">
        <v>6055857</v>
      </c>
      <c r="C34" s="105">
        <v>21107902</v>
      </c>
      <c r="D34" s="102">
        <v>0.28689999602992283</v>
      </c>
    </row>
    <row r="35" spans="1:4" x14ac:dyDescent="0.25">
      <c r="A35" s="104" t="s">
        <v>190</v>
      </c>
      <c r="B35" s="105">
        <v>6646866</v>
      </c>
      <c r="C35" s="105">
        <v>85545254</v>
      </c>
      <c r="D35" s="102">
        <v>7.7699997243564203E-2</v>
      </c>
    </row>
    <row r="36" spans="1:4" x14ac:dyDescent="0.25">
      <c r="A36" s="104" t="s">
        <v>192</v>
      </c>
      <c r="B36" s="105">
        <v>3875013</v>
      </c>
      <c r="C36" s="105">
        <v>12360491.000000002</v>
      </c>
      <c r="D36" s="102">
        <v>0.31349992488162481</v>
      </c>
    </row>
    <row r="37" spans="1:4" x14ac:dyDescent="0.25">
      <c r="A37" s="104" t="s">
        <v>194</v>
      </c>
      <c r="B37" s="105">
        <v>8436895</v>
      </c>
      <c r="C37" s="105">
        <v>17676294</v>
      </c>
      <c r="D37" s="102">
        <v>0.4772999928604944</v>
      </c>
    </row>
    <row r="38" spans="1:4" x14ac:dyDescent="0.25">
      <c r="A38" s="104" t="s">
        <v>197</v>
      </c>
      <c r="B38" s="105">
        <v>4848082</v>
      </c>
      <c r="C38" s="105">
        <v>46796159</v>
      </c>
      <c r="D38" s="102">
        <v>0.10359999845286448</v>
      </c>
    </row>
    <row r="39" spans="1:4" x14ac:dyDescent="0.25">
      <c r="A39" s="104" t="s">
        <v>198</v>
      </c>
      <c r="B39" s="105">
        <v>2693908</v>
      </c>
      <c r="C39" s="105">
        <v>9138088</v>
      </c>
      <c r="D39" s="102">
        <v>0.29479996253045493</v>
      </c>
    </row>
    <row r="40" spans="1:4" x14ac:dyDescent="0.25">
      <c r="A40" s="104" t="s">
        <v>199</v>
      </c>
      <c r="B40" s="105">
        <v>1756717</v>
      </c>
      <c r="C40" s="105">
        <v>1756717</v>
      </c>
      <c r="D40" s="102">
        <v>1</v>
      </c>
    </row>
    <row r="41" spans="1:4" x14ac:dyDescent="0.25">
      <c r="A41" s="104" t="s">
        <v>200</v>
      </c>
      <c r="B41" s="105">
        <v>20198975</v>
      </c>
      <c r="C41" s="105">
        <v>88282234</v>
      </c>
      <c r="D41" s="102">
        <v>0.22879999842323881</v>
      </c>
    </row>
    <row r="42" spans="1:4" x14ac:dyDescent="0.25">
      <c r="A42" s="104" t="s">
        <v>201</v>
      </c>
      <c r="B42" s="105">
        <v>2485900</v>
      </c>
      <c r="C42" s="105">
        <v>2485900</v>
      </c>
      <c r="D42" s="102">
        <v>1</v>
      </c>
    </row>
    <row r="43" spans="1:4" x14ac:dyDescent="0.25">
      <c r="A43" s="104" t="s">
        <v>202</v>
      </c>
      <c r="B43" s="105">
        <v>1444823</v>
      </c>
      <c r="C43" s="105">
        <v>1444823</v>
      </c>
      <c r="D43" s="102">
        <v>1</v>
      </c>
    </row>
    <row r="44" spans="1:4" x14ac:dyDescent="0.25">
      <c r="A44" s="104" t="s">
        <v>203</v>
      </c>
      <c r="B44" s="105">
        <v>6824420</v>
      </c>
      <c r="C44" s="105">
        <v>22448750</v>
      </c>
      <c r="D44" s="102">
        <v>0.30399999999999999</v>
      </c>
    </row>
    <row r="45" spans="1:4" x14ac:dyDescent="0.25">
      <c r="A45" s="104" t="s">
        <v>205</v>
      </c>
      <c r="B45" s="105">
        <v>9443241</v>
      </c>
      <c r="C45" s="105">
        <v>78043316</v>
      </c>
      <c r="D45" s="102">
        <v>0.12099999697603828</v>
      </c>
    </row>
    <row r="46" spans="1:4" x14ac:dyDescent="0.25">
      <c r="A46" s="104" t="s">
        <v>206</v>
      </c>
      <c r="B46" s="105">
        <v>0</v>
      </c>
      <c r="C46" s="105">
        <v>70749005</v>
      </c>
      <c r="D46" s="102">
        <v>0</v>
      </c>
    </row>
    <row r="47" spans="1:4" x14ac:dyDescent="0.25">
      <c r="A47" s="104" t="s">
        <v>208</v>
      </c>
      <c r="B47" s="105">
        <v>14874369</v>
      </c>
      <c r="C47" s="105">
        <v>175819975</v>
      </c>
      <c r="D47" s="102">
        <v>8.4599994966442243E-2</v>
      </c>
    </row>
    <row r="48" spans="1:4" x14ac:dyDescent="0.25">
      <c r="A48" s="104" t="s">
        <v>209</v>
      </c>
      <c r="B48" s="105">
        <v>7063831</v>
      </c>
      <c r="C48" s="105">
        <v>18826842</v>
      </c>
      <c r="D48" s="102">
        <v>0.37519999371110674</v>
      </c>
    </row>
    <row r="49" spans="1:4" x14ac:dyDescent="0.25">
      <c r="A49" s="104" t="s">
        <v>212</v>
      </c>
      <c r="B49" s="105">
        <v>0</v>
      </c>
      <c r="C49" s="105">
        <v>120719515</v>
      </c>
      <c r="D49" s="102">
        <v>0</v>
      </c>
    </row>
    <row r="50" spans="1:4" x14ac:dyDescent="0.25">
      <c r="A50" s="104" t="s">
        <v>213</v>
      </c>
      <c r="B50" s="105">
        <v>9115039</v>
      </c>
      <c r="C50" s="105">
        <v>43991502</v>
      </c>
      <c r="D50" s="102">
        <v>0.20719999512633144</v>
      </c>
    </row>
    <row r="51" spans="1:4" x14ac:dyDescent="0.25">
      <c r="A51" s="104" t="s">
        <v>214</v>
      </c>
      <c r="B51" s="105">
        <v>2965185</v>
      </c>
      <c r="C51" s="105">
        <v>9431253</v>
      </c>
      <c r="D51" s="102">
        <v>0.31439989999207951</v>
      </c>
    </row>
    <row r="52" spans="1:4" x14ac:dyDescent="0.25">
      <c r="A52" s="104" t="s">
        <v>215</v>
      </c>
      <c r="B52" s="105">
        <v>8816865</v>
      </c>
      <c r="C52" s="105">
        <v>21965285</v>
      </c>
      <c r="D52" s="102">
        <v>0.40139998183497277</v>
      </c>
    </row>
    <row r="53" spans="1:4" x14ac:dyDescent="0.25">
      <c r="A53" s="104" t="s">
        <v>216</v>
      </c>
      <c r="B53" s="105">
        <v>29093054</v>
      </c>
      <c r="C53" s="105">
        <v>84234245</v>
      </c>
      <c r="D53" s="102">
        <v>0.34538273596445246</v>
      </c>
    </row>
    <row r="54" spans="1:4" x14ac:dyDescent="0.25">
      <c r="A54" s="104" t="s">
        <v>217</v>
      </c>
      <c r="B54" s="105">
        <v>2526446</v>
      </c>
      <c r="C54" s="105">
        <v>19971912</v>
      </c>
      <c r="D54" s="102">
        <v>0.12649995653896332</v>
      </c>
    </row>
    <row r="55" spans="1:4" x14ac:dyDescent="0.25">
      <c r="A55" s="104" t="s">
        <v>218</v>
      </c>
      <c r="B55" s="105">
        <v>0</v>
      </c>
      <c r="C55" s="105">
        <v>88282233.999999985</v>
      </c>
      <c r="D55" s="102">
        <v>0</v>
      </c>
    </row>
    <row r="56" spans="1:4" x14ac:dyDescent="0.25">
      <c r="A56" s="104" t="s">
        <v>220</v>
      </c>
      <c r="B56" s="105">
        <v>0</v>
      </c>
      <c r="C56" s="105">
        <v>79208621</v>
      </c>
      <c r="D56" s="102">
        <v>0</v>
      </c>
    </row>
    <row r="57" spans="1:4" x14ac:dyDescent="0.25">
      <c r="A57" s="104" t="s">
        <v>222</v>
      </c>
      <c r="B57" s="105">
        <v>4464760</v>
      </c>
      <c r="C57" s="105">
        <v>49334370</v>
      </c>
      <c r="D57" s="102">
        <v>9.0499990169125494E-2</v>
      </c>
    </row>
    <row r="58" spans="1:4" x14ac:dyDescent="0.25">
      <c r="A58" s="104" t="s">
        <v>224</v>
      </c>
      <c r="B58" s="105">
        <v>8568662</v>
      </c>
      <c r="C58" s="105">
        <v>26553028.999999996</v>
      </c>
      <c r="D58" s="102">
        <v>0.3226999827401989</v>
      </c>
    </row>
    <row r="59" spans="1:4" x14ac:dyDescent="0.25">
      <c r="A59" s="104" t="s">
        <v>226</v>
      </c>
      <c r="B59" s="105">
        <v>3515054</v>
      </c>
      <c r="C59" s="105">
        <v>14875388</v>
      </c>
      <c r="D59" s="102">
        <v>0.2362999876036847</v>
      </c>
    </row>
    <row r="60" spans="1:4" x14ac:dyDescent="0.25">
      <c r="A60" s="104" t="s">
        <v>227</v>
      </c>
      <c r="B60" s="105">
        <v>1579116</v>
      </c>
      <c r="C60" s="105">
        <v>20428419</v>
      </c>
      <c r="D60" s="102">
        <v>7.7299961392019612E-2</v>
      </c>
    </row>
    <row r="61" spans="1:4" x14ac:dyDescent="0.25">
      <c r="A61" s="104" t="s">
        <v>228</v>
      </c>
      <c r="B61" s="105">
        <v>6580030</v>
      </c>
      <c r="C61" s="105">
        <v>17037882</v>
      </c>
      <c r="D61" s="102">
        <v>0.38619999833312613</v>
      </c>
    </row>
    <row r="62" spans="1:4" x14ac:dyDescent="0.25">
      <c r="A62" s="104" t="s">
        <v>229</v>
      </c>
      <c r="B62" s="105">
        <v>93980346</v>
      </c>
      <c r="C62" s="105">
        <v>515808707</v>
      </c>
      <c r="D62" s="102">
        <v>0.18219999919466268</v>
      </c>
    </row>
    <row r="63" spans="1:4" x14ac:dyDescent="0.25">
      <c r="A63" s="104" t="s">
        <v>230</v>
      </c>
      <c r="B63" s="105">
        <v>0</v>
      </c>
      <c r="C63" s="105">
        <v>582670827</v>
      </c>
      <c r="D63" s="102">
        <v>0</v>
      </c>
    </row>
    <row r="64" spans="1:4" x14ac:dyDescent="0.25">
      <c r="A64" s="104" t="s">
        <v>231</v>
      </c>
      <c r="B64" s="105">
        <v>5954620</v>
      </c>
      <c r="C64" s="105">
        <v>65291892.999999993</v>
      </c>
      <c r="D64" s="102">
        <v>9.1199990173358905E-2</v>
      </c>
    </row>
    <row r="65" spans="1:4" x14ac:dyDescent="0.25">
      <c r="A65" s="104" t="s">
        <v>252</v>
      </c>
      <c r="B65" s="105"/>
      <c r="C65" s="105"/>
      <c r="D65" s="102"/>
    </row>
    <row r="66" spans="1:4" x14ac:dyDescent="0.25">
      <c r="A66" s="104">
        <v>0</v>
      </c>
      <c r="B66" s="105">
        <v>0</v>
      </c>
      <c r="C66" s="105">
        <v>0</v>
      </c>
      <c r="D66" s="102">
        <v>0</v>
      </c>
    </row>
    <row r="67" spans="1:4" x14ac:dyDescent="0.25">
      <c r="A67" s="104" t="s">
        <v>235</v>
      </c>
      <c r="B67" s="105">
        <v>564895869</v>
      </c>
      <c r="C67" s="105">
        <v>4216796597</v>
      </c>
      <c r="D67" s="102">
        <v>15.667181896278667</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31"/>
  <sheetViews>
    <sheetView workbookViewId="0">
      <selection activeCell="B13" sqref="B13"/>
    </sheetView>
  </sheetViews>
  <sheetFormatPr defaultRowHeight="15" x14ac:dyDescent="0.25"/>
  <cols>
    <col min="1" max="1" width="16.28515625" bestFit="1" customWidth="1"/>
    <col min="2" max="2" width="34" bestFit="1" customWidth="1"/>
    <col min="3" max="3" width="32.140625" bestFit="1" customWidth="1"/>
    <col min="4" max="4" width="29.28515625" bestFit="1" customWidth="1"/>
    <col min="5" max="5" width="29.85546875" customWidth="1"/>
  </cols>
  <sheetData>
    <row r="1" spans="1:2" x14ac:dyDescent="0.25">
      <c r="A1" s="103" t="s">
        <v>63</v>
      </c>
      <c r="B1" t="s">
        <v>238</v>
      </c>
    </row>
    <row r="3" spans="1:2" x14ac:dyDescent="0.25">
      <c r="A3" s="103" t="s">
        <v>234</v>
      </c>
      <c r="B3" t="s">
        <v>239</v>
      </c>
    </row>
    <row r="4" spans="1:2" x14ac:dyDescent="0.25">
      <c r="A4" s="104" t="s">
        <v>170</v>
      </c>
      <c r="B4" s="105">
        <v>36661624</v>
      </c>
    </row>
    <row r="5" spans="1:2" x14ac:dyDescent="0.25">
      <c r="A5" s="104" t="s">
        <v>180</v>
      </c>
      <c r="B5" s="105">
        <v>127768046</v>
      </c>
    </row>
    <row r="6" spans="1:2" x14ac:dyDescent="0.25">
      <c r="A6" s="104" t="s">
        <v>191</v>
      </c>
      <c r="B6" s="105">
        <v>3875013</v>
      </c>
    </row>
    <row r="7" spans="1:2" x14ac:dyDescent="0.25">
      <c r="A7" s="104" t="s">
        <v>162</v>
      </c>
      <c r="B7" s="105">
        <v>49765798</v>
      </c>
    </row>
    <row r="8" spans="1:2" x14ac:dyDescent="0.25">
      <c r="A8" s="104" t="s">
        <v>155</v>
      </c>
      <c r="B8" s="105">
        <v>32002923</v>
      </c>
    </row>
    <row r="9" spans="1:2" x14ac:dyDescent="0.25">
      <c r="A9" s="104" t="s">
        <v>153</v>
      </c>
      <c r="B9" s="105">
        <v>32830257</v>
      </c>
    </row>
    <row r="10" spans="1:2" x14ac:dyDescent="0.25">
      <c r="A10" s="104" t="s">
        <v>188</v>
      </c>
      <c r="B10" s="105">
        <v>12702723</v>
      </c>
    </row>
    <row r="11" spans="1:2" x14ac:dyDescent="0.25">
      <c r="A11" s="104" t="s">
        <v>204</v>
      </c>
      <c r="B11" s="105">
        <v>9443241</v>
      </c>
    </row>
    <row r="12" spans="1:2" x14ac:dyDescent="0.25">
      <c r="A12" s="104" t="s">
        <v>146</v>
      </c>
      <c r="B12" s="105">
        <v>17448635</v>
      </c>
    </row>
    <row r="13" spans="1:2" x14ac:dyDescent="0.25">
      <c r="A13" s="104" t="s">
        <v>193</v>
      </c>
      <c r="B13" s="105">
        <v>8436895</v>
      </c>
    </row>
    <row r="14" spans="1:2" x14ac:dyDescent="0.25">
      <c r="A14" s="104" t="s">
        <v>225</v>
      </c>
      <c r="B14" s="105">
        <v>3515054</v>
      </c>
    </row>
    <row r="15" spans="1:2" x14ac:dyDescent="0.25">
      <c r="A15" s="104" t="s">
        <v>195</v>
      </c>
      <c r="B15" s="105">
        <v>8805718</v>
      </c>
    </row>
    <row r="16" spans="1:2" x14ac:dyDescent="0.25">
      <c r="A16" s="104" t="s">
        <v>175</v>
      </c>
      <c r="B16" s="105">
        <v>0</v>
      </c>
    </row>
    <row r="17" spans="1:2" x14ac:dyDescent="0.25">
      <c r="A17" s="104" t="s">
        <v>178</v>
      </c>
      <c r="B17" s="105">
        <v>1844543</v>
      </c>
    </row>
    <row r="18" spans="1:2" x14ac:dyDescent="0.25">
      <c r="A18" s="104" t="s">
        <v>160</v>
      </c>
      <c r="B18" s="105">
        <v>0</v>
      </c>
    </row>
    <row r="19" spans="1:2" x14ac:dyDescent="0.25">
      <c r="A19" s="104" t="s">
        <v>221</v>
      </c>
      <c r="B19" s="105">
        <v>4464760</v>
      </c>
    </row>
    <row r="20" spans="1:2" x14ac:dyDescent="0.25">
      <c r="A20" s="104" t="s">
        <v>168</v>
      </c>
      <c r="B20" s="105">
        <v>0</v>
      </c>
    </row>
    <row r="21" spans="1:2" x14ac:dyDescent="0.25">
      <c r="A21" s="104" t="s">
        <v>166</v>
      </c>
      <c r="B21" s="105">
        <v>0</v>
      </c>
    </row>
    <row r="22" spans="1:2" x14ac:dyDescent="0.25">
      <c r="A22" s="104" t="s">
        <v>210</v>
      </c>
      <c r="B22" s="105">
        <v>956928</v>
      </c>
    </row>
    <row r="23" spans="1:2" x14ac:dyDescent="0.25">
      <c r="A23" s="104" t="s">
        <v>164</v>
      </c>
      <c r="B23" s="105">
        <v>3803873</v>
      </c>
    </row>
    <row r="24" spans="1:2" x14ac:dyDescent="0.25">
      <c r="A24" s="104" t="s">
        <v>149</v>
      </c>
      <c r="B24" s="105">
        <v>4074130</v>
      </c>
    </row>
    <row r="25" spans="1:2" x14ac:dyDescent="0.25">
      <c r="A25" s="104" t="s">
        <v>183</v>
      </c>
      <c r="B25" s="105">
        <v>25617231</v>
      </c>
    </row>
    <row r="26" spans="1:2" x14ac:dyDescent="0.25">
      <c r="A26" s="104" t="s">
        <v>151</v>
      </c>
      <c r="B26" s="105">
        <v>930266</v>
      </c>
    </row>
    <row r="27" spans="1:2" x14ac:dyDescent="0.25">
      <c r="A27" s="104" t="s">
        <v>223</v>
      </c>
      <c r="B27" s="105">
        <v>8568662</v>
      </c>
    </row>
    <row r="28" spans="1:2" x14ac:dyDescent="0.25">
      <c r="A28" s="104" t="s">
        <v>147</v>
      </c>
      <c r="B28" s="105">
        <v>16072973</v>
      </c>
    </row>
    <row r="29" spans="1:2" x14ac:dyDescent="0.25">
      <c r="A29" s="104" t="s">
        <v>219</v>
      </c>
      <c r="B29" s="105">
        <v>0</v>
      </c>
    </row>
    <row r="30" spans="1:2" x14ac:dyDescent="0.25">
      <c r="A30" s="104" t="s">
        <v>207</v>
      </c>
      <c r="B30" s="105">
        <v>21938200</v>
      </c>
    </row>
    <row r="31" spans="1:2" x14ac:dyDescent="0.25">
      <c r="A31" s="104" t="s">
        <v>185</v>
      </c>
      <c r="B31" s="105">
        <v>133368376</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C116"/>
  <sheetViews>
    <sheetView showGridLines="0" zoomScaleNormal="100" workbookViewId="0">
      <selection activeCell="C4" sqref="C4"/>
    </sheetView>
  </sheetViews>
  <sheetFormatPr defaultColWidth="0" defaultRowHeight="15" zeroHeight="1" x14ac:dyDescent="0.25"/>
  <cols>
    <col min="1" max="1" width="10.85546875" customWidth="1"/>
    <col min="2" max="2" width="11.42578125" customWidth="1"/>
    <col min="3" max="3" width="8.42578125" customWidth="1"/>
    <col min="4" max="4" width="14" customWidth="1"/>
    <col min="5" max="5" width="9.28515625" customWidth="1"/>
    <col min="6" max="6" width="9.140625" customWidth="1"/>
    <col min="7" max="7" width="6" customWidth="1"/>
    <col min="8" max="8" width="6.28515625" customWidth="1"/>
    <col min="9" max="9" width="5.42578125" customWidth="1"/>
    <col min="10" max="10" width="7.140625" customWidth="1"/>
    <col min="11" max="29" width="9.140625" customWidth="1"/>
    <col min="30" max="16384" width="9.140625" hidden="1"/>
  </cols>
  <sheetData>
    <row r="1" spans="1:29" s="101" customFormat="1" ht="19.5" customHeight="1" x14ac:dyDescent="0.35">
      <c r="A1" s="120" t="s">
        <v>246</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row>
    <row r="2" spans="1:29" x14ac:dyDescent="0.25">
      <c r="A2" s="119"/>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row>
    <row r="3" spans="1:29" x14ac:dyDescent="0.25">
      <c r="A3" s="119"/>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row>
    <row r="4" spans="1:29" x14ac:dyDescent="0.25">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row>
    <row r="5" spans="1:29" x14ac:dyDescent="0.25">
      <c r="A5" s="119"/>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row>
    <row r="6" spans="1:29" x14ac:dyDescent="0.25">
      <c r="A6" s="119"/>
      <c r="B6" s="119"/>
      <c r="C6" s="119"/>
      <c r="D6" s="119"/>
      <c r="E6" s="119"/>
      <c r="F6" s="119"/>
      <c r="G6" s="119"/>
      <c r="H6" s="119"/>
      <c r="I6" s="119"/>
      <c r="J6" s="119"/>
      <c r="K6" s="119"/>
      <c r="L6" s="119"/>
      <c r="M6" s="119"/>
      <c r="N6" s="119"/>
      <c r="O6" s="119"/>
      <c r="P6" s="119"/>
      <c r="Q6" s="119"/>
      <c r="R6" s="119"/>
      <c r="S6" s="119"/>
      <c r="T6" s="119"/>
      <c r="U6" s="119"/>
      <c r="V6" s="119"/>
      <c r="W6" s="119"/>
      <c r="X6" s="119"/>
      <c r="Y6" s="119"/>
      <c r="Z6" s="119"/>
      <c r="AA6" s="119"/>
      <c r="AB6" s="119"/>
      <c r="AC6" s="119"/>
    </row>
    <row r="7" spans="1:29" x14ac:dyDescent="0.25">
      <c r="A7" s="119"/>
      <c r="B7" s="119"/>
      <c r="C7" s="119"/>
      <c r="D7" s="119"/>
      <c r="E7" s="119"/>
      <c r="F7" s="119"/>
      <c r="G7" s="119"/>
      <c r="H7" s="119"/>
      <c r="I7" s="119"/>
      <c r="J7" s="119"/>
      <c r="K7" s="119"/>
      <c r="L7" s="119"/>
      <c r="M7" s="119"/>
      <c r="N7" s="119"/>
      <c r="O7" s="119"/>
      <c r="P7" s="119"/>
      <c r="Q7" s="119"/>
      <c r="R7" s="119"/>
      <c r="S7" s="119"/>
      <c r="T7" s="119"/>
      <c r="U7" s="119"/>
      <c r="V7" s="119"/>
      <c r="W7" s="119"/>
      <c r="X7" s="119"/>
      <c r="Y7" s="119"/>
      <c r="Z7" s="119"/>
      <c r="AA7" s="119"/>
      <c r="AB7" s="119"/>
      <c r="AC7" s="119"/>
    </row>
    <row r="8" spans="1:29" x14ac:dyDescent="0.25">
      <c r="A8" s="119"/>
      <c r="B8" s="119"/>
      <c r="C8" s="119"/>
      <c r="D8" s="119"/>
      <c r="E8" s="119"/>
      <c r="F8" s="119"/>
      <c r="G8" s="119"/>
      <c r="H8" s="119"/>
      <c r="I8" s="119"/>
      <c r="J8" s="119"/>
      <c r="K8" s="119"/>
      <c r="L8" s="119"/>
      <c r="M8" s="119"/>
      <c r="N8" s="119"/>
      <c r="O8" s="119"/>
      <c r="P8" s="119"/>
      <c r="Q8" s="119"/>
      <c r="R8" s="119"/>
      <c r="S8" s="119"/>
      <c r="T8" s="119"/>
      <c r="U8" s="119"/>
      <c r="V8" s="119"/>
      <c r="W8" s="119"/>
      <c r="X8" s="119"/>
      <c r="Y8" s="119"/>
      <c r="Z8" s="119"/>
      <c r="AA8" s="119"/>
      <c r="AB8" s="119"/>
      <c r="AC8" s="119"/>
    </row>
    <row r="9" spans="1:29" x14ac:dyDescent="0.25">
      <c r="A9" s="119"/>
      <c r="B9" s="119"/>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row>
    <row r="10" spans="1:29" x14ac:dyDescent="0.25">
      <c r="A10" s="119"/>
      <c r="B10" s="119"/>
      <c r="C10" s="119"/>
      <c r="D10" s="119"/>
      <c r="E10" s="119"/>
      <c r="F10" s="119"/>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row>
    <row r="11" spans="1:29" x14ac:dyDescent="0.25">
      <c r="A11" s="119"/>
      <c r="B11" s="119"/>
      <c r="C11" s="119"/>
      <c r="D11" s="119"/>
      <c r="E11" s="119"/>
      <c r="F11" s="119"/>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row>
    <row r="12" spans="1:29" x14ac:dyDescent="0.25">
      <c r="A12" s="119"/>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row>
    <row r="13" spans="1:29" x14ac:dyDescent="0.25">
      <c r="A13" s="119"/>
      <c r="B13" s="119"/>
      <c r="C13" s="119"/>
      <c r="D13" s="119"/>
      <c r="E13" s="119"/>
      <c r="F13" s="119"/>
      <c r="G13" s="119"/>
      <c r="H13" s="119"/>
      <c r="I13" s="119"/>
      <c r="J13" s="119"/>
      <c r="K13" s="119"/>
      <c r="L13" s="119"/>
      <c r="M13" s="119"/>
      <c r="N13" s="119"/>
      <c r="O13" s="119"/>
      <c r="P13" s="119"/>
      <c r="Q13" s="119"/>
      <c r="R13" s="119"/>
      <c r="S13" s="119"/>
      <c r="T13" s="119"/>
      <c r="U13" s="119"/>
      <c r="V13" s="119"/>
      <c r="W13" s="119"/>
      <c r="X13" s="119"/>
      <c r="Y13" s="119"/>
      <c r="Z13" s="119"/>
      <c r="AA13" s="119"/>
      <c r="AB13" s="119"/>
      <c r="AC13" s="119"/>
    </row>
    <row r="14" spans="1:29" ht="15.75" thickBot="1" x14ac:dyDescent="0.3">
      <c r="A14" s="119"/>
      <c r="B14" s="119"/>
      <c r="C14" s="119"/>
      <c r="D14" s="119"/>
      <c r="E14" s="119"/>
      <c r="F14" s="119"/>
      <c r="G14" s="119"/>
      <c r="H14" s="119"/>
      <c r="I14" s="119"/>
      <c r="J14" s="119"/>
      <c r="K14" s="119"/>
      <c r="L14" s="119"/>
      <c r="M14" s="119"/>
      <c r="N14" s="119"/>
      <c r="O14" s="119"/>
      <c r="P14" s="119"/>
      <c r="Q14" s="119"/>
      <c r="R14" s="119"/>
      <c r="S14" s="119"/>
      <c r="T14" s="119"/>
      <c r="U14" s="119"/>
      <c r="V14" s="119"/>
      <c r="W14" s="119"/>
      <c r="X14" s="119"/>
      <c r="Y14" s="119"/>
      <c r="Z14" s="119"/>
      <c r="AA14" s="119"/>
      <c r="AB14" s="119"/>
      <c r="AC14" s="119"/>
    </row>
    <row r="15" spans="1:29" ht="30.75" customHeight="1" thickBot="1" x14ac:dyDescent="0.3">
      <c r="A15" s="122" t="str">
        <f>Results!B1</f>
        <v>Park Names</v>
      </c>
      <c r="B15" s="122" t="str">
        <f>Results!D1</f>
        <v>CDM Funded</v>
      </c>
      <c r="C15" s="122" t="str">
        <f>Results!G1</f>
        <v>% CDM Met</v>
      </c>
      <c r="D15" s="122" t="str">
        <f>Results!F1</f>
        <v>Total DM Funded</v>
      </c>
      <c r="E15" s="122" t="str">
        <f>Results!H1</f>
        <v>% DM Met</v>
      </c>
      <c r="F15" s="119"/>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row>
    <row r="16" spans="1:29" x14ac:dyDescent="0.25">
      <c r="A16" s="134" t="str">
        <f ca="1">OFFSET(Results!B2, $F$39, 0)</f>
        <v>Acadia</v>
      </c>
      <c r="B16" s="135">
        <f ca="1">OFFSET(Results!D2, $F$39, 0)</f>
        <v>17448635</v>
      </c>
      <c r="C16" s="136">
        <f ca="1">OFFSET(Results!G2, $F$39, 0)</f>
        <v>1</v>
      </c>
      <c r="D16" s="135">
        <f ca="1">OFFSET(Results!F2, $F$39, 0)</f>
        <v>17448635</v>
      </c>
      <c r="E16" s="137">
        <f ca="1">OFFSET(Results!H2, $F$39, 0)</f>
        <v>0.29149998565774699</v>
      </c>
      <c r="F16" s="119"/>
      <c r="G16" s="119"/>
      <c r="H16" s="119"/>
      <c r="I16" s="119"/>
      <c r="J16" s="119"/>
      <c r="K16" s="119"/>
      <c r="L16" s="119"/>
      <c r="M16" s="119"/>
      <c r="N16" s="119"/>
      <c r="O16" s="119"/>
      <c r="P16" s="119"/>
      <c r="Q16" s="119"/>
      <c r="R16" s="119"/>
      <c r="S16" s="119"/>
      <c r="T16" s="119"/>
      <c r="U16" s="119"/>
      <c r="V16" s="119"/>
      <c r="W16" s="119"/>
      <c r="X16" s="119"/>
      <c r="Y16" s="119"/>
      <c r="Z16" s="119"/>
      <c r="AA16" s="119"/>
      <c r="AB16" s="119"/>
      <c r="AC16" s="119"/>
    </row>
    <row r="17" spans="1:29" x14ac:dyDescent="0.25">
      <c r="A17" s="138" t="str">
        <f ca="1">OFFSET(Results!B3, $F$39, 0)</f>
        <v>Arches</v>
      </c>
      <c r="B17" s="139">
        <f ca="1">OFFSET(Results!D3, $F$39, 0)</f>
        <v>2331452</v>
      </c>
      <c r="C17" s="140">
        <f ca="1">OFFSET(Results!G3, $F$39, 0)</f>
        <v>1</v>
      </c>
      <c r="D17" s="139">
        <f ca="1">OFFSET(Results!F3, $F$39, 0)</f>
        <v>2331452</v>
      </c>
      <c r="E17" s="141">
        <f ca="1">OFFSET(Results!H3, $F$39, 0)</f>
        <v>9.0899978217086244E-2</v>
      </c>
      <c r="F17" s="119"/>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row>
    <row r="18" spans="1:29" x14ac:dyDescent="0.25">
      <c r="A18" s="138" t="str">
        <f ca="1">OFFSET(Results!B4, $F$39, 0)</f>
        <v>Badlands</v>
      </c>
      <c r="B18" s="139">
        <f ca="1">OFFSET(Results!D4, $F$39, 0)</f>
        <v>2495014</v>
      </c>
      <c r="C18" s="140">
        <f ca="1">OFFSET(Results!G4, $F$39, 0)</f>
        <v>1</v>
      </c>
      <c r="D18" s="139">
        <f ca="1">OFFSET(Results!F4, $F$39, 0)</f>
        <v>2495014</v>
      </c>
      <c r="E18" s="141">
        <f ca="1">OFFSET(Results!H4, $F$39, 0)</f>
        <v>9.4099979479153689E-2</v>
      </c>
      <c r="F18" s="119"/>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row>
    <row r="19" spans="1:29" x14ac:dyDescent="0.25">
      <c r="A19" s="138" t="str">
        <f ca="1">OFFSET(Results!B5, $F$39, 0)</f>
        <v>Big Bend</v>
      </c>
      <c r="B19" s="139">
        <f ca="1">OFFSET(Results!D5, $F$39, 0)</f>
        <v>0</v>
      </c>
      <c r="C19" s="140">
        <f ca="1">OFFSET(Results!G5, $F$39, 0)</f>
        <v>0</v>
      </c>
      <c r="D19" s="139">
        <f ca="1">OFFSET(Results!F5, $F$39, 0)</f>
        <v>0</v>
      </c>
      <c r="E19" s="141">
        <f ca="1">OFFSET(Results!H5, $F$39, 0)</f>
        <v>0</v>
      </c>
      <c r="F19" s="119"/>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row>
    <row r="20" spans="1:29" x14ac:dyDescent="0.25">
      <c r="A20" s="138" t="str">
        <f ca="1">OFFSET(Results!B6, $F$39, 0)</f>
        <v>Biscayne</v>
      </c>
      <c r="B20" s="139">
        <f ca="1">OFFSET(Results!D6, $F$39, 0)</f>
        <v>2658387</v>
      </c>
      <c r="C20" s="140">
        <f ca="1">OFFSET(Results!G6, $F$39, 0)</f>
        <v>1</v>
      </c>
      <c r="D20" s="139">
        <f ca="1">OFFSET(Results!F6, $F$39, 0)</f>
        <v>2658387</v>
      </c>
      <c r="E20" s="141">
        <f ca="1">OFFSET(Results!H6, $F$39, 0)</f>
        <v>0.21219994402823938</v>
      </c>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row>
    <row r="21" spans="1:29" x14ac:dyDescent="0.25">
      <c r="A21" s="138" t="str">
        <f ca="1">OFFSET(Results!B7, $F$39, 0)</f>
        <v>Black Canyon</v>
      </c>
      <c r="B21" s="139">
        <f ca="1">OFFSET(Results!D7, $F$39, 0)</f>
        <v>714037</v>
      </c>
      <c r="C21" s="140">
        <f ca="1">OFFSET(Results!G7, $F$39, 0)</f>
        <v>1</v>
      </c>
      <c r="D21" s="139">
        <f ca="1">OFFSET(Results!F7, $F$39, 0)</f>
        <v>714037</v>
      </c>
      <c r="E21" s="141">
        <f ca="1">OFFSET(Results!H7, $F$39, 0)</f>
        <v>0.10969997076355366</v>
      </c>
      <c r="F21" s="119"/>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row>
    <row r="22" spans="1:29" x14ac:dyDescent="0.25">
      <c r="A22" s="138" t="str">
        <f ca="1">OFFSET(Results!B8, $F$39, 0)</f>
        <v>Bryce Canyon</v>
      </c>
      <c r="B22" s="139">
        <f ca="1">OFFSET(Results!D8, $F$39, 0)</f>
        <v>2468544</v>
      </c>
      <c r="C22" s="140">
        <f ca="1">OFFSET(Results!G8, $F$39, 0)</f>
        <v>1</v>
      </c>
      <c r="D22" s="139">
        <f ca="1">OFFSET(Results!F8, $F$39, 0)</f>
        <v>2468544</v>
      </c>
      <c r="E22" s="141">
        <f ca="1">OFFSET(Results!H8, $F$39, 0)</f>
        <v>9.0999966933151544E-2</v>
      </c>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row>
    <row r="23" spans="1:29" x14ac:dyDescent="0.25">
      <c r="A23" s="138" t="str">
        <f ca="1">OFFSET(Results!B9, $F$39, 0)</f>
        <v>Canyonlands</v>
      </c>
      <c r="B23" s="139">
        <f ca="1">OFFSET(Results!D9, $F$39, 0)</f>
        <v>4229819</v>
      </c>
      <c r="C23" s="140">
        <f ca="1">OFFSET(Results!G9, $F$39, 0)</f>
        <v>1</v>
      </c>
      <c r="D23" s="139">
        <f ca="1">OFFSET(Results!F9, $F$39, 0)</f>
        <v>4229819</v>
      </c>
      <c r="E23" s="141">
        <f ca="1">OFFSET(Results!H9, $F$39, 0)</f>
        <v>0.10399998092022728</v>
      </c>
      <c r="F23" s="119"/>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row>
    <row r="24" spans="1:29" x14ac:dyDescent="0.25">
      <c r="A24" s="138" t="str">
        <f ca="1">OFFSET(Results!B10, $F$39, 0)</f>
        <v>Capitol Reef</v>
      </c>
      <c r="B24" s="139">
        <f ca="1">OFFSET(Results!D10, $F$39, 0)</f>
        <v>1088538</v>
      </c>
      <c r="C24" s="140">
        <f ca="1">OFFSET(Results!G10, $F$39, 0)</f>
        <v>1</v>
      </c>
      <c r="D24" s="139">
        <f ca="1">OFFSET(Results!F10, $F$39, 0)</f>
        <v>1088538</v>
      </c>
      <c r="E24" s="141">
        <f ca="1">OFFSET(Results!H10, $F$39, 0)</f>
        <v>0.12989998825749874</v>
      </c>
      <c r="F24" s="119"/>
      <c r="G24" s="119"/>
      <c r="H24" s="119"/>
      <c r="I24" s="119"/>
      <c r="J24" s="119"/>
      <c r="K24" s="119"/>
      <c r="L24" s="119"/>
      <c r="M24" s="119"/>
      <c r="N24" s="119"/>
      <c r="O24" s="119"/>
      <c r="P24" s="119"/>
      <c r="Q24" s="119"/>
      <c r="R24" s="119"/>
      <c r="S24" s="119"/>
      <c r="T24" s="119"/>
      <c r="U24" s="119"/>
      <c r="V24" s="119"/>
      <c r="W24" s="119"/>
      <c r="X24" s="119"/>
      <c r="Y24" s="119"/>
      <c r="Z24" s="119"/>
      <c r="AA24" s="119"/>
      <c r="AB24" s="119"/>
      <c r="AC24" s="119"/>
    </row>
    <row r="25" spans="1:29" x14ac:dyDescent="0.25">
      <c r="A25" s="138" t="str">
        <f ca="1">OFFSET(Results!B11, $F$39, 0)</f>
        <v>Carlsbad Caverns</v>
      </c>
      <c r="B25" s="139">
        <f ca="1">OFFSET(Results!D11, $F$39, 0)</f>
        <v>0</v>
      </c>
      <c r="C25" s="140">
        <f ca="1">OFFSET(Results!G11, $F$39, 0)</f>
        <v>0</v>
      </c>
      <c r="D25" s="139">
        <f ca="1">OFFSET(Results!F11, $F$39, 0)</f>
        <v>0</v>
      </c>
      <c r="E25" s="141">
        <f ca="1">OFFSET(Results!H11, $F$39, 0)</f>
        <v>0</v>
      </c>
      <c r="F25" s="119"/>
      <c r="G25" s="119"/>
      <c r="H25" s="119"/>
      <c r="I25" s="119"/>
      <c r="J25" s="119"/>
      <c r="K25" s="119"/>
      <c r="L25" s="119"/>
      <c r="M25" s="119"/>
      <c r="N25" s="119"/>
      <c r="O25" s="119"/>
      <c r="P25" s="119"/>
      <c r="Q25" s="119"/>
      <c r="R25" s="119"/>
      <c r="S25" s="119"/>
      <c r="T25" s="119"/>
      <c r="U25" s="119"/>
      <c r="V25" s="119"/>
      <c r="W25" s="119"/>
      <c r="X25" s="119"/>
      <c r="Y25" s="119"/>
      <c r="Z25" s="119"/>
      <c r="AA25" s="119"/>
      <c r="AB25" s="119"/>
      <c r="AC25" s="119"/>
    </row>
    <row r="26" spans="1:29" x14ac:dyDescent="0.25">
      <c r="A26" s="138" t="str">
        <f ca="1">OFFSET(Results!B12, $F$39, 0)</f>
        <v>Channel Islands</v>
      </c>
      <c r="B26" s="139">
        <f ca="1">OFFSET(Results!D12, $F$39, 0)</f>
        <v>6112271</v>
      </c>
      <c r="C26" s="140">
        <f ca="1">OFFSET(Results!G12, $F$39, 0)</f>
        <v>1</v>
      </c>
      <c r="D26" s="139">
        <f ca="1">OFFSET(Results!F12, $F$39, 0)</f>
        <v>6112271</v>
      </c>
      <c r="E26" s="141">
        <f ca="1">OFFSET(Results!H12, $F$39, 0)</f>
        <v>0.4463999788495252</v>
      </c>
      <c r="F26" s="119"/>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row>
    <row r="27" spans="1:29" x14ac:dyDescent="0.25">
      <c r="A27" s="138" t="str">
        <f ca="1">OFFSET(Results!B13, $F$39, 0)</f>
        <v>Congaree</v>
      </c>
      <c r="B27" s="139">
        <f ca="1">OFFSET(Results!D13, $F$39, 0)</f>
        <v>1269732</v>
      </c>
      <c r="C27" s="140">
        <f ca="1">OFFSET(Results!G13, $F$39, 0)</f>
        <v>1</v>
      </c>
      <c r="D27" s="139">
        <f ca="1">OFFSET(Results!F13, $F$39, 0)</f>
        <v>3803873</v>
      </c>
      <c r="E27" s="141">
        <f ca="1">OFFSET(Results!H13, $F$39, 0)</f>
        <v>1</v>
      </c>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row>
    <row r="28" spans="1:29" x14ac:dyDescent="0.25">
      <c r="A28" s="138" t="str">
        <f ca="1">OFFSET(Results!B14, $F$39, 0)</f>
        <v>Crater Lake</v>
      </c>
      <c r="B28" s="139">
        <f ca="1">OFFSET(Results!D14, $F$39, 0)</f>
        <v>0</v>
      </c>
      <c r="C28" s="140">
        <f ca="1">OFFSET(Results!G14, $F$39, 0)</f>
        <v>0</v>
      </c>
      <c r="D28" s="139">
        <f ca="1">OFFSET(Results!F14, $F$39, 0)</f>
        <v>0</v>
      </c>
      <c r="E28" s="141">
        <f ca="1">OFFSET(Results!H14, $F$39, 0)</f>
        <v>0</v>
      </c>
      <c r="F28" s="119"/>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row>
    <row r="29" spans="1:29" x14ac:dyDescent="0.25">
      <c r="A29" s="138" t="str">
        <f ca="1">OFFSET(Results!B15, $F$39, 0)</f>
        <v>Cuyahoga</v>
      </c>
      <c r="B29" s="139">
        <f ca="1">OFFSET(Results!D15, $F$39, 0)</f>
        <v>0</v>
      </c>
      <c r="C29" s="140">
        <f ca="1">OFFSET(Results!G15, $F$39, 0)</f>
        <v>0</v>
      </c>
      <c r="D29" s="139">
        <f ca="1">OFFSET(Results!F15, $F$39, 0)</f>
        <v>0</v>
      </c>
      <c r="E29" s="141">
        <f ca="1">OFFSET(Results!H15, $F$39, 0)</f>
        <v>0</v>
      </c>
      <c r="F29" s="119"/>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row>
    <row r="30" spans="1:29" x14ac:dyDescent="0.25">
      <c r="A30" s="138" t="str">
        <f ca="1">OFFSET(Results!B16, $F$39, 0)</f>
        <v>Denali</v>
      </c>
      <c r="B30" s="139">
        <f ca="1">OFFSET(Results!D16, $F$39, 0)</f>
        <v>17848520</v>
      </c>
      <c r="C30" s="140">
        <f ca="1">OFFSET(Results!G16, $F$39, 0)</f>
        <v>1</v>
      </c>
      <c r="D30" s="139">
        <f ca="1">OFFSET(Results!F16, $F$39, 0)</f>
        <v>17848520</v>
      </c>
      <c r="E30" s="141">
        <f ca="1">OFFSET(Results!H16, $F$39, 0)</f>
        <v>0.32609998214066305</v>
      </c>
      <c r="F30" s="119"/>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row>
    <row r="31" spans="1:29" x14ac:dyDescent="0.25">
      <c r="A31" s="138" t="str">
        <f ca="1">OFFSET(Results!B17, $F$39, 0)</f>
        <v>Death Valley</v>
      </c>
      <c r="B31" s="139">
        <f ca="1">OFFSET(Results!D17, $F$39, 0)</f>
        <v>0</v>
      </c>
      <c r="C31" s="140">
        <f ca="1">OFFSET(Results!G17, $F$39, 0)</f>
        <v>0</v>
      </c>
      <c r="D31" s="139">
        <f ca="1">OFFSET(Results!F17, $F$39, 0)</f>
        <v>0</v>
      </c>
      <c r="E31" s="141">
        <f ca="1">OFFSET(Results!H17, $F$39, 0)</f>
        <v>0</v>
      </c>
      <c r="F31" s="119"/>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row>
    <row r="32" spans="1:29" x14ac:dyDescent="0.25">
      <c r="A32" s="138" t="str">
        <f ca="1">OFFSET(Results!B18, $F$39, 0)</f>
        <v>Dry Tortugas</v>
      </c>
      <c r="B32" s="139">
        <f ca="1">OFFSET(Results!D18, $F$39, 0)</f>
        <v>30171870</v>
      </c>
      <c r="C32" s="140">
        <f ca="1">OFFSET(Results!G18, $F$39, 0)</f>
        <v>1</v>
      </c>
      <c r="D32" s="139">
        <f ca="1">OFFSET(Results!F18, $F$39, 0)</f>
        <v>30171870</v>
      </c>
      <c r="E32" s="141">
        <f ca="1">OFFSET(Results!H18, $F$39, 0)</f>
        <v>0.50069999893958417</v>
      </c>
      <c r="F32" s="119"/>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row>
    <row r="33" spans="1:29" x14ac:dyDescent="0.25">
      <c r="A33" s="138" t="str">
        <f ca="1">OFFSET(Results!B19, $F$39, 0)</f>
        <v>Everglades</v>
      </c>
      <c r="B33" s="139">
        <f ca="1">OFFSET(Results!D19, $F$39, 0)</f>
        <v>0</v>
      </c>
      <c r="C33" s="140">
        <f ca="1">OFFSET(Results!G19, $F$39, 0)</f>
        <v>0</v>
      </c>
      <c r="D33" s="139">
        <f ca="1">OFFSET(Results!F19, $F$39, 0)</f>
        <v>0</v>
      </c>
      <c r="E33" s="141">
        <f ca="1">OFFSET(Results!H19, $F$39, 0)</f>
        <v>0</v>
      </c>
      <c r="F33" s="119"/>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row>
    <row r="34" spans="1:29" x14ac:dyDescent="0.25">
      <c r="A34" s="138" t="str">
        <f ca="1">OFFSET(Results!B20, $F$39, 0)</f>
        <v>Gates of the Artic</v>
      </c>
      <c r="B34" s="139">
        <f ca="1">OFFSET(Results!D20, $F$39, 0)</f>
        <v>97459</v>
      </c>
      <c r="C34" s="140">
        <f ca="1">OFFSET(Results!G20, $F$39, 0)</f>
        <v>1</v>
      </c>
      <c r="D34" s="139">
        <f ca="1">OFFSET(Results!F20, $F$39, 0)</f>
        <v>944372</v>
      </c>
      <c r="E34" s="141">
        <f ca="1">OFFSET(Results!H20, $F$39, 0)</f>
        <v>1</v>
      </c>
      <c r="F34" s="119"/>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row>
    <row r="35" spans="1:29" x14ac:dyDescent="0.25">
      <c r="A35" s="138" t="str">
        <f ca="1">OFFSET(Results!B21, $F$39, 0)</f>
        <v>Glacier</v>
      </c>
      <c r="B35" s="139">
        <f ca="1">OFFSET(Results!D21, $F$39, 0)</f>
        <v>0</v>
      </c>
      <c r="C35" s="140">
        <f ca="1">OFFSET(Results!G21, $F$39, 0)</f>
        <v>0</v>
      </c>
      <c r="D35" s="139">
        <f ca="1">OFFSET(Results!F21, $F$39, 0)</f>
        <v>0</v>
      </c>
      <c r="E35" s="141">
        <f ca="1">OFFSET(Results!H21, $F$39, 0)</f>
        <v>0</v>
      </c>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row>
    <row r="36" spans="1:29" x14ac:dyDescent="0.25">
      <c r="A36" s="138" t="str">
        <f ca="1">OFFSET(Results!B22, $F$39, 0)</f>
        <v>Glacier Bay</v>
      </c>
      <c r="B36" s="139">
        <f ca="1">OFFSET(Results!D22, $F$39, 0)</f>
        <v>2907354</v>
      </c>
      <c r="C36" s="140">
        <f ca="1">OFFSET(Results!G22, $F$39, 0)</f>
        <v>1</v>
      </c>
      <c r="D36" s="139">
        <f ca="1">OFFSET(Results!F22, $F$39, 0)</f>
        <v>2907354</v>
      </c>
      <c r="E36" s="141">
        <f ca="1">OFFSET(Results!H22, $F$39, 0)</f>
        <v>0.30789996068849357</v>
      </c>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row>
    <row r="37" spans="1:29" ht="15.75" thickBot="1" x14ac:dyDescent="0.3">
      <c r="A37" s="142" t="str">
        <f ca="1">OFFSET(Results!B23, $F$39, 0)</f>
        <v>Great Basin</v>
      </c>
      <c r="B37" s="143">
        <f ca="1">OFFSET(Results!D23, $F$39, 0)</f>
        <v>1844543</v>
      </c>
      <c r="C37" s="144">
        <f ca="1">OFFSET(Results!G23, $F$39, 0)</f>
        <v>1</v>
      </c>
      <c r="D37" s="143">
        <f ca="1">OFFSET(Results!F23, $F$39, 0)</f>
        <v>1844543</v>
      </c>
      <c r="E37" s="145">
        <f ca="1">OFFSET(Results!H23, $F$39, 0)</f>
        <v>0.10569998145064442</v>
      </c>
      <c r="F37" s="119"/>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row>
    <row r="38" spans="1:29" hidden="1" x14ac:dyDescent="0.25">
      <c r="A38" s="22"/>
      <c r="B38" s="22"/>
      <c r="C38" s="121"/>
      <c r="D38" s="22"/>
      <c r="E38" s="121"/>
      <c r="F38" s="124">
        <f>COUNTIF(Results!A2:A101, "&lt;&gt;0")-22</f>
        <v>38</v>
      </c>
    </row>
    <row r="39" spans="1:29" hidden="1" x14ac:dyDescent="0.25">
      <c r="A39" s="22"/>
      <c r="B39" s="22"/>
      <c r="C39" s="121"/>
      <c r="D39" s="22"/>
      <c r="E39" s="121"/>
      <c r="F39" s="124">
        <v>0</v>
      </c>
    </row>
    <row r="40" spans="1:29" hidden="1" x14ac:dyDescent="0.25">
      <c r="A40" s="22"/>
      <c r="B40" s="22"/>
      <c r="C40" s="121"/>
      <c r="D40" s="22"/>
      <c r="E40" s="121"/>
      <c r="F40" s="22"/>
    </row>
    <row r="41" spans="1:29" hidden="1" x14ac:dyDescent="0.25">
      <c r="A41" s="22"/>
      <c r="B41" s="22"/>
      <c r="C41" s="121"/>
      <c r="D41" s="22"/>
      <c r="E41" s="121"/>
      <c r="F41" s="22"/>
    </row>
    <row r="42" spans="1:29" hidden="1" x14ac:dyDescent="0.25">
      <c r="A42" s="22"/>
      <c r="B42" s="22"/>
      <c r="C42" s="121"/>
      <c r="D42" s="22"/>
      <c r="E42" s="121"/>
      <c r="F42" s="22"/>
    </row>
    <row r="43" spans="1:29" hidden="1" x14ac:dyDescent="0.25">
      <c r="A43" s="22"/>
      <c r="B43" s="22"/>
      <c r="C43" s="121"/>
      <c r="D43" s="22"/>
      <c r="E43" s="121"/>
      <c r="F43" s="22"/>
    </row>
    <row r="44" spans="1:29" hidden="1" x14ac:dyDescent="0.25">
      <c r="A44" s="22"/>
      <c r="B44" s="22"/>
      <c r="C44" s="121"/>
      <c r="D44" s="22"/>
      <c r="E44" s="121"/>
      <c r="F44" s="22"/>
    </row>
    <row r="45" spans="1:29" hidden="1" x14ac:dyDescent="0.25">
      <c r="A45" s="22"/>
      <c r="B45" s="22"/>
      <c r="C45" s="121"/>
      <c r="D45" s="22"/>
      <c r="E45" s="121"/>
      <c r="F45" s="22"/>
    </row>
    <row r="46" spans="1:29" hidden="1" x14ac:dyDescent="0.25">
      <c r="A46" s="22"/>
      <c r="B46" s="22"/>
      <c r="C46" s="121"/>
      <c r="D46" s="22"/>
      <c r="E46" s="121"/>
      <c r="F46" s="22"/>
    </row>
    <row r="47" spans="1:29" hidden="1" x14ac:dyDescent="0.25">
      <c r="A47" s="22"/>
      <c r="B47" s="22"/>
      <c r="C47" s="121"/>
      <c r="D47" s="22"/>
      <c r="E47" s="121"/>
      <c r="F47" s="22"/>
    </row>
    <row r="48" spans="1:29" hidden="1" x14ac:dyDescent="0.25">
      <c r="A48" s="22"/>
      <c r="B48" s="22"/>
      <c r="C48" s="121"/>
      <c r="D48" s="22"/>
      <c r="E48" s="121"/>
      <c r="F48" s="22"/>
    </row>
    <row r="49" spans="1:6" hidden="1" x14ac:dyDescent="0.25">
      <c r="A49" s="22"/>
      <c r="B49" s="22"/>
      <c r="C49" s="121"/>
      <c r="D49" s="22"/>
      <c r="E49" s="121"/>
      <c r="F49" s="22"/>
    </row>
    <row r="50" spans="1:6" hidden="1" x14ac:dyDescent="0.25">
      <c r="A50" s="22"/>
      <c r="B50" s="22"/>
      <c r="C50" s="121"/>
      <c r="D50" s="22"/>
      <c r="E50" s="121"/>
      <c r="F50" s="22"/>
    </row>
    <row r="51" spans="1:6" hidden="1" x14ac:dyDescent="0.25">
      <c r="A51" s="22"/>
      <c r="B51" s="22"/>
      <c r="C51" s="121"/>
      <c r="D51" s="22"/>
      <c r="E51" s="121"/>
      <c r="F51" s="22"/>
    </row>
    <row r="52" spans="1:6" hidden="1" x14ac:dyDescent="0.25">
      <c r="A52" s="22"/>
      <c r="B52" s="22"/>
      <c r="C52" s="121"/>
      <c r="D52" s="22"/>
      <c r="E52" s="121"/>
      <c r="F52" s="22"/>
    </row>
    <row r="53" spans="1:6" hidden="1" x14ac:dyDescent="0.25">
      <c r="A53" s="22"/>
      <c r="B53" s="22"/>
      <c r="C53" s="121"/>
      <c r="D53" s="22"/>
      <c r="E53" s="121"/>
      <c r="F53" s="22"/>
    </row>
    <row r="54" spans="1:6" hidden="1" x14ac:dyDescent="0.25">
      <c r="A54" s="22"/>
      <c r="B54" s="22"/>
      <c r="C54" s="121"/>
      <c r="D54" s="22"/>
      <c r="E54" s="121"/>
      <c r="F54" s="22"/>
    </row>
    <row r="55" spans="1:6" hidden="1" x14ac:dyDescent="0.25">
      <c r="A55" s="22"/>
      <c r="B55" s="22"/>
      <c r="C55" s="121"/>
      <c r="D55" s="22"/>
      <c r="E55" s="121"/>
      <c r="F55" s="22"/>
    </row>
    <row r="56" spans="1:6" hidden="1" x14ac:dyDescent="0.25">
      <c r="A56" s="22"/>
      <c r="B56" s="22"/>
      <c r="C56" s="121"/>
      <c r="D56" s="22"/>
      <c r="E56" s="121"/>
      <c r="F56" s="22"/>
    </row>
    <row r="57" spans="1:6" hidden="1" x14ac:dyDescent="0.25">
      <c r="A57" s="22"/>
      <c r="B57" s="22"/>
      <c r="C57" s="121"/>
      <c r="D57" s="22"/>
      <c r="E57" s="121"/>
      <c r="F57" s="22"/>
    </row>
    <row r="58" spans="1:6" hidden="1" x14ac:dyDescent="0.25">
      <c r="A58" s="22"/>
      <c r="B58" s="22"/>
      <c r="C58" s="121"/>
      <c r="D58" s="22"/>
      <c r="E58" s="121"/>
      <c r="F58" s="22"/>
    </row>
    <row r="59" spans="1:6" hidden="1" x14ac:dyDescent="0.25">
      <c r="A59" s="22"/>
      <c r="B59" s="22"/>
      <c r="C59" s="121"/>
      <c r="D59" s="22"/>
      <c r="E59" s="121"/>
      <c r="F59" s="22"/>
    </row>
    <row r="60" spans="1:6" hidden="1" x14ac:dyDescent="0.25">
      <c r="A60" s="22"/>
      <c r="B60" s="22"/>
      <c r="C60" s="121"/>
      <c r="D60" s="22"/>
      <c r="E60" s="121"/>
      <c r="F60" s="22"/>
    </row>
    <row r="61" spans="1:6" hidden="1" x14ac:dyDescent="0.25">
      <c r="A61" s="22"/>
      <c r="B61" s="22"/>
      <c r="C61" s="121"/>
      <c r="D61" s="22"/>
      <c r="E61" s="121"/>
      <c r="F61" s="22"/>
    </row>
    <row r="62" spans="1:6" hidden="1" x14ac:dyDescent="0.25">
      <c r="A62" s="22"/>
      <c r="B62" s="22"/>
      <c r="C62" s="121"/>
      <c r="D62" s="22"/>
      <c r="E62" s="121"/>
      <c r="F62" s="22"/>
    </row>
    <row r="63" spans="1:6" hidden="1" x14ac:dyDescent="0.25">
      <c r="A63" s="22"/>
      <c r="B63" s="22"/>
      <c r="C63" s="121"/>
      <c r="D63" s="22"/>
      <c r="E63" s="121"/>
      <c r="F63" s="22"/>
    </row>
    <row r="64" spans="1:6" hidden="1" x14ac:dyDescent="0.25">
      <c r="A64" s="22"/>
      <c r="B64" s="22"/>
      <c r="C64" s="121"/>
      <c r="D64" s="22"/>
      <c r="E64" s="121"/>
      <c r="F64" s="22"/>
    </row>
    <row r="65" spans="1:6" hidden="1" x14ac:dyDescent="0.25">
      <c r="A65" s="22"/>
      <c r="B65" s="22"/>
      <c r="C65" s="121"/>
      <c r="D65" s="22"/>
      <c r="E65" s="121"/>
      <c r="F65" s="22"/>
    </row>
    <row r="66" spans="1:6" hidden="1" x14ac:dyDescent="0.25">
      <c r="A66" s="22"/>
      <c r="B66" s="22"/>
      <c r="C66" s="121"/>
      <c r="D66" s="22"/>
      <c r="E66" s="121"/>
      <c r="F66" s="22"/>
    </row>
    <row r="67" spans="1:6" hidden="1" x14ac:dyDescent="0.25">
      <c r="A67" s="22"/>
      <c r="B67" s="22"/>
      <c r="C67" s="121"/>
      <c r="D67" s="22"/>
      <c r="E67" s="121"/>
      <c r="F67" s="22"/>
    </row>
    <row r="68" spans="1:6" hidden="1" x14ac:dyDescent="0.25">
      <c r="A68" s="22"/>
      <c r="B68" s="22"/>
      <c r="C68" s="121"/>
      <c r="D68" s="22"/>
      <c r="E68" s="121"/>
      <c r="F68" s="22"/>
    </row>
    <row r="69" spans="1:6" hidden="1" x14ac:dyDescent="0.25">
      <c r="A69" s="22"/>
      <c r="B69" s="22"/>
      <c r="C69" s="121"/>
      <c r="D69" s="22"/>
      <c r="E69" s="121"/>
      <c r="F69" s="22"/>
    </row>
    <row r="70" spans="1:6" hidden="1" x14ac:dyDescent="0.25">
      <c r="A70" s="22"/>
      <c r="B70" s="22"/>
      <c r="C70" s="121"/>
      <c r="D70" s="22"/>
      <c r="E70" s="121"/>
      <c r="F70" s="22"/>
    </row>
    <row r="71" spans="1:6" hidden="1" x14ac:dyDescent="0.25">
      <c r="A71" s="22"/>
      <c r="B71" s="22"/>
      <c r="C71" s="121"/>
      <c r="D71" s="22"/>
      <c r="E71" s="121"/>
      <c r="F71" s="22"/>
    </row>
    <row r="72" spans="1:6" hidden="1" x14ac:dyDescent="0.25">
      <c r="A72" s="22"/>
      <c r="B72" s="22"/>
      <c r="C72" s="121"/>
      <c r="D72" s="22"/>
      <c r="E72" s="121"/>
      <c r="F72" s="22"/>
    </row>
    <row r="73" spans="1:6" hidden="1" x14ac:dyDescent="0.25">
      <c r="A73" s="22"/>
      <c r="B73" s="22"/>
      <c r="C73" s="121"/>
      <c r="D73" s="22"/>
      <c r="E73" s="121"/>
      <c r="F73" s="22"/>
    </row>
    <row r="74" spans="1:6" hidden="1" x14ac:dyDescent="0.25">
      <c r="A74" s="22"/>
      <c r="B74" s="22"/>
      <c r="C74" s="121"/>
      <c r="D74" s="22"/>
      <c r="E74" s="121"/>
      <c r="F74" s="22"/>
    </row>
    <row r="75" spans="1:6" hidden="1" x14ac:dyDescent="0.25">
      <c r="A75" s="22"/>
      <c r="B75" s="22"/>
      <c r="C75" s="121"/>
      <c r="D75" s="22"/>
      <c r="E75" s="121"/>
      <c r="F75" s="22"/>
    </row>
    <row r="76" spans="1:6" hidden="1" x14ac:dyDescent="0.25">
      <c r="A76" s="22"/>
      <c r="B76" s="22"/>
      <c r="C76" s="121"/>
      <c r="D76" s="22"/>
      <c r="E76" s="121"/>
      <c r="F76" s="22"/>
    </row>
    <row r="77" spans="1:6" hidden="1" x14ac:dyDescent="0.25">
      <c r="A77" s="22"/>
      <c r="B77" s="22"/>
      <c r="C77" s="121"/>
      <c r="D77" s="22"/>
      <c r="E77" s="121"/>
      <c r="F77" s="22"/>
    </row>
    <row r="78" spans="1:6" hidden="1" x14ac:dyDescent="0.25">
      <c r="A78" s="22"/>
      <c r="B78" s="22"/>
      <c r="C78" s="121"/>
      <c r="D78" s="22"/>
      <c r="E78" s="121"/>
      <c r="F78" s="22"/>
    </row>
    <row r="79" spans="1:6" hidden="1" x14ac:dyDescent="0.25">
      <c r="A79" s="22"/>
      <c r="B79" s="22"/>
      <c r="C79" s="121"/>
      <c r="D79" s="22"/>
      <c r="E79" s="121"/>
      <c r="F79" s="22"/>
    </row>
    <row r="80" spans="1:6" hidden="1" x14ac:dyDescent="0.25">
      <c r="A80" s="22"/>
      <c r="B80" s="22"/>
      <c r="C80" s="121"/>
      <c r="D80" s="22"/>
      <c r="E80" s="121"/>
      <c r="F80" s="22"/>
    </row>
    <row r="81" spans="1:6" hidden="1" x14ac:dyDescent="0.25">
      <c r="A81" s="22"/>
      <c r="B81" s="22"/>
      <c r="C81" s="121"/>
      <c r="D81" s="22"/>
      <c r="E81" s="121"/>
      <c r="F81" s="22"/>
    </row>
    <row r="82" spans="1:6" hidden="1" x14ac:dyDescent="0.25">
      <c r="A82" s="22"/>
      <c r="B82" s="22"/>
      <c r="C82" s="121"/>
      <c r="D82" s="22"/>
      <c r="E82" s="121"/>
      <c r="F82" s="22"/>
    </row>
    <row r="83" spans="1:6" hidden="1" x14ac:dyDescent="0.25">
      <c r="A83" s="22"/>
      <c r="B83" s="22"/>
      <c r="C83" s="121"/>
      <c r="D83" s="22"/>
      <c r="E83" s="121"/>
      <c r="F83" s="22"/>
    </row>
    <row r="84" spans="1:6" hidden="1" x14ac:dyDescent="0.25">
      <c r="A84" s="22"/>
      <c r="B84" s="22"/>
      <c r="C84" s="121"/>
      <c r="D84" s="22"/>
      <c r="E84" s="121"/>
      <c r="F84" s="22"/>
    </row>
    <row r="85" spans="1:6" hidden="1" x14ac:dyDescent="0.25">
      <c r="A85" s="22"/>
      <c r="B85" s="22"/>
      <c r="C85" s="121"/>
      <c r="D85" s="22"/>
      <c r="E85" s="121"/>
      <c r="F85" s="22"/>
    </row>
    <row r="86" spans="1:6" hidden="1" x14ac:dyDescent="0.25">
      <c r="A86" s="22"/>
      <c r="B86" s="22"/>
      <c r="C86" s="121"/>
      <c r="D86" s="22"/>
      <c r="E86" s="121"/>
      <c r="F86" s="22"/>
    </row>
    <row r="87" spans="1:6" hidden="1" x14ac:dyDescent="0.25">
      <c r="A87" s="22"/>
      <c r="B87" s="22"/>
      <c r="C87" s="121"/>
      <c r="D87" s="22"/>
      <c r="E87" s="121"/>
      <c r="F87" s="22"/>
    </row>
    <row r="88" spans="1:6" hidden="1" x14ac:dyDescent="0.25">
      <c r="A88" s="22"/>
      <c r="B88" s="22"/>
      <c r="C88" s="121"/>
      <c r="D88" s="22"/>
      <c r="E88" s="121"/>
      <c r="F88" s="22"/>
    </row>
    <row r="89" spans="1:6" hidden="1" x14ac:dyDescent="0.25">
      <c r="A89" s="22"/>
      <c r="B89" s="22"/>
      <c r="C89" s="121"/>
      <c r="D89" s="22"/>
      <c r="E89" s="121"/>
      <c r="F89" s="22"/>
    </row>
    <row r="90" spans="1:6" hidden="1" x14ac:dyDescent="0.25">
      <c r="A90" s="22"/>
      <c r="B90" s="22"/>
      <c r="C90" s="121"/>
      <c r="D90" s="22"/>
      <c r="E90" s="121"/>
      <c r="F90" s="22"/>
    </row>
    <row r="91" spans="1:6" hidden="1" x14ac:dyDescent="0.25">
      <c r="A91" s="22"/>
      <c r="B91" s="22"/>
      <c r="C91" s="121"/>
      <c r="D91" s="22"/>
      <c r="E91" s="121"/>
      <c r="F91" s="22"/>
    </row>
    <row r="92" spans="1:6" hidden="1" x14ac:dyDescent="0.25">
      <c r="A92" s="22"/>
      <c r="B92" s="22"/>
      <c r="C92" s="121"/>
      <c r="D92" s="22"/>
      <c r="E92" s="121"/>
      <c r="F92" s="22"/>
    </row>
    <row r="93" spans="1:6" hidden="1" x14ac:dyDescent="0.25">
      <c r="A93" s="22"/>
      <c r="B93" s="22"/>
      <c r="C93" s="121"/>
      <c r="D93" s="22"/>
      <c r="E93" s="121"/>
      <c r="F93" s="22"/>
    </row>
    <row r="94" spans="1:6" hidden="1" x14ac:dyDescent="0.25">
      <c r="A94" s="22"/>
      <c r="B94" s="22"/>
      <c r="C94" s="121"/>
      <c r="D94" s="22"/>
      <c r="E94" s="121"/>
      <c r="F94" s="22"/>
    </row>
    <row r="95" spans="1:6" hidden="1" x14ac:dyDescent="0.25">
      <c r="A95" s="22"/>
      <c r="B95" s="22"/>
      <c r="C95" s="121"/>
      <c r="D95" s="22"/>
      <c r="E95" s="121"/>
      <c r="F95" s="22"/>
    </row>
    <row r="96" spans="1:6" hidden="1" x14ac:dyDescent="0.25">
      <c r="A96" s="22"/>
      <c r="B96" s="22"/>
      <c r="C96" s="121"/>
      <c r="D96" s="22"/>
      <c r="E96" s="121"/>
      <c r="F96" s="22"/>
    </row>
    <row r="97" spans="1:6" hidden="1" x14ac:dyDescent="0.25">
      <c r="A97" s="22"/>
      <c r="B97" s="22"/>
      <c r="C97" s="121"/>
      <c r="D97" s="22"/>
      <c r="E97" s="121"/>
      <c r="F97" s="22"/>
    </row>
    <row r="98" spans="1:6" hidden="1" x14ac:dyDescent="0.25">
      <c r="A98" s="22"/>
      <c r="B98" s="22"/>
      <c r="C98" s="121"/>
      <c r="D98" s="22"/>
      <c r="E98" s="121"/>
      <c r="F98" s="22"/>
    </row>
    <row r="99" spans="1:6" hidden="1" x14ac:dyDescent="0.25">
      <c r="A99" s="22"/>
      <c r="B99" s="22"/>
      <c r="C99" s="121"/>
      <c r="D99" s="22"/>
      <c r="E99" s="121"/>
      <c r="F99" s="22"/>
    </row>
    <row r="100" spans="1:6" hidden="1" x14ac:dyDescent="0.25">
      <c r="A100" s="22"/>
      <c r="B100" s="22"/>
      <c r="C100" s="121"/>
      <c r="D100" s="22"/>
      <c r="E100" s="121"/>
      <c r="F100" s="22"/>
    </row>
    <row r="101" spans="1:6" hidden="1" x14ac:dyDescent="0.25">
      <c r="A101" s="22"/>
      <c r="B101" s="22"/>
      <c r="C101" s="121"/>
      <c r="D101" s="22"/>
      <c r="E101" s="121"/>
      <c r="F101" s="22"/>
    </row>
    <row r="102" spans="1:6" hidden="1" x14ac:dyDescent="0.25">
      <c r="A102" s="22"/>
      <c r="B102" s="22"/>
      <c r="C102" s="121"/>
      <c r="D102" s="22"/>
      <c r="E102" s="121"/>
      <c r="F102" s="22"/>
    </row>
    <row r="103" spans="1:6" hidden="1" x14ac:dyDescent="0.25">
      <c r="A103" s="22"/>
      <c r="B103" s="22"/>
      <c r="C103" s="121"/>
      <c r="D103" s="22"/>
      <c r="E103" s="121"/>
      <c r="F103" s="22"/>
    </row>
    <row r="104" spans="1:6" hidden="1" x14ac:dyDescent="0.25">
      <c r="A104" s="22"/>
      <c r="B104" s="22"/>
      <c r="C104" s="121"/>
      <c r="D104" s="22"/>
      <c r="E104" s="121"/>
      <c r="F104" s="22"/>
    </row>
    <row r="105" spans="1:6" hidden="1" x14ac:dyDescent="0.25">
      <c r="A105" s="22"/>
      <c r="B105" s="22"/>
      <c r="C105" s="121"/>
      <c r="D105" s="22"/>
      <c r="E105" s="121"/>
      <c r="F105" s="22"/>
    </row>
    <row r="106" spans="1:6" hidden="1" x14ac:dyDescent="0.25">
      <c r="A106" s="22"/>
      <c r="B106" s="22"/>
      <c r="C106" s="121"/>
      <c r="D106" s="22"/>
      <c r="E106" s="121"/>
      <c r="F106" s="22"/>
    </row>
    <row r="107" spans="1:6" hidden="1" x14ac:dyDescent="0.25">
      <c r="A107" s="22"/>
      <c r="B107" s="22"/>
      <c r="C107" s="121"/>
      <c r="D107" s="22"/>
      <c r="E107" s="121"/>
      <c r="F107" s="22"/>
    </row>
    <row r="108" spans="1:6" hidden="1" x14ac:dyDescent="0.25">
      <c r="A108" s="22"/>
      <c r="B108" s="22"/>
      <c r="C108" s="121"/>
      <c r="D108" s="22"/>
      <c r="E108" s="121"/>
      <c r="F108" s="22"/>
    </row>
    <row r="109" spans="1:6" hidden="1" x14ac:dyDescent="0.25">
      <c r="A109" s="22"/>
      <c r="B109" s="22"/>
      <c r="C109" s="121"/>
      <c r="D109" s="22"/>
      <c r="E109" s="121"/>
      <c r="F109" s="22"/>
    </row>
    <row r="110" spans="1:6" hidden="1" x14ac:dyDescent="0.25">
      <c r="A110" s="22"/>
      <c r="B110" s="22"/>
      <c r="C110" s="121"/>
      <c r="D110" s="22"/>
      <c r="E110" s="121"/>
      <c r="F110" s="22"/>
    </row>
    <row r="111" spans="1:6" hidden="1" x14ac:dyDescent="0.25">
      <c r="A111" s="22"/>
      <c r="B111" s="22"/>
      <c r="C111" s="121"/>
      <c r="D111" s="22"/>
      <c r="E111" s="121"/>
      <c r="F111" s="22"/>
    </row>
    <row r="112" spans="1:6" hidden="1" x14ac:dyDescent="0.25">
      <c r="A112" s="22"/>
      <c r="B112" s="22"/>
      <c r="C112" s="121"/>
      <c r="D112" s="22"/>
      <c r="E112" s="121"/>
      <c r="F112" s="22"/>
    </row>
    <row r="113" spans="1:6" hidden="1" x14ac:dyDescent="0.25">
      <c r="A113" s="22"/>
      <c r="B113" s="22"/>
      <c r="C113" s="121"/>
      <c r="D113" s="22"/>
      <c r="E113" s="121"/>
      <c r="F113" s="22"/>
    </row>
    <row r="114" spans="1:6" hidden="1" x14ac:dyDescent="0.25">
      <c r="A114" s="22"/>
      <c r="B114" s="22"/>
      <c r="C114" s="121"/>
      <c r="D114" s="22"/>
      <c r="E114" s="121"/>
      <c r="F114" s="22"/>
    </row>
    <row r="115" spans="1:6" hidden="1" x14ac:dyDescent="0.25">
      <c r="A115" s="22"/>
      <c r="B115" s="22"/>
      <c r="C115" s="121"/>
      <c r="D115" s="22"/>
      <c r="E115" s="121"/>
      <c r="F115" s="22"/>
    </row>
    <row r="116" spans="1:6" hidden="1" x14ac:dyDescent="0.25">
      <c r="A116" s="22"/>
      <c r="B116" s="22"/>
      <c r="C116" s="121"/>
      <c r="D116" s="22"/>
      <c r="E116" s="121"/>
      <c r="F116" s="22"/>
    </row>
  </sheetData>
  <sheetProtection sheet="1" objects="1" scenarios="1" selectLockedCells="1"/>
  <pageMargins left="0.7" right="0.7" top="0.75" bottom="0.75" header="0.3" footer="0.3"/>
  <pageSetup orientation="portrait" horizontalDpi="300" verticalDpi="300" r:id="rId1"/>
  <ignoredErrors>
    <ignoredError sqref="A16:E37" unlockedFormula="1"/>
  </ignoredErrors>
  <drawing r:id="rId2"/>
  <legacyDrawing r:id="rId3"/>
  <controls>
    <mc:AlternateContent xmlns:mc="http://schemas.openxmlformats.org/markup-compatibility/2006">
      <mc:Choice Requires="x14">
        <control shapeId="3082" r:id="rId4" name="ScrollBar1">
          <controlPr defaultSize="0" autoLine="0" autoPict="0" linkedCell="$F$39" r:id="rId5">
            <anchor moveWithCells="1">
              <from>
                <xdr:col>5</xdr:col>
                <xdr:colOff>47625</xdr:colOff>
                <xdr:row>15</xdr:row>
                <xdr:rowOff>9525</xdr:rowOff>
              </from>
              <to>
                <xdr:col>5</xdr:col>
                <xdr:colOff>285750</xdr:colOff>
                <xdr:row>36</xdr:row>
                <xdr:rowOff>171450</xdr:rowOff>
              </to>
            </anchor>
          </controlPr>
        </control>
      </mc:Choice>
      <mc:Fallback>
        <control shapeId="3082" r:id="rId4" name="ScrollBar1"/>
      </mc:Fallback>
    </mc:AlternateContent>
    <mc:AlternateContent xmlns:mc="http://schemas.openxmlformats.org/markup-compatibility/2006">
      <mc:Choice Requires="x14">
        <control shapeId="3077" r:id="rId6" name="Button 5">
          <controlPr defaultSize="0" print="0" autoFill="0" autoPict="0" macro="[0]!Makecsv">
            <anchor moveWithCells="1" sizeWithCells="1">
              <from>
                <xdr:col>0</xdr:col>
                <xdr:colOff>371475</xdr:colOff>
                <xdr:row>10</xdr:row>
                <xdr:rowOff>38100</xdr:rowOff>
              </from>
              <to>
                <xdr:col>2</xdr:col>
                <xdr:colOff>85725</xdr:colOff>
                <xdr:row>13</xdr:row>
                <xdr:rowOff>104775</xdr:rowOff>
              </to>
            </anchor>
          </controlPr>
        </control>
      </mc:Choice>
    </mc:AlternateContent>
    <mc:AlternateContent xmlns:mc="http://schemas.openxmlformats.org/markup-compatibility/2006">
      <mc:Choice Requires="x14">
        <control shapeId="3078" r:id="rId7" name="Button 6">
          <controlPr defaultSize="0" print="0" autoFill="0" autoPict="0" macro="[0]!Button6_Click">
            <anchor moveWithCells="1" sizeWithCells="1">
              <from>
                <xdr:col>0</xdr:col>
                <xdr:colOff>381000</xdr:colOff>
                <xdr:row>6</xdr:row>
                <xdr:rowOff>142875</xdr:rowOff>
              </from>
              <to>
                <xdr:col>2</xdr:col>
                <xdr:colOff>95250</xdr:colOff>
                <xdr:row>9</xdr:row>
                <xdr:rowOff>28575</xdr:rowOff>
              </to>
            </anchor>
          </controlPr>
        </control>
      </mc:Choice>
    </mc:AlternateContent>
  </controls>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Input Screen</vt:lpstr>
      <vt:lpstr>SurveyResults</vt:lpstr>
      <vt:lpstr>CR_Calculation</vt:lpstr>
      <vt:lpstr>Topsis LP Auto</vt:lpstr>
      <vt:lpstr>Results</vt:lpstr>
      <vt:lpstr>Pivot CDM</vt:lpstr>
      <vt:lpstr>Pivot DM </vt:lpstr>
      <vt:lpstr>Pivot Map</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2nduser</dc:creator>
  <cp:lastModifiedBy>2nduser</cp:lastModifiedBy>
  <dcterms:created xsi:type="dcterms:W3CDTF">2019-03-15T17:35:54Z</dcterms:created>
  <dcterms:modified xsi:type="dcterms:W3CDTF">2019-03-29T16:03:24Z</dcterms:modified>
</cp:coreProperties>
</file>